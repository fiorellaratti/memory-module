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E39A1632-A8E3-4493-0D71-6A188D42057B}"/>
  <workbookPr codeName="ThisWorkbook"/>
  <mc:AlternateContent xmlns:mc="http://schemas.openxmlformats.org/markup-compatibility/2006">
    <mc:Choice Requires="x15">
      <x15ac:absPath xmlns:x15ac="http://schemas.microsoft.com/office/spreadsheetml/2010/11/ac" url="/Users/fiorellaratti/Documents/ResearchLab/"/>
    </mc:Choice>
  </mc:AlternateContent>
  <xr:revisionPtr revIDLastSave="0" documentId="13_ncr:1_{2EF8B7E5-A3CF-794B-8C73-23E5618D6FC9}" xr6:coauthVersionLast="47" xr6:coauthVersionMax="47" xr10:uidLastSave="{00000000-0000-0000-0000-000000000000}"/>
  <bookViews>
    <workbookView xWindow="0" yWindow="500" windowWidth="28800" windowHeight="16320" activeTab="1" xr2:uid="{00000000-000D-0000-FFFF-FFFF00000000}"/>
  </bookViews>
  <sheets>
    <sheet name="Combined Discussions" sheetId="11" r:id="rId1"/>
    <sheet name="Test" sheetId="27" r:id="rId2"/>
    <sheet name="CountCodes" sheetId="26" r:id="rId3"/>
    <sheet name="AnalysisF20nS21S22" sheetId="13" r:id="rId4"/>
    <sheet name="TOC" sheetId="3" r:id="rId5"/>
    <sheet name="F20 Chat Data" sheetId="17" r:id="rId6"/>
    <sheet name="F20 Crew Data" sheetId="2" r:id="rId7"/>
    <sheet name="F20 Collaborative Writing" sheetId="1" r:id="rId8"/>
    <sheet name="F20 Summaries" sheetId="12" r:id="rId9"/>
    <sheet name="S21 Chat Data" sheetId="16" r:id="rId10"/>
    <sheet name="S21 Crew Data" sheetId="7" r:id="rId11"/>
    <sheet name="S21 Collaborative Writing" sheetId="8" r:id="rId12"/>
    <sheet name="S21 Summaries" sheetId="9" r:id="rId13"/>
    <sheet name="S22 Chat Sync Data" sheetId="24" r:id="rId14"/>
    <sheet name="S22 Chat Async Data" sheetId="23" r:id="rId15"/>
    <sheet name="S22 CREW Sync Data" sheetId="18" r:id="rId16"/>
    <sheet name="S22 CREW Sync Collab Writing " sheetId="19" r:id="rId17"/>
    <sheet name="S22 CREW Async Data" sheetId="20" r:id="rId18"/>
    <sheet name="S22 CREW Async Collab Writing" sheetId="21" r:id="rId19"/>
    <sheet name="S22 Discussion Summaries" sheetId="25" r:id="rId20"/>
  </sheets>
  <definedNames>
    <definedName name="_xlnm._FilterDatabase" localSheetId="0" hidden="1">'Combined Discussions'!$A$1:$AG$195</definedName>
    <definedName name="_xlnm._FilterDatabase" localSheetId="6" hidden="1">'F20 Crew Data'!$A$1:$V$195</definedName>
    <definedName name="_xlnm._FilterDatabase" localSheetId="9" hidden="1">'S21 Chat Data'!$A$1:$I$91</definedName>
    <definedName name="_xlnm._FilterDatabase" localSheetId="10" hidden="1">'S21 Crew Data'!$A$1:$J$229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R10" i="27" l="1"/>
  <c r="X10" i="27"/>
  <c r="V10" i="27"/>
  <c r="T10" i="27"/>
  <c r="X9" i="27"/>
  <c r="V9" i="27"/>
  <c r="T9" i="27"/>
  <c r="R9" i="27"/>
  <c r="X8" i="27"/>
  <c r="V8" i="27"/>
  <c r="T8" i="27"/>
  <c r="R8" i="27"/>
  <c r="X7" i="27"/>
  <c r="V7" i="27"/>
  <c r="T7" i="27"/>
  <c r="R7" i="27"/>
  <c r="X6" i="27"/>
  <c r="V6" i="27"/>
  <c r="T6" i="27"/>
  <c r="R6" i="27"/>
  <c r="X5" i="27"/>
  <c r="V5" i="27"/>
  <c r="T5" i="27"/>
  <c r="R5" i="27"/>
  <c r="X4" i="27"/>
  <c r="V4" i="27"/>
  <c r="T4" i="27"/>
  <c r="R4" i="27"/>
  <c r="X3" i="27"/>
  <c r="V3" i="27"/>
  <c r="T3" i="27"/>
  <c r="R3" i="27"/>
  <c r="X2" i="27"/>
  <c r="V2" i="27"/>
  <c r="T2" i="27"/>
  <c r="R2" i="27"/>
  <c r="X2" i="11"/>
  <c r="X271" i="11"/>
  <c r="X612" i="11"/>
  <c r="X611" i="11"/>
  <c r="X610" i="11"/>
  <c r="X609" i="11"/>
  <c r="X608" i="11"/>
  <c r="X607" i="11"/>
  <c r="X606" i="11"/>
  <c r="X605" i="11"/>
  <c r="X604" i="11"/>
  <c r="X603" i="11"/>
  <c r="X602" i="11"/>
  <c r="X601" i="11"/>
  <c r="X600" i="11"/>
  <c r="X599" i="11"/>
  <c r="X598" i="11"/>
  <c r="X597" i="11"/>
  <c r="X596" i="11"/>
  <c r="X595" i="11"/>
  <c r="X594" i="11"/>
  <c r="X593" i="11"/>
  <c r="X592" i="11"/>
  <c r="X591" i="11"/>
  <c r="X590" i="11"/>
  <c r="X589" i="11"/>
  <c r="X588" i="11"/>
  <c r="X587" i="11"/>
  <c r="X586" i="11"/>
  <c r="X585" i="11"/>
  <c r="X584" i="11"/>
  <c r="X583" i="11"/>
  <c r="X582" i="11"/>
  <c r="X581" i="11"/>
  <c r="X580" i="11"/>
  <c r="X579" i="11"/>
  <c r="X578" i="11"/>
  <c r="X577" i="11"/>
  <c r="X576" i="11"/>
  <c r="X575" i="11"/>
  <c r="X574" i="11"/>
  <c r="X573" i="11"/>
  <c r="X572" i="11"/>
  <c r="X571" i="11"/>
  <c r="X570" i="11"/>
  <c r="X569" i="11"/>
  <c r="X568" i="11"/>
  <c r="X567" i="11"/>
  <c r="X566" i="11"/>
  <c r="X565" i="11"/>
  <c r="X564" i="11"/>
  <c r="X563" i="11"/>
  <c r="X562" i="11"/>
  <c r="X561" i="11"/>
  <c r="X560" i="11"/>
  <c r="X559" i="11"/>
  <c r="X558" i="11"/>
  <c r="X557" i="11"/>
  <c r="X556" i="11"/>
  <c r="X555" i="11"/>
  <c r="X554" i="11"/>
  <c r="X553" i="11"/>
  <c r="X552" i="11"/>
  <c r="X551" i="11"/>
  <c r="X550" i="11"/>
  <c r="X549" i="11"/>
  <c r="X548" i="11"/>
  <c r="X547" i="11"/>
  <c r="X546" i="11"/>
  <c r="X545" i="11"/>
  <c r="X544" i="11"/>
  <c r="X543" i="11"/>
  <c r="X542" i="11"/>
  <c r="X541" i="11"/>
  <c r="X540" i="11"/>
  <c r="X539" i="11"/>
  <c r="X538" i="11"/>
  <c r="X537" i="11"/>
  <c r="X536" i="11"/>
  <c r="X535" i="11"/>
  <c r="X534" i="11"/>
  <c r="X533" i="11"/>
  <c r="X532" i="11"/>
  <c r="X531" i="11"/>
  <c r="X530" i="11"/>
  <c r="X529" i="11"/>
  <c r="X528" i="11"/>
  <c r="X527" i="11"/>
  <c r="X526" i="11"/>
  <c r="X525" i="11"/>
  <c r="X524" i="11"/>
  <c r="X523" i="11"/>
  <c r="X522" i="11"/>
  <c r="X521" i="11"/>
  <c r="X520" i="11"/>
  <c r="X519" i="11"/>
  <c r="X518" i="11"/>
  <c r="X517" i="11"/>
  <c r="X516" i="11"/>
  <c r="X515" i="11"/>
  <c r="X514" i="11"/>
  <c r="X513" i="11"/>
  <c r="X512" i="11"/>
  <c r="X511" i="11"/>
  <c r="X510" i="11"/>
  <c r="X509" i="11"/>
  <c r="X508" i="11"/>
  <c r="X507" i="11"/>
  <c r="X506" i="11"/>
  <c r="X505" i="11"/>
  <c r="X504" i="11"/>
  <c r="X503" i="11"/>
  <c r="X502" i="11"/>
  <c r="X501" i="11"/>
  <c r="X500" i="11"/>
  <c r="X499" i="11"/>
  <c r="X498" i="11"/>
  <c r="X497" i="11"/>
  <c r="X496" i="11"/>
  <c r="X495" i="11"/>
  <c r="X494" i="11"/>
  <c r="X493" i="11"/>
  <c r="X492" i="11"/>
  <c r="X491" i="11"/>
  <c r="X490" i="11"/>
  <c r="X489" i="11"/>
  <c r="X488" i="11"/>
  <c r="X487" i="11"/>
  <c r="X486" i="11"/>
  <c r="X485" i="11"/>
  <c r="X484" i="11"/>
  <c r="X483" i="11"/>
  <c r="X482" i="11"/>
  <c r="X481" i="11"/>
  <c r="X480" i="11"/>
  <c r="X479" i="11"/>
  <c r="X478" i="11"/>
  <c r="X477" i="11"/>
  <c r="X476" i="11"/>
  <c r="X475" i="11"/>
  <c r="X474" i="11"/>
  <c r="X473" i="11"/>
  <c r="X472" i="11"/>
  <c r="X471" i="11"/>
  <c r="X470" i="11"/>
  <c r="X469" i="11"/>
  <c r="X468" i="11"/>
  <c r="X467" i="11"/>
  <c r="X466" i="11"/>
  <c r="X465" i="11"/>
  <c r="X464" i="11"/>
  <c r="X463" i="11"/>
  <c r="X462" i="11"/>
  <c r="X461" i="11"/>
  <c r="X460" i="11"/>
  <c r="X459" i="11"/>
  <c r="X458" i="11"/>
  <c r="X457" i="11"/>
  <c r="X456" i="11"/>
  <c r="X455" i="11"/>
  <c r="X454" i="11"/>
  <c r="X453" i="11"/>
  <c r="X452" i="11"/>
  <c r="X451" i="11"/>
  <c r="X450" i="11"/>
  <c r="X449" i="11"/>
  <c r="X448" i="11"/>
  <c r="X447" i="11"/>
  <c r="X446" i="11"/>
  <c r="X445" i="11"/>
  <c r="X444" i="11"/>
  <c r="X443" i="11"/>
  <c r="X442" i="11"/>
  <c r="X441" i="11"/>
  <c r="X440" i="11"/>
  <c r="X439" i="11"/>
  <c r="X438" i="11"/>
  <c r="X437" i="11"/>
  <c r="X436" i="11"/>
  <c r="X435" i="11"/>
  <c r="X434" i="11"/>
  <c r="X433" i="11"/>
  <c r="X432" i="11"/>
  <c r="X431" i="11"/>
  <c r="X430" i="11"/>
  <c r="X429" i="11"/>
  <c r="X428" i="11"/>
  <c r="X427" i="11"/>
  <c r="X426" i="11"/>
  <c r="X425" i="11"/>
  <c r="X424" i="11"/>
  <c r="X423" i="11"/>
  <c r="X422" i="11"/>
  <c r="X421" i="11"/>
  <c r="X420" i="11"/>
  <c r="X419" i="11"/>
  <c r="X418" i="11"/>
  <c r="X417" i="11"/>
  <c r="X416" i="11"/>
  <c r="X415" i="11"/>
  <c r="X414" i="11"/>
  <c r="X413" i="11"/>
  <c r="X412" i="11"/>
  <c r="X411" i="11"/>
  <c r="X410" i="11"/>
  <c r="X409" i="11"/>
  <c r="X408" i="11"/>
  <c r="X407" i="11"/>
  <c r="X406" i="11"/>
  <c r="X405" i="11"/>
  <c r="X404" i="11"/>
  <c r="X403" i="11"/>
  <c r="X402" i="11"/>
  <c r="X401" i="11"/>
  <c r="X400" i="11"/>
  <c r="X399" i="11"/>
  <c r="X398" i="11"/>
  <c r="X397" i="11"/>
  <c r="X396" i="11"/>
  <c r="X395" i="11"/>
  <c r="X394" i="11"/>
  <c r="X393" i="11"/>
  <c r="X392" i="11"/>
  <c r="X391" i="11"/>
  <c r="X390" i="11"/>
  <c r="X389" i="11"/>
  <c r="X388" i="11"/>
  <c r="X387" i="11"/>
  <c r="X386" i="11"/>
  <c r="X385" i="11"/>
  <c r="X384" i="11"/>
  <c r="X383" i="11"/>
  <c r="X382" i="11"/>
  <c r="X381" i="11"/>
  <c r="X380" i="11"/>
  <c r="X379" i="11"/>
  <c r="X378" i="11"/>
  <c r="X377" i="11"/>
  <c r="X376" i="11"/>
  <c r="X375" i="11"/>
  <c r="X374" i="11"/>
  <c r="X373" i="11"/>
  <c r="X372" i="11"/>
  <c r="X371" i="11"/>
  <c r="X370" i="11"/>
  <c r="X369" i="11"/>
  <c r="X368" i="11"/>
  <c r="X367" i="11"/>
  <c r="X366" i="11"/>
  <c r="X365" i="11"/>
  <c r="X364" i="11"/>
  <c r="X363" i="11"/>
  <c r="X362" i="11"/>
  <c r="X361" i="11"/>
  <c r="X360" i="11"/>
  <c r="X359" i="11"/>
  <c r="X358" i="11"/>
  <c r="X357" i="11"/>
  <c r="X356" i="11"/>
  <c r="X355" i="11"/>
  <c r="X354" i="11"/>
  <c r="X353" i="11"/>
  <c r="X352" i="11"/>
  <c r="X351" i="11"/>
  <c r="X350" i="11"/>
  <c r="X349" i="11"/>
  <c r="X348" i="11"/>
  <c r="X347" i="11"/>
  <c r="X346" i="11"/>
  <c r="X345" i="11"/>
  <c r="X344" i="11"/>
  <c r="X343" i="11"/>
  <c r="X342" i="11"/>
  <c r="X341" i="11"/>
  <c r="X340" i="11"/>
  <c r="X339" i="11"/>
  <c r="X338" i="11"/>
  <c r="X337" i="11"/>
  <c r="X336" i="11"/>
  <c r="X335" i="11"/>
  <c r="X334" i="11"/>
  <c r="X333" i="11"/>
  <c r="X332" i="11"/>
  <c r="X331" i="11"/>
  <c r="X330" i="11"/>
  <c r="X329" i="11"/>
  <c r="X328" i="11"/>
  <c r="X327" i="11"/>
  <c r="X326" i="11"/>
  <c r="X325" i="11"/>
  <c r="X324" i="11"/>
  <c r="X323" i="11"/>
  <c r="X322" i="11"/>
  <c r="X321" i="11"/>
  <c r="X320" i="11"/>
  <c r="X319" i="11"/>
  <c r="X318" i="11"/>
  <c r="X317" i="11"/>
  <c r="X316" i="11"/>
  <c r="X315" i="11"/>
  <c r="X314" i="11"/>
  <c r="X313" i="11"/>
  <c r="X312" i="11"/>
  <c r="X311" i="11"/>
  <c r="X310" i="11"/>
  <c r="X309" i="11"/>
  <c r="X308" i="11"/>
  <c r="X307" i="11"/>
  <c r="X306" i="11"/>
  <c r="X305" i="11"/>
  <c r="X304" i="11"/>
  <c r="X303" i="11"/>
  <c r="X302" i="11"/>
  <c r="X301" i="11"/>
  <c r="X300" i="11"/>
  <c r="X299" i="11"/>
  <c r="X298" i="11"/>
  <c r="X297" i="11"/>
  <c r="X296" i="11"/>
  <c r="X295" i="11"/>
  <c r="X294" i="11"/>
  <c r="X293" i="11"/>
  <c r="X292" i="11"/>
  <c r="X291" i="11"/>
  <c r="X290" i="11"/>
  <c r="X289" i="11"/>
  <c r="X288" i="11"/>
  <c r="X287" i="11"/>
  <c r="X286" i="11"/>
  <c r="X285" i="11"/>
  <c r="X284" i="11"/>
  <c r="X283" i="11"/>
  <c r="X282" i="11"/>
  <c r="X281" i="11"/>
  <c r="X280" i="11"/>
  <c r="X279" i="11"/>
  <c r="X278" i="11"/>
  <c r="X277" i="11"/>
  <c r="X276" i="11"/>
  <c r="X275" i="11"/>
  <c r="X274" i="11"/>
  <c r="X273" i="11"/>
  <c r="X272" i="11"/>
  <c r="X270" i="11"/>
  <c r="X269" i="11"/>
  <c r="X268" i="11"/>
  <c r="X267" i="11"/>
  <c r="X266" i="11"/>
  <c r="X265" i="11"/>
  <c r="X264" i="11"/>
  <c r="X263" i="11"/>
  <c r="X262" i="11"/>
  <c r="X261" i="11"/>
  <c r="X260" i="11"/>
  <c r="X259" i="11"/>
  <c r="X258" i="11"/>
  <c r="X257" i="11"/>
  <c r="X256" i="11"/>
  <c r="X255" i="11"/>
  <c r="X254" i="11"/>
  <c r="X253" i="11"/>
  <c r="X252" i="11"/>
  <c r="X251" i="11"/>
  <c r="X250" i="11"/>
  <c r="X249" i="11"/>
  <c r="X248" i="11"/>
  <c r="X247" i="11"/>
  <c r="X246" i="11"/>
  <c r="X245" i="11"/>
  <c r="X244" i="11"/>
  <c r="X243" i="11"/>
  <c r="X242" i="11"/>
  <c r="X241" i="11"/>
  <c r="X240" i="11"/>
  <c r="X239" i="11"/>
  <c r="X238" i="11"/>
  <c r="X237" i="11"/>
  <c r="X236" i="11"/>
  <c r="X235" i="11"/>
  <c r="X234" i="11"/>
  <c r="X233" i="11"/>
  <c r="X232" i="11"/>
  <c r="X231" i="11"/>
  <c r="X230" i="11"/>
  <c r="X229" i="11"/>
  <c r="X228" i="11"/>
  <c r="X227" i="11"/>
  <c r="X226" i="11"/>
  <c r="X225" i="11"/>
  <c r="X224" i="11"/>
  <c r="X223" i="11"/>
  <c r="X222" i="11"/>
  <c r="X221" i="11"/>
  <c r="X220" i="11"/>
  <c r="X219" i="11"/>
  <c r="X218" i="11"/>
  <c r="X217" i="11"/>
  <c r="X216" i="11"/>
  <c r="X215" i="11"/>
  <c r="X214" i="11"/>
  <c r="X213" i="11"/>
  <c r="X212" i="11"/>
  <c r="X211" i="11"/>
  <c r="X210" i="11"/>
  <c r="X209" i="11"/>
  <c r="X208" i="11"/>
  <c r="X207" i="11"/>
  <c r="X206" i="11"/>
  <c r="X205" i="11"/>
  <c r="X204" i="11"/>
  <c r="X203" i="11"/>
  <c r="X202" i="11"/>
  <c r="X201" i="11"/>
  <c r="X200" i="11"/>
  <c r="X199" i="11"/>
  <c r="X198" i="11"/>
  <c r="X197" i="11"/>
  <c r="X196" i="11"/>
  <c r="X195" i="11"/>
  <c r="X194" i="11"/>
  <c r="X193" i="11"/>
  <c r="X192" i="11"/>
  <c r="X191" i="11"/>
  <c r="X190" i="11"/>
  <c r="X189" i="11"/>
  <c r="X188" i="11"/>
  <c r="X187" i="11"/>
  <c r="X186" i="11"/>
  <c r="X185" i="11"/>
  <c r="X184" i="11"/>
  <c r="X183" i="11"/>
  <c r="X182" i="11"/>
  <c r="X181" i="11"/>
  <c r="X180" i="11"/>
  <c r="X179" i="11"/>
  <c r="X178" i="11"/>
  <c r="X177" i="11"/>
  <c r="X176" i="11"/>
  <c r="X175" i="11"/>
  <c r="X174" i="11"/>
  <c r="X173" i="11"/>
  <c r="X172" i="11"/>
  <c r="X171" i="11"/>
  <c r="X170" i="11"/>
  <c r="X169" i="11"/>
  <c r="X168" i="11"/>
  <c r="X167" i="11"/>
  <c r="X166" i="11"/>
  <c r="X165" i="11"/>
  <c r="X164" i="11"/>
  <c r="X163" i="11"/>
  <c r="X162" i="11"/>
  <c r="X161" i="11"/>
  <c r="X160" i="11"/>
  <c r="X159" i="11"/>
  <c r="X158" i="11"/>
  <c r="X157" i="11"/>
  <c r="X156" i="11"/>
  <c r="X155" i="11"/>
  <c r="X154" i="11"/>
  <c r="X153" i="11"/>
  <c r="X152" i="11"/>
  <c r="X151" i="11"/>
  <c r="X150" i="11"/>
  <c r="X149" i="11"/>
  <c r="X148" i="11"/>
  <c r="X147" i="11"/>
  <c r="X146" i="11"/>
  <c r="X145" i="11"/>
  <c r="X144" i="11"/>
  <c r="X143" i="11"/>
  <c r="X142" i="11"/>
  <c r="X141" i="11"/>
  <c r="X140" i="11"/>
  <c r="X139" i="11"/>
  <c r="X138" i="11"/>
  <c r="X137" i="11"/>
  <c r="X136" i="11"/>
  <c r="X135" i="11"/>
  <c r="X134" i="11"/>
  <c r="X133" i="11"/>
  <c r="X132" i="11"/>
  <c r="X131" i="11"/>
  <c r="X130" i="11"/>
  <c r="X129" i="11"/>
  <c r="X128" i="11"/>
  <c r="X127" i="11"/>
  <c r="X126" i="11"/>
  <c r="X125" i="11"/>
  <c r="X124" i="11"/>
  <c r="X123" i="11"/>
  <c r="X122" i="11"/>
  <c r="X121" i="11"/>
  <c r="X120" i="11"/>
  <c r="X119" i="11"/>
  <c r="X118" i="11"/>
  <c r="X117" i="11"/>
  <c r="X116" i="11"/>
  <c r="X115" i="11"/>
  <c r="X114" i="11"/>
  <c r="X113" i="11"/>
  <c r="X112" i="11"/>
  <c r="X111" i="11"/>
  <c r="X110" i="11"/>
  <c r="X109" i="11"/>
  <c r="X108" i="11"/>
  <c r="X107" i="11"/>
  <c r="X106" i="11"/>
  <c r="X105" i="11"/>
  <c r="X104" i="11"/>
  <c r="X103" i="11"/>
  <c r="X102" i="11"/>
  <c r="X101" i="11"/>
  <c r="X100" i="11"/>
  <c r="X99" i="11"/>
  <c r="X98" i="11"/>
  <c r="X97" i="11"/>
  <c r="X96" i="11"/>
  <c r="X95" i="11"/>
  <c r="X94" i="11"/>
  <c r="X93" i="11"/>
  <c r="X92" i="11"/>
  <c r="X91" i="11"/>
  <c r="X90" i="11"/>
  <c r="X89" i="11"/>
  <c r="X88" i="11"/>
  <c r="X87" i="11"/>
  <c r="X86" i="11"/>
  <c r="X85" i="11"/>
  <c r="X84" i="11"/>
  <c r="X83" i="11"/>
  <c r="X82" i="11"/>
  <c r="X81" i="11"/>
  <c r="X80" i="11"/>
  <c r="X79" i="11"/>
  <c r="X78" i="11"/>
  <c r="X77" i="11"/>
  <c r="X76" i="11"/>
  <c r="X75" i="11"/>
  <c r="X74" i="11"/>
  <c r="X73" i="11"/>
  <c r="X72" i="11"/>
  <c r="X71" i="11"/>
  <c r="X70" i="11"/>
  <c r="X69" i="11"/>
  <c r="X68" i="11"/>
  <c r="X67" i="11"/>
  <c r="X66" i="11"/>
  <c r="X65" i="11"/>
  <c r="X64" i="11"/>
  <c r="X63" i="11"/>
  <c r="X62" i="11"/>
  <c r="X61" i="11"/>
  <c r="X60" i="11"/>
  <c r="X59" i="11"/>
  <c r="X58" i="11"/>
  <c r="X57" i="11"/>
  <c r="X56" i="11"/>
  <c r="X55" i="11"/>
  <c r="X54" i="11"/>
  <c r="X53" i="11"/>
  <c r="X52" i="11"/>
  <c r="X51" i="11"/>
  <c r="X50" i="11"/>
  <c r="X49" i="11"/>
  <c r="X48" i="11"/>
  <c r="X47" i="11"/>
  <c r="X46" i="11"/>
  <c r="X45" i="11"/>
  <c r="X44" i="11"/>
  <c r="X43" i="11"/>
  <c r="X42" i="11"/>
  <c r="X41" i="11"/>
  <c r="X40" i="11"/>
  <c r="X39" i="11"/>
  <c r="X38" i="11"/>
  <c r="X37" i="11"/>
  <c r="X36" i="11"/>
  <c r="X35" i="11"/>
  <c r="X34" i="11"/>
  <c r="X33" i="11"/>
  <c r="X32" i="11"/>
  <c r="X31" i="11"/>
  <c r="X30" i="11"/>
  <c r="X29" i="11"/>
  <c r="X28" i="11"/>
  <c r="X27" i="11"/>
  <c r="X26" i="11"/>
  <c r="X25" i="11"/>
  <c r="X24" i="11"/>
  <c r="X23" i="11"/>
  <c r="X22" i="11"/>
  <c r="X21" i="11"/>
  <c r="X20" i="11"/>
  <c r="X19" i="11"/>
  <c r="X18" i="11"/>
  <c r="X17" i="11"/>
  <c r="X16" i="11"/>
  <c r="X15" i="11"/>
  <c r="X14" i="11"/>
  <c r="X13" i="11"/>
  <c r="X12" i="11"/>
  <c r="X11" i="11"/>
  <c r="X10" i="11"/>
  <c r="X9" i="11"/>
  <c r="X8" i="11"/>
  <c r="X7" i="11"/>
  <c r="X6" i="11"/>
  <c r="X5" i="11"/>
  <c r="X4" i="11"/>
  <c r="X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6" i="11"/>
  <c r="T5" i="11"/>
  <c r="T4" i="11"/>
  <c r="T3" i="11"/>
  <c r="T2" i="11"/>
  <c r="V3" i="11"/>
  <c r="V2"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18" i="11"/>
  <c r="V417" i="11"/>
  <c r="V416" i="11"/>
  <c r="V415" i="11"/>
  <c r="V414" i="11"/>
  <c r="V413" i="11"/>
  <c r="V412" i="11"/>
  <c r="V411" i="11"/>
  <c r="V410" i="11"/>
  <c r="V409" i="11"/>
  <c r="V408" i="11"/>
  <c r="V407" i="11"/>
  <c r="V406" i="11"/>
  <c r="V405" i="11"/>
  <c r="V404" i="11"/>
  <c r="V403" i="11"/>
  <c r="V402" i="11"/>
  <c r="V401" i="11"/>
  <c r="V397"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R2" i="11"/>
  <c r="R612" i="11"/>
  <c r="R611" i="11"/>
  <c r="R610" i="11"/>
  <c r="R609" i="11"/>
  <c r="R608" i="11"/>
  <c r="R607" i="11"/>
  <c r="R606" i="11"/>
  <c r="R605" i="11"/>
  <c r="R604" i="11"/>
  <c r="R603" i="11"/>
  <c r="R602" i="11"/>
  <c r="R601" i="11"/>
  <c r="R600" i="11"/>
  <c r="R599" i="11"/>
  <c r="R598" i="11"/>
  <c r="R597" i="11"/>
  <c r="R596" i="11"/>
  <c r="R595" i="11"/>
  <c r="R594" i="11"/>
  <c r="R593" i="11"/>
  <c r="R592" i="11"/>
  <c r="R591" i="11"/>
  <c r="R590" i="11"/>
  <c r="R589" i="11"/>
  <c r="R588" i="11"/>
  <c r="R587" i="11"/>
  <c r="R586" i="11"/>
  <c r="R585" i="11"/>
  <c r="R584" i="11"/>
  <c r="R583" i="11"/>
  <c r="R582" i="11"/>
  <c r="R581" i="11"/>
  <c r="R580" i="11"/>
  <c r="R579" i="11"/>
  <c r="R578" i="11"/>
  <c r="R577" i="11"/>
  <c r="R576" i="11"/>
  <c r="R575" i="11"/>
  <c r="R574" i="11"/>
  <c r="R573" i="11"/>
  <c r="R572" i="11"/>
  <c r="R571" i="11"/>
  <c r="R570" i="11"/>
  <c r="R569" i="11"/>
  <c r="R568" i="11"/>
  <c r="R567" i="11"/>
  <c r="R566" i="11"/>
  <c r="R565" i="11"/>
  <c r="R564" i="11"/>
  <c r="R563" i="11"/>
  <c r="R562" i="11"/>
  <c r="R561" i="11"/>
  <c r="R560" i="11"/>
  <c r="R559" i="11"/>
  <c r="R558" i="11"/>
  <c r="R557" i="11"/>
  <c r="R556" i="11"/>
  <c r="R555" i="11"/>
  <c r="R554" i="11"/>
  <c r="R553" i="11"/>
  <c r="R552" i="11"/>
  <c r="R551" i="11"/>
  <c r="R550" i="11"/>
  <c r="R549" i="11"/>
  <c r="R548" i="11"/>
  <c r="R547" i="11"/>
  <c r="R546" i="11"/>
  <c r="R545" i="11"/>
  <c r="R544" i="11"/>
  <c r="R543" i="11"/>
  <c r="R542" i="11"/>
  <c r="R541" i="11"/>
  <c r="R540" i="11"/>
  <c r="R539" i="11"/>
  <c r="R538" i="11"/>
  <c r="R537" i="11"/>
  <c r="R536" i="11"/>
  <c r="R535" i="11"/>
  <c r="R534" i="11"/>
  <c r="R533" i="11"/>
  <c r="R532" i="11"/>
  <c r="R531" i="11"/>
  <c r="R530" i="11"/>
  <c r="R529" i="11"/>
  <c r="R528" i="11"/>
  <c r="R527" i="11"/>
  <c r="R526" i="11"/>
  <c r="R525" i="11"/>
  <c r="R524" i="11"/>
  <c r="R523" i="11"/>
  <c r="R522" i="11"/>
  <c r="R521" i="11"/>
  <c r="R520" i="11"/>
  <c r="R519" i="11"/>
  <c r="R518" i="11"/>
  <c r="R517" i="11"/>
  <c r="R516" i="11"/>
  <c r="R515" i="11"/>
  <c r="R514" i="11"/>
  <c r="R513" i="11"/>
  <c r="R512" i="11"/>
  <c r="R511" i="11"/>
  <c r="R510" i="11"/>
  <c r="R509" i="11"/>
  <c r="R508" i="11"/>
  <c r="R507" i="11"/>
  <c r="R506" i="11"/>
  <c r="R505" i="11"/>
  <c r="R504" i="11"/>
  <c r="R503" i="11"/>
  <c r="R502" i="11"/>
  <c r="R501" i="11"/>
  <c r="R500" i="11"/>
  <c r="R499" i="11"/>
  <c r="R498" i="11"/>
  <c r="R497" i="11"/>
  <c r="R496" i="11"/>
  <c r="R495" i="11"/>
  <c r="R494" i="11"/>
  <c r="R493" i="11"/>
  <c r="R492" i="11"/>
  <c r="R491" i="11"/>
  <c r="R490" i="11"/>
  <c r="R489" i="11"/>
  <c r="R488" i="11"/>
  <c r="R487" i="11"/>
  <c r="R486" i="11"/>
  <c r="R485" i="11"/>
  <c r="R484" i="11"/>
  <c r="R483" i="11"/>
  <c r="R482" i="11"/>
  <c r="R481" i="11"/>
  <c r="R480" i="11"/>
  <c r="R479" i="11"/>
  <c r="R478" i="11"/>
  <c r="R477" i="11"/>
  <c r="R476" i="11"/>
  <c r="R475" i="11"/>
  <c r="R474" i="11"/>
  <c r="R473" i="11"/>
  <c r="R472" i="11"/>
  <c r="R471" i="11"/>
  <c r="R470" i="11"/>
  <c r="R469" i="11"/>
  <c r="R468" i="11"/>
  <c r="R467" i="11"/>
  <c r="R466" i="11"/>
  <c r="R465" i="11"/>
  <c r="R464" i="11"/>
  <c r="R463" i="11"/>
  <c r="R462" i="11"/>
  <c r="R461" i="11"/>
  <c r="R460" i="11"/>
  <c r="R459" i="11"/>
  <c r="R458" i="11"/>
  <c r="R457" i="11"/>
  <c r="R456" i="11"/>
  <c r="R455" i="11"/>
  <c r="R454" i="11"/>
  <c r="R453" i="11"/>
  <c r="R452" i="11"/>
  <c r="R451" i="11"/>
  <c r="R450" i="11"/>
  <c r="R449" i="11"/>
  <c r="R448" i="11"/>
  <c r="R447" i="11"/>
  <c r="R446" i="11"/>
  <c r="R445" i="11"/>
  <c r="R444" i="11"/>
  <c r="R443" i="11"/>
  <c r="R442" i="11"/>
  <c r="R441" i="11"/>
  <c r="R440" i="11"/>
  <c r="R439" i="11"/>
  <c r="R438" i="11"/>
  <c r="R437" i="11"/>
  <c r="R436" i="11"/>
  <c r="R435" i="11"/>
  <c r="R434" i="11"/>
  <c r="R433" i="11"/>
  <c r="R432" i="11"/>
  <c r="R431" i="11"/>
  <c r="R430" i="11"/>
  <c r="R429" i="11"/>
  <c r="R428" i="11"/>
  <c r="R427" i="11"/>
  <c r="R426" i="11"/>
  <c r="R425" i="11"/>
  <c r="R424" i="11"/>
  <c r="R423" i="11"/>
  <c r="R422" i="11"/>
  <c r="R421" i="11"/>
  <c r="R420" i="11"/>
  <c r="R419" i="11"/>
  <c r="R418" i="11"/>
  <c r="R417" i="11"/>
  <c r="R416" i="11"/>
  <c r="R415" i="11"/>
  <c r="R414" i="11"/>
  <c r="R413" i="11"/>
  <c r="R412" i="11"/>
  <c r="R411" i="11"/>
  <c r="R410" i="11"/>
  <c r="R409" i="11"/>
  <c r="R408" i="11"/>
  <c r="R407" i="11"/>
  <c r="R406" i="11"/>
  <c r="R405" i="11"/>
  <c r="R404" i="11"/>
  <c r="R403" i="11"/>
  <c r="R402" i="11"/>
  <c r="R401" i="11"/>
  <c r="R400" i="11"/>
  <c r="R399" i="11"/>
  <c r="R398" i="11"/>
  <c r="R397" i="11"/>
  <c r="R396" i="11"/>
  <c r="R395" i="11"/>
  <c r="R394" i="11"/>
  <c r="R393" i="11"/>
  <c r="R392" i="11"/>
  <c r="R391" i="11"/>
  <c r="R390" i="11"/>
  <c r="R389" i="11"/>
  <c r="R388" i="11"/>
  <c r="R387" i="11"/>
  <c r="R386" i="11"/>
  <c r="R385" i="11"/>
  <c r="R384" i="11"/>
  <c r="R383" i="11"/>
  <c r="R382" i="11"/>
  <c r="R381" i="11"/>
  <c r="R380" i="11"/>
  <c r="R379" i="11"/>
  <c r="R378" i="11"/>
  <c r="R377" i="11"/>
  <c r="R376" i="11"/>
  <c r="R375" i="11"/>
  <c r="R374" i="11"/>
  <c r="R373" i="11"/>
  <c r="R372" i="11"/>
  <c r="R371" i="11"/>
  <c r="R370" i="11"/>
  <c r="R369" i="11"/>
  <c r="R368" i="11"/>
  <c r="R367" i="11"/>
  <c r="R366" i="11"/>
  <c r="R365" i="11"/>
  <c r="R364" i="11"/>
  <c r="R363" i="11"/>
  <c r="R362" i="11"/>
  <c r="R361" i="11"/>
  <c r="R360" i="11"/>
  <c r="R359" i="11"/>
  <c r="R358" i="11"/>
  <c r="R357" i="11"/>
  <c r="R356" i="11"/>
  <c r="R355" i="11"/>
  <c r="R354" i="11"/>
  <c r="R353" i="11"/>
  <c r="R352" i="11"/>
  <c r="R351" i="11"/>
  <c r="R350" i="11"/>
  <c r="R349" i="11"/>
  <c r="R348" i="11"/>
  <c r="R347" i="11"/>
  <c r="R346" i="11"/>
  <c r="R345" i="11"/>
  <c r="R344" i="11"/>
  <c r="R343" i="11"/>
  <c r="R342" i="11"/>
  <c r="R341" i="11"/>
  <c r="R340" i="11"/>
  <c r="R339" i="11"/>
  <c r="R338" i="11"/>
  <c r="R337" i="11"/>
  <c r="R336" i="11"/>
  <c r="R335" i="11"/>
  <c r="R334" i="11"/>
  <c r="R333" i="11"/>
  <c r="R332" i="11"/>
  <c r="R331" i="11"/>
  <c r="R330" i="11"/>
  <c r="R329" i="11"/>
  <c r="R328" i="11"/>
  <c r="R327" i="11"/>
  <c r="R326" i="11"/>
  <c r="R325" i="11"/>
  <c r="R324" i="11"/>
  <c r="R323" i="11"/>
  <c r="R322" i="11"/>
  <c r="R321" i="11"/>
  <c r="R320" i="11"/>
  <c r="R319" i="11"/>
  <c r="R318" i="11"/>
  <c r="R317" i="11"/>
  <c r="R316" i="11"/>
  <c r="R315" i="11"/>
  <c r="R314" i="11"/>
  <c r="R313" i="11"/>
  <c r="R312" i="11"/>
  <c r="R311" i="11"/>
  <c r="R310" i="11"/>
  <c r="R309" i="11"/>
  <c r="R308" i="11"/>
  <c r="R307" i="11"/>
  <c r="R306" i="11"/>
  <c r="R305" i="11"/>
  <c r="R304" i="11"/>
  <c r="R303" i="11"/>
  <c r="R302" i="11"/>
  <c r="R301" i="11"/>
  <c r="R300" i="11"/>
  <c r="R299" i="11"/>
  <c r="R298" i="11"/>
  <c r="R297" i="11"/>
  <c r="R296" i="11"/>
  <c r="R295" i="11"/>
  <c r="R294" i="11"/>
  <c r="R293" i="11"/>
  <c r="R292" i="11"/>
  <c r="R291" i="11"/>
  <c r="R290" i="11"/>
  <c r="R289" i="11"/>
  <c r="R288" i="11"/>
  <c r="R287" i="11"/>
  <c r="R286" i="11"/>
  <c r="R285" i="11"/>
  <c r="R284" i="11"/>
  <c r="R283" i="11"/>
  <c r="R282" i="11"/>
  <c r="R281" i="11"/>
  <c r="R280" i="11"/>
  <c r="R279" i="11"/>
  <c r="R278" i="11"/>
  <c r="R277" i="11"/>
  <c r="R276" i="11"/>
  <c r="R275" i="11"/>
  <c r="R274" i="11"/>
  <c r="R273" i="11"/>
  <c r="R272" i="11"/>
  <c r="R271" i="11"/>
  <c r="R270" i="11"/>
  <c r="R269" i="11"/>
  <c r="R268" i="11"/>
  <c r="R267" i="11"/>
  <c r="R266" i="11"/>
  <c r="R265" i="11"/>
  <c r="R264" i="11"/>
  <c r="R263" i="11"/>
  <c r="R262" i="11"/>
  <c r="R261" i="11"/>
  <c r="R260" i="11"/>
  <c r="R259" i="11"/>
  <c r="R258" i="11"/>
  <c r="R257" i="11"/>
  <c r="R256" i="11"/>
  <c r="R255" i="11"/>
  <c r="R254" i="11"/>
  <c r="R253" i="11"/>
  <c r="R252" i="11"/>
  <c r="R251" i="11"/>
  <c r="R250" i="11"/>
  <c r="R249" i="11"/>
  <c r="R248" i="11"/>
  <c r="R247" i="11"/>
  <c r="R246" i="11"/>
  <c r="R245" i="11"/>
  <c r="R244" i="11"/>
  <c r="R243" i="11"/>
  <c r="R242" i="11"/>
  <c r="R241" i="11"/>
  <c r="R240" i="11"/>
  <c r="R239" i="11"/>
  <c r="R238" i="11"/>
  <c r="R237" i="11"/>
  <c r="R236" i="11"/>
  <c r="R235" i="11"/>
  <c r="R234" i="11"/>
  <c r="R233" i="11"/>
  <c r="R232" i="11"/>
  <c r="R231" i="11"/>
  <c r="R230" i="11"/>
  <c r="R229" i="11"/>
  <c r="R228" i="11"/>
  <c r="R227" i="11"/>
  <c r="R226" i="11"/>
  <c r="R225" i="11"/>
  <c r="R224" i="11"/>
  <c r="R223" i="11"/>
  <c r="R222" i="11"/>
  <c r="R221" i="11"/>
  <c r="R220" i="11"/>
  <c r="R219" i="11"/>
  <c r="R218" i="11"/>
  <c r="R217" i="11"/>
  <c r="R216" i="11"/>
  <c r="R215" i="11"/>
  <c r="R214" i="11"/>
  <c r="R213" i="11"/>
  <c r="R212" i="11"/>
  <c r="R211" i="11"/>
  <c r="R210" i="11"/>
  <c r="R209" i="11"/>
  <c r="R208" i="11"/>
  <c r="R207" i="11"/>
  <c r="R206" i="11"/>
  <c r="R205" i="11"/>
  <c r="R204" i="11"/>
  <c r="R203" i="11"/>
  <c r="R202" i="11"/>
  <c r="R201" i="11"/>
  <c r="R200" i="11"/>
  <c r="R199" i="11"/>
  <c r="R198" i="11"/>
  <c r="R197" i="11"/>
  <c r="R196" i="11"/>
  <c r="R195" i="11"/>
  <c r="R194" i="11"/>
  <c r="R193" i="11"/>
  <c r="R192" i="11"/>
  <c r="R191" i="11"/>
  <c r="R190" i="11"/>
  <c r="R189" i="11"/>
  <c r="R188" i="11"/>
  <c r="R187" i="11"/>
  <c r="R186" i="11"/>
  <c r="R185" i="11"/>
  <c r="R184" i="11"/>
  <c r="R183" i="11"/>
  <c r="R182" i="11"/>
  <c r="R181" i="11"/>
  <c r="R180" i="11"/>
  <c r="R179" i="11"/>
  <c r="R178" i="11"/>
  <c r="R177" i="11"/>
  <c r="R176" i="11"/>
  <c r="R175" i="11"/>
  <c r="R174" i="11"/>
  <c r="R173" i="11"/>
  <c r="R172" i="11"/>
  <c r="R171" i="11"/>
  <c r="R170" i="11"/>
  <c r="R169" i="11"/>
  <c r="R168" i="11"/>
  <c r="R167" i="11"/>
  <c r="R166" i="11"/>
  <c r="R165" i="11"/>
  <c r="R164" i="11"/>
  <c r="R163" i="11"/>
  <c r="R162" i="11"/>
  <c r="R161" i="11"/>
  <c r="R160" i="11"/>
  <c r="R159" i="11"/>
  <c r="R158" i="11"/>
  <c r="R157" i="11"/>
  <c r="R156" i="11"/>
  <c r="R155" i="11"/>
  <c r="R154" i="11"/>
  <c r="R153" i="11"/>
  <c r="R152" i="11"/>
  <c r="R151" i="11"/>
  <c r="R150" i="11"/>
  <c r="R149" i="11"/>
  <c r="R148" i="11"/>
  <c r="R147" i="11"/>
  <c r="R146" i="11"/>
  <c r="R145" i="11"/>
  <c r="R144" i="11"/>
  <c r="R143" i="11"/>
  <c r="R142" i="11"/>
  <c r="R141" i="11"/>
  <c r="R140" i="11"/>
  <c r="R139" i="11"/>
  <c r="R138" i="11"/>
  <c r="R137" i="11"/>
  <c r="R136" i="11"/>
  <c r="R135" i="11"/>
  <c r="R134" i="11"/>
  <c r="R133" i="11"/>
  <c r="R132" i="11"/>
  <c r="R131" i="11"/>
  <c r="R130" i="11"/>
  <c r="R129" i="11"/>
  <c r="R128" i="11"/>
  <c r="R127" i="11"/>
  <c r="R126" i="11"/>
  <c r="R125" i="11"/>
  <c r="R124" i="11"/>
  <c r="R123" i="11"/>
  <c r="R122" i="11"/>
  <c r="R121" i="11"/>
  <c r="R120" i="11"/>
  <c r="R119" i="11"/>
  <c r="R118" i="11"/>
  <c r="R117" i="11"/>
  <c r="R116" i="11"/>
  <c r="R115" i="11"/>
  <c r="R114" i="11"/>
  <c r="R113" i="11"/>
  <c r="R112" i="11"/>
  <c r="R111" i="11"/>
  <c r="R110" i="11"/>
  <c r="R109" i="11"/>
  <c r="R108" i="11"/>
  <c r="R107" i="11"/>
  <c r="R106" i="11"/>
  <c r="R105" i="11"/>
  <c r="R104" i="11"/>
  <c r="R103" i="11"/>
  <c r="R102" i="11"/>
  <c r="R101" i="11"/>
  <c r="R100" i="11"/>
  <c r="R99" i="11"/>
  <c r="R98" i="11"/>
  <c r="R97" i="11"/>
  <c r="R96" i="11"/>
  <c r="R95" i="11"/>
  <c r="R94" i="11"/>
  <c r="R93" i="11"/>
  <c r="R92" i="11"/>
  <c r="R91" i="11"/>
  <c r="R90" i="11"/>
  <c r="R89" i="11"/>
  <c r="R88" i="11"/>
  <c r="R87" i="11"/>
  <c r="R86" i="11"/>
  <c r="R85" i="11"/>
  <c r="R84" i="11"/>
  <c r="R83" i="11"/>
  <c r="R82" i="11"/>
  <c r="R81" i="11"/>
  <c r="R80" i="11"/>
  <c r="R79" i="11"/>
  <c r="R78" i="11"/>
  <c r="R77" i="11"/>
  <c r="R76" i="11"/>
  <c r="R75" i="11"/>
  <c r="R74" i="11"/>
  <c r="R73" i="11"/>
  <c r="R72" i="11"/>
  <c r="R71" i="11"/>
  <c r="R70" i="11"/>
  <c r="R69" i="11"/>
  <c r="R68" i="11"/>
  <c r="R67" i="11"/>
  <c r="R66" i="11"/>
  <c r="R65" i="11"/>
  <c r="R64" i="11"/>
  <c r="R63" i="11"/>
  <c r="R62" i="11"/>
  <c r="R61" i="11"/>
  <c r="R60" i="11"/>
  <c r="R59" i="11"/>
  <c r="R58" i="11"/>
  <c r="R57" i="11"/>
  <c r="R56" i="11"/>
  <c r="R55" i="11"/>
  <c r="R54" i="11"/>
  <c r="R53" i="11"/>
  <c r="R52" i="11"/>
  <c r="R51" i="11"/>
  <c r="R50" i="11"/>
  <c r="R49" i="11"/>
  <c r="R48" i="11"/>
  <c r="R47" i="11"/>
  <c r="R46" i="11"/>
  <c r="R45" i="11"/>
  <c r="R44" i="11"/>
  <c r="R43" i="11"/>
  <c r="R42" i="11"/>
  <c r="R41" i="11"/>
  <c r="R40" i="11"/>
  <c r="R39" i="11"/>
  <c r="R38" i="11"/>
  <c r="R37" i="11"/>
  <c r="R36" i="11"/>
  <c r="R35" i="11"/>
  <c r="R34" i="11"/>
  <c r="R33" i="11"/>
  <c r="R32" i="11"/>
  <c r="R31" i="11"/>
  <c r="R30" i="11"/>
  <c r="R29" i="11"/>
  <c r="R28" i="11"/>
  <c r="R27" i="11"/>
  <c r="R26" i="11"/>
  <c r="R25" i="11"/>
  <c r="R24" i="11"/>
  <c r="R23" i="11"/>
  <c r="R22" i="11"/>
  <c r="R21" i="11"/>
  <c r="R20" i="11"/>
  <c r="R19" i="11"/>
  <c r="R18" i="11"/>
  <c r="R17" i="11"/>
  <c r="R16" i="11"/>
  <c r="R15" i="11"/>
  <c r="R14" i="11"/>
  <c r="R13" i="11"/>
  <c r="R12" i="11"/>
  <c r="R11" i="11"/>
  <c r="R10" i="11"/>
  <c r="R9" i="11"/>
  <c r="R8" i="11"/>
  <c r="R7" i="11"/>
  <c r="R6" i="11"/>
  <c r="R5" i="11"/>
  <c r="R4" i="11"/>
  <c r="R3" i="11"/>
  <c r="H2" i="26" a="1"/>
  <c r="H2" i="26" s="1"/>
  <c r="E2" i="26" a="1"/>
  <c r="E2" i="26" s="1"/>
  <c r="F2" i="26" s="1"/>
  <c r="N6" i="13"/>
  <c r="N12" i="13"/>
  <c r="N11" i="13"/>
  <c r="N10" i="13"/>
  <c r="N9" i="13"/>
  <c r="N8" i="13"/>
  <c r="N7" i="13"/>
  <c r="N14" i="13"/>
  <c r="N13" i="13"/>
  <c r="N19" i="13"/>
  <c r="N18" i="13"/>
  <c r="N17" i="13"/>
  <c r="N16" i="13"/>
  <c r="N5" i="13"/>
  <c r="N4" i="13"/>
  <c r="N3" i="13"/>
  <c r="N2" i="13"/>
  <c r="N15" i="13"/>
  <c r="E9" i="8"/>
  <c r="E3" i="8"/>
  <c r="E4" i="8"/>
  <c r="E5" i="8"/>
  <c r="E6" i="8"/>
  <c r="E7" i="8"/>
  <c r="E8" i="8"/>
  <c r="E2" i="8"/>
  <c r="F6" i="1"/>
  <c r="F5" i="1"/>
  <c r="F4" i="1"/>
  <c r="F3" i="1"/>
  <c r="F2" i="1"/>
  <c r="F7" i="26" l="1"/>
  <c r="F5" i="26"/>
  <c r="F3" i="26"/>
  <c r="F6" i="26"/>
  <c r="F4" i="26"/>
  <c r="I5" i="26"/>
  <c r="I6" i="26"/>
  <c r="I8" i="26"/>
  <c r="I4" i="26"/>
  <c r="I3" i="26"/>
  <c r="I7"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tc={211919C4-5BF2-4996-821A-EE530E89F8A4}</author>
    <author>tc={FE2D9574-EC99-8940-B5A1-6546EE4289AD}</author>
  </authors>
  <commentList>
    <comment ref="G339" authorId="0" shapeId="0" xr:uid="{211919C4-5BF2-4996-821A-EE530E89F8A4}">
      <text>
        <t>[Threaded comment]
Your version of Excel allows you to read this threaded comment; however, any edits to it will get removed if the file is opened in a newer version of Excel. Learn more: https://go.microsoft.com/fwlink/?linkid=870924
Comment:
    Julie = Linda</t>
      </text>
    </comment>
    <comment ref="Z339" authorId="1" shapeId="0" xr:uid="{FE2D9574-EC99-8940-B5A1-6546EE4289AD}">
      <text>
        <t>[Threaded comment]
Your version of Excel allows you to read this threaded comment; however, any edits to it will get removed if the file is opened in a newer version of Excel. Learn more: https://go.microsoft.com/fwlink/?linkid=870924
Comment:
    Julie = Linda</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tc={9A71887A-A760-4CD6-826B-5AE3FD819800}</author>
  </authors>
  <commentList>
    <comment ref="F145" authorId="0" shapeId="0" xr:uid="{9A71887A-A760-4CD6-826B-5AE3FD819800}">
      <text>
        <t>[Threaded comment]
Your version of Excel allows you to read this threaded comment; however, any edits to it will get removed if the file is opened in a newer version of Excel. Learn more: https://go.microsoft.com/fwlink/?linkid=870924
Comment:
    Julie = Linda</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<sst xmlns="http://schemas.openxmlformats.org/spreadsheetml/2006/main" count="17547" uniqueCount="1169">
  <si>
    <t>Table of Contents</t>
  </si>
  <si>
    <t>Combined Fall 2020 and Spring 2021 Discussions</t>
  </si>
  <si>
    <t>Fall 2020 The Lady, or the Tiger Discussions</t>
  </si>
  <si>
    <t>Fall 2020 CHAT The Lady, or the Tiger Discussion</t>
  </si>
  <si>
    <t>Fall 2020 CREW Lady and the Tiger Discussions</t>
  </si>
  <si>
    <t>Fall 2020 Summaries UPDATE THE LINK!!!!</t>
  </si>
  <si>
    <t>Fall 2020 CREW Lady and the Tiger Collaborative Writings</t>
  </si>
  <si>
    <t>Spring 2021 The Lady, or the Tiger</t>
  </si>
  <si>
    <t>Spring 2021 CHAT The Lady, or the Tiger Discussion</t>
  </si>
  <si>
    <t>Spring 2021 CREW Lady and the Tiger Discussions</t>
  </si>
  <si>
    <t>Spring 2021 CREW Lady and the Tiger Collaborative Writings</t>
  </si>
  <si>
    <t>Spring 2021 Discussion Summaries</t>
  </si>
  <si>
    <t>Spring 2022 Sync vs Async CREW &amp; CHAT The Lady, or the Tiger</t>
  </si>
  <si>
    <t>Spring 2022 CHAT Sync The Lady, or the Tiger Discussion</t>
  </si>
  <si>
    <t>Spring 2022 CHAT Async The Lady, or the Tiger Discussion</t>
  </si>
  <si>
    <t>Spring 2022 CREW Sync The Lady, or the Tiger Discussion</t>
  </si>
  <si>
    <t>Spring 2022 CREW Sync The Lady, or the Tiger Collab Writing</t>
  </si>
  <si>
    <t>Spring 2022 CREW Async The Lady, or the Tiger Discussion</t>
  </si>
  <si>
    <t>Spring 22 discussion Summaries UPDATE LINK, REORDER ROWS</t>
  </si>
  <si>
    <t>Spring 2022 CREW Async The Lady, or the Tiger Collab Writing</t>
  </si>
  <si>
    <t>Analysis (GS)</t>
  </si>
  <si>
    <t>Course</t>
  </si>
  <si>
    <t>Book ID</t>
  </si>
  <si>
    <t>Topic</t>
  </si>
  <si>
    <t>Bookclub</t>
  </si>
  <si>
    <t>Pseudonym</t>
  </si>
  <si>
    <t>Message</t>
  </si>
  <si>
    <t>Message Time</t>
  </si>
  <si>
    <t>Is Answer</t>
  </si>
  <si>
    <t>Page</t>
  </si>
  <si>
    <t>Response Number</t>
  </si>
  <si>
    <t>R1 Discussion type</t>
  </si>
  <si>
    <t>R2 Discussion Type</t>
  </si>
  <si>
    <t>R1 Dialogic spell</t>
  </si>
  <si>
    <t>R2 Dialogic Spell</t>
  </si>
  <si>
    <t>R1 Uptake</t>
  </si>
  <si>
    <t>R2 Uptake</t>
  </si>
  <si>
    <t>R1 Question</t>
  </si>
  <si>
    <t>R2 Question</t>
  </si>
  <si>
    <t>R1 Pivot</t>
  </si>
  <si>
    <t>R2 Pivot</t>
  </si>
  <si>
    <t>Memo</t>
  </si>
  <si>
    <t>Old Code Book</t>
  </si>
  <si>
    <t>PIM P1</t>
  </si>
  <si>
    <t>Part 1: What happens next? What is behind the door, the lady or the tiger?  Part 2: Later, the King discovers that his daughter has broken the law.  How does the King respond? What happens?</t>
  </si>
  <si>
    <t>Book Club One</t>
  </si>
  <si>
    <t>pim-01</t>
  </si>
  <si>
    <t xml:space="preserve">Hello. </t>
  </si>
  <si>
    <t>No</t>
  </si>
  <si>
    <t>Social</t>
  </si>
  <si>
    <t>Greeting</t>
  </si>
  <si>
    <t>My assumption is</t>
  </si>
  <si>
    <t>Seminar</t>
  </si>
  <si>
    <t>Social to Seminar</t>
  </si>
  <si>
    <t>Content Discussion</t>
  </si>
  <si>
    <t>that the emphasis on barbarism implies that she sent him to the lion.</t>
  </si>
  <si>
    <t>pim-03</t>
  </si>
  <si>
    <t xml:space="preserve">I agree with Cassandra's noticing </t>
  </si>
  <si>
    <t>Affirm</t>
  </si>
  <si>
    <t>Response</t>
  </si>
  <si>
    <t>of the author's word choice of barbarism.</t>
  </si>
  <si>
    <t>pim-02</t>
  </si>
  <si>
    <t xml:space="preserve">I loved the addition of </t>
  </si>
  <si>
    <t>Feedback</t>
  </si>
  <si>
    <t xml:space="preserve">Her lover would die and never love another." </t>
  </si>
  <si>
    <t xml:space="preserve"> Sadly  the barbaric nature of the king and princess is still alive today in crimes of passion."</t>
  </si>
  <si>
    <t>Seminar to Procedure</t>
  </si>
  <si>
    <t>Submitted</t>
  </si>
  <si>
    <t>Procedure</t>
  </si>
  <si>
    <t>Logistics</t>
  </si>
  <si>
    <t>Book Club Two</t>
  </si>
  <si>
    <t>pim-06</t>
  </si>
  <si>
    <t xml:space="preserve">If the princess possesses the same semi-barbaric trait as her father, then it would seem she directed her lover to the door with the tiger. </t>
  </si>
  <si>
    <t>Either way she must love without him, but is she open-hearted enough to allow for him to love another?</t>
  </si>
  <si>
    <t>C-HOT</t>
  </si>
  <si>
    <t>It doesn't appear so. For instance, she discloses great agony, jealousy, and stress about the potential wedding between her lover and the lady behind the door;</t>
  </si>
  <si>
    <t xml:space="preserve">however, she only comments that a tiger would bring shrieks and blood. From her revealed thoughts, she is </t>
  </si>
  <si>
    <t>mor</t>
  </si>
  <si>
    <t>Incomplete/Typo</t>
  </si>
  <si>
    <t>more upset with the prospect of him belonging to another, and so it is clear,</t>
  </si>
  <si>
    <t>given the two terrible choices,</t>
  </si>
  <si>
    <t>she would send him to his death.</t>
  </si>
  <si>
    <t>If the King were to discover that his daughter broke the law by secretly sending her lover towards the door on the right</t>
  </si>
  <si>
    <t xml:space="preserve">he would have to send his daughter to the arena for a judgement. </t>
  </si>
  <si>
    <t>I would imagine,</t>
  </si>
  <si>
    <t>given that it is stressed he is semi-barbaric, he would choose not to send his daughter, whom he loves so dearly, to her potential death.</t>
  </si>
  <si>
    <t>However, I also do not</t>
  </si>
  <si>
    <t>ima</t>
  </si>
  <si>
    <t xml:space="preserve">imagine this to be the catalyst that ends his idea of public punishment. </t>
  </si>
  <si>
    <t>Perhaps, instead of sending his daughter to the arena, he would send the person who gave her the information about the two doors instead.</t>
  </si>
  <si>
    <t xml:space="preserve"> It could be argued that the informant is more guilty than the princess and is sent to show the kingdom the consequence of such behaviors.</t>
  </si>
  <si>
    <t>(Sorry it came out as three separate messages! For some reason, it wouldn't post my full response at once.)</t>
  </si>
  <si>
    <t>General Comment</t>
  </si>
  <si>
    <t>pim-04</t>
  </si>
  <si>
    <t xml:space="preserve">I agree with Ashely </t>
  </si>
  <si>
    <t xml:space="preserve"> that the Princess's barbaric traits will lead the princess to send her lover to his death.</t>
  </si>
  <si>
    <t>She exhibits immaturity and cruelty by fixating on imagined flirtations between "the lady" and the princess's lover.</t>
  </si>
  <si>
    <t>The story also leads me to think that she is accustomed to having her every wish granted by her father and that she never learned the benefits of compassion.</t>
  </si>
  <si>
    <t>I also agree with Ashley</t>
  </si>
  <si>
    <t>that the king's adoration of his daughter would stop him from sending his daughter into the arena.</t>
  </si>
  <si>
    <t xml:space="preserve">I had orgininally thought that the king would either keep her secret out of love for his daughter, or out of barbaric pride that she sent her lover to his grizzly death, or a combination of the two. </t>
  </si>
  <si>
    <t>If the secret was shared with the community, I also think that it would be her informant that would be punished.</t>
  </si>
  <si>
    <t> </t>
  </si>
  <si>
    <t xml:space="preserve">I had not considered Ashley's idea that this experience might be an </t>
  </si>
  <si>
    <t>opportun</t>
  </si>
  <si>
    <t>I had not considered Ashley's idea that this experience might be an opportunity for the king to re-examine the practice.</t>
  </si>
  <si>
    <t xml:space="preserve"> I like this idea!</t>
  </si>
  <si>
    <t xml:space="preserve">The more I think about this activity, the more I wonder if we are supposed to be collaboratively writing an end to the story. </t>
  </si>
  <si>
    <t>Deliberation</t>
  </si>
  <si>
    <t>Seminar to Deliberation</t>
  </si>
  <si>
    <t>Assignment Instructions</t>
  </si>
  <si>
    <t xml:space="preserve">Perhaps the top of this page (where we type and send messages) is for planning and the bottom (open white area) is for writing an end to the story? </t>
  </si>
  <si>
    <t>C-LOT</t>
  </si>
  <si>
    <t>Instruction Question</t>
  </si>
  <si>
    <t xml:space="preserve">I'm overall a little confused by this entire module </t>
  </si>
  <si>
    <t>and am open to other thoughts/suggestions.</t>
  </si>
  <si>
    <t xml:space="preserve">I think you are correct, Ashley. </t>
  </si>
  <si>
    <t>I thought we could all answer the questions in the messaging area (like you &amp; I did), then we can take turns drafting a group response</t>
  </si>
  <si>
    <t>I could write the first draft based on my interpretation of our answers, then we could take turns editing - round robin style until we are happy with the result</t>
  </si>
  <si>
    <t>What were your thoughts?</t>
  </si>
  <si>
    <t>O-HOT</t>
  </si>
  <si>
    <t>Assignment Question</t>
  </si>
  <si>
    <t xml:space="preserve">That sounds great, Meg! </t>
  </si>
  <si>
    <t>Deliberation to Social</t>
  </si>
  <si>
    <t>Thanks for taking the lead on the first draft</t>
  </si>
  <si>
    <t xml:space="preserve">I’ll check in soon and add to it </t>
  </si>
  <si>
    <t>Social to Procedure</t>
  </si>
  <si>
    <t>👍</t>
  </si>
  <si>
    <t>Emoticon/Non-verbal</t>
  </si>
  <si>
    <t>SUBMITTED</t>
  </si>
  <si>
    <t>pim-05</t>
  </si>
  <si>
    <t xml:space="preserve">I am late to the discussion </t>
  </si>
  <si>
    <t>Opening statement</t>
  </si>
  <si>
    <t>but I figured I might as well add to this</t>
  </si>
  <si>
    <t>because while I agree with the first part said</t>
  </si>
  <si>
    <t xml:space="preserve"> I have to say, the line of thinking is still technically flawed.</t>
  </si>
  <si>
    <t xml:space="preserve">Just because she comes from a semi-barbaric King does not make her semi-barbaric. </t>
  </si>
  <si>
    <t>Love does have a way of changing how we think and make valuable decisions like this one</t>
  </si>
  <si>
    <t>While Jealousy is a strong determinate, Love is often stronger, and it would make sense to allow her lover to live out of love just as much as it would make</t>
  </si>
  <si>
    <t>s</t>
  </si>
  <si>
    <t xml:space="preserve">make sense to allow her lover to live out of love just as much as it would make sense for her to have him killed. </t>
  </si>
  <si>
    <t>Basing a decision on her lineage is not exactly a strong source in my opinion.</t>
  </si>
  <si>
    <t>However, basing a decision on her own thought process, that I can get behind</t>
  </si>
  <si>
    <t>and Meg brought and interesting topic of the difference between how the princess rambles on about him opening the door with the lady but barely mentions him opening the door with the tiger.</t>
  </si>
  <si>
    <t>The princess has no qualms about her lover dying but</t>
  </si>
  <si>
    <t>had great grief over her lover in another’s arms.</t>
  </si>
  <si>
    <t xml:space="preserve">As for the second part, only her lover saw her give the signal so the second part is questionable as it would be based on hearsay. </t>
  </si>
  <si>
    <t xml:space="preserve"> Would the king even entertain that idea given it is his daughter?</t>
  </si>
  <si>
    <t>Content Question</t>
  </si>
  <si>
    <t xml:space="preserve">Who knows? </t>
  </si>
  <si>
    <t>Without someone seeing her give the signal, they really cannot accuse her of helping him</t>
  </si>
  <si>
    <t>Not to mention that if she had not helped him at all, and he opened the door with the female, would she still be under scrutiny?</t>
  </si>
  <si>
    <t>What would happen then?</t>
  </si>
  <si>
    <t>Book Club Three</t>
  </si>
  <si>
    <t>pim-09</t>
  </si>
  <si>
    <t>uwgyeu</t>
  </si>
  <si>
    <t xml:space="preserve">Part 1: For this question, our team decided that the princess chose the door with the tiger. </t>
  </si>
  <si>
    <t>This is based on the story's emphasis on the royal family's semi barbaric" nature.</t>
  </si>
  <si>
    <t xml:space="preserve"> In the story  it is mentioned several times that the princess is jealous of the idea of her lover being with another woman  stating "her soul had burned in agony when he rushed to meet that woman" (pp. 10).</t>
  </si>
  <si>
    <t>This action seems indicitive of her barbaric and jealous nature because this way she remains the conquerer  and if she cannot</t>
  </si>
  <si>
    <t>ha"</t>
  </si>
  <si>
    <t>Book Club Four</t>
  </si>
  <si>
    <t>pim-11</t>
  </si>
  <si>
    <t xml:space="preserve">What do you guys think? </t>
  </si>
  <si>
    <t>Do you think that she kills him or saves him?</t>
  </si>
  <si>
    <t>What would you do in her place?</t>
  </si>
  <si>
    <t>Imaginative entry</t>
  </si>
  <si>
    <t>Seminar to Imaginative entry</t>
  </si>
  <si>
    <t xml:space="preserve">I kind of think that even though she is angry and jealous, she would ultimately save him. </t>
  </si>
  <si>
    <t>Imaginative entry to Seminar</t>
  </si>
  <si>
    <t>I think that overall the weight of her conscious would have kept her from sending him to his death for falling in love with her.</t>
  </si>
  <si>
    <t>After all, it is a two way road and she is being punished right along with him for getting caught by the king as well.</t>
  </si>
  <si>
    <t xml:space="preserve"> I also think that even if the king finds out that she knew the doors he will know that either choice that she makes is a punishment in its own right. She suffers either way </t>
  </si>
  <si>
    <t>w</t>
  </si>
  <si>
    <t xml:space="preserve">And what if the king already knew that she had broken the law. </t>
  </si>
  <si>
    <t>Perhaps he planned it so that she would be the one to make the decision in the end as no one has ever known what's behind the doors before</t>
  </si>
  <si>
    <t>Maybe this was her punishment.</t>
  </si>
  <si>
    <t>Knowing she could save him from death, but still lose him in the end.</t>
  </si>
  <si>
    <t>It would be just a thing that this King would do I think.</t>
  </si>
  <si>
    <t>pim-12</t>
  </si>
  <si>
    <t xml:space="preserve">Kyra, those are some good thoughts! </t>
  </si>
  <si>
    <t>I'm kind of on the fence about whether she saves him or not.</t>
  </si>
  <si>
    <t xml:space="preserve"> I think that she may dislike the idea that he marries another more than him dying.</t>
  </si>
  <si>
    <t>So I'm leaning more toward she sends him to the tiger's door.</t>
  </si>
  <si>
    <t xml:space="preserve">But I do also think that it is possible that the King could be in on it too. </t>
  </si>
  <si>
    <t>He could know that she knows which door is which and he seems like the type of king to enjoy that punishment</t>
  </si>
  <si>
    <t xml:space="preserve">Emilie I can see that. </t>
  </si>
  <si>
    <t xml:space="preserve">Not what do you think she would do, but what would you do if you were in the situation? </t>
  </si>
  <si>
    <t>I know I wouldn't be able to live with myself if I knew I was the reason the person I loved was killed in such a painful manner</t>
  </si>
  <si>
    <t xml:space="preserve"> It would hurt worse to know his death was my fault than to know that he was happy with someone else. </t>
  </si>
  <si>
    <t>I think I'd find it easier to move on and live if he was still alive.</t>
  </si>
  <si>
    <t>I mean there are other guys out there after all.</t>
  </si>
  <si>
    <t>I agree.</t>
  </si>
  <si>
    <t xml:space="preserve"> Personally, I would save him. </t>
  </si>
  <si>
    <t xml:space="preserve">I'd rather be sad for a little while that the person I loved married someone else, than let them get killed. </t>
  </si>
  <si>
    <t>I would feel guilty for the rest of my life.</t>
  </si>
  <si>
    <t xml:space="preserve">And that's true! </t>
  </si>
  <si>
    <t>There are other guys out there so even if he was the most handsome and all that,</t>
  </si>
  <si>
    <t>I'm sure I would eventually get over him being with someone else</t>
  </si>
  <si>
    <t>I think if I misled him to choose the tiger's door, I would feel like I committed a murder myself</t>
  </si>
  <si>
    <t xml:space="preserve">I agree with that so much! </t>
  </si>
  <si>
    <t>But I'm not sure how this princess would think.</t>
  </si>
  <si>
    <t xml:space="preserve">Do we know how many people are part of this group? </t>
  </si>
  <si>
    <t>Instuction Question</t>
  </si>
  <si>
    <t>We can try to get in touch with them and decide how we wat to write out the answer</t>
  </si>
  <si>
    <t xml:space="preserve">I'm not sure! </t>
  </si>
  <si>
    <t>I tried looking for a "particpants" button or something and I couldn't find one.</t>
  </si>
  <si>
    <t>I couldn't either.</t>
  </si>
  <si>
    <t>I sent an email to the coordinator and I hope to hear back from them, but I wouldn't mind setting up a discussion in our class page too</t>
  </si>
  <si>
    <t>You're here for LIS6303 or for another class?</t>
  </si>
  <si>
    <t>I'm also in LIS6303!</t>
  </si>
  <si>
    <t xml:space="preserve">okay awesome! </t>
  </si>
  <si>
    <t>I'm going to create a discussion called Book Club 4 and see if we can see if there is anyone else who is part of that group.</t>
  </si>
  <si>
    <t>Good idea!</t>
  </si>
  <si>
    <t>Procedure to Social</t>
  </si>
  <si>
    <t>So how do you guys think we should end it?</t>
  </si>
  <si>
    <t>Social to Deliberation</t>
  </si>
  <si>
    <t xml:space="preserve">I'm honestly okay with either ending, </t>
  </si>
  <si>
    <t xml:space="preserve">but I think we should incorporate the King mentioning that he helped feed his daughter the information on what was behind each door. </t>
  </si>
  <si>
    <t>Deliberation to Seminar</t>
  </si>
  <si>
    <t>That's just my opinion though.</t>
  </si>
  <si>
    <t xml:space="preserve">Also, I got an email letting us know that Elias Royal is also a part of our group. </t>
  </si>
  <si>
    <t>I want to wait to see what they think about how the ending should go as well.</t>
  </si>
  <si>
    <t>How do you think it should end, Emilie?</t>
  </si>
  <si>
    <t>Of course, we should all definitely have a chance to contribute.</t>
  </si>
  <si>
    <t xml:space="preserve">I'm also okay with either ending for Part 1 as well. </t>
  </si>
  <si>
    <t>My initial thoughts were that the princess knows what's behind each of the doors because the King had told her or she figured it out from overhearing him talk about the punishment.</t>
  </si>
  <si>
    <t>I also got the sense that she would point her lover to the tiger's door, but now the more that I think about it, I think she would send him to the other woman.</t>
  </si>
  <si>
    <t xml:space="preserve"> </t>
  </si>
  <si>
    <t>I liked what you mentioned earlier Kyra</t>
  </si>
  <si>
    <t>about how she may have felt guilty.</t>
  </si>
  <si>
    <t xml:space="preserve">As for Part 2, I have a theory. </t>
  </si>
  <si>
    <t>I think that when the King discovers his daughter broke the law, he would still make her go through the arena.</t>
  </si>
  <si>
    <t>BUT, he'd tell her which door leads to a man and which leads to the tiger, thinking that she will obviously choose to marry and live.</t>
  </si>
  <si>
    <t>HOWEVER, she is so distraught about losing the love of her life that she actually chooses the tiger's door on purpose.</t>
  </si>
  <si>
    <t>This could either cause the King to become even more barbaric or to stop these trials all together</t>
  </si>
  <si>
    <t>But that's just what I was thinking.</t>
  </si>
  <si>
    <t xml:space="preserve"> I'm definitely okay with another approach that we can all agree on</t>
  </si>
  <si>
    <t xml:space="preserve">Oooo I like that idea of how he might send her to the arena and then tell her which is behind each door. </t>
  </si>
  <si>
    <t>This gives her a chance at potential happiness or, if she is feeling miserable and depressed, may want to go through with the tiger!</t>
  </si>
  <si>
    <t>That's certainly an interesting way to look at the potential of that kind of ending.</t>
  </si>
  <si>
    <t xml:space="preserve">And I almost think if we can't decide we might just flip a coin </t>
  </si>
  <si>
    <t xml:space="preserve">lol </t>
  </si>
  <si>
    <t>Seminar to Social</t>
  </si>
  <si>
    <t>(I've been playing dnd too much and it has influenced my writing)</t>
  </si>
  <si>
    <t>Or we could take turns writing out a paragraph and jump one it from the last person's response.</t>
  </si>
  <si>
    <t xml:space="preserve">Flipping a coin may not be the worst idea, honestly! </t>
  </si>
  <si>
    <t xml:space="preserve">I like the idea of writing a paragraph or a few sentences and then bouncing off from there. </t>
  </si>
  <si>
    <t>That's fun</t>
  </si>
  <si>
    <t xml:space="preserve">Glad you like that idea </t>
  </si>
  <si>
    <t>:D</t>
  </si>
  <si>
    <t>I think it would be fun too!</t>
  </si>
  <si>
    <t>Oooo I have another idea! What if the princess sends the man to the tiger and right out tells her father she did it and wants a trial. Then because he loves her he begs her to choose the door with the young man he picks for her, but she chooses the tiger.</t>
  </si>
  <si>
    <t>That's a creative idea!</t>
  </si>
  <si>
    <t xml:space="preserve"> I like it</t>
  </si>
  <si>
    <t xml:space="preserve">Kyra, I LOVE what you did for part 1!! </t>
  </si>
  <si>
    <t xml:space="preserve">That's some amazing writing! </t>
  </si>
  <si>
    <t>Let's hope I do as well on part 2!!</t>
  </si>
  <si>
    <t>Awww thank you so much!</t>
  </si>
  <si>
    <t>Ahhh I love your response too!</t>
  </si>
  <si>
    <t>Finished! How does that sound?</t>
  </si>
  <si>
    <t>O-LOT</t>
  </si>
  <si>
    <t>it's wonderful!</t>
  </si>
  <si>
    <t>Any idea on how to submit it?</t>
  </si>
  <si>
    <t>I think we just leave it here? I'm not totally sure</t>
  </si>
  <si>
    <t xml:space="preserve">Yeah I was wondering because when I click 'My Answer' at the top it says I haven't submitted one. </t>
  </si>
  <si>
    <t xml:space="preserve">So I don't know. </t>
  </si>
  <si>
    <t>Maybe sometime next week there will be a button to push.</t>
  </si>
  <si>
    <t xml:space="preserve">Maybe! </t>
  </si>
  <si>
    <t>Or when the survey comes out maybe something will be there</t>
  </si>
  <si>
    <t>Yeah that makes sense.</t>
  </si>
  <si>
    <t>Book Club Five</t>
  </si>
  <si>
    <t>pim-13</t>
  </si>
  <si>
    <t>darla</t>
  </si>
  <si>
    <t>Part 1: Ultimately, it is left for the reader to decide what is behind the door,</t>
  </si>
  <si>
    <t>and it would depend what they feel the princess cares about more - his life or him being married to another woman.</t>
  </si>
  <si>
    <t>He sentences her to the same trial.</t>
  </si>
  <si>
    <t>pim-14</t>
  </si>
  <si>
    <t xml:space="preserve">Part 1: It is such an agonizing question of whether the lady or the tiger is behind the door. </t>
  </si>
  <si>
    <t xml:space="preserve"> The abyss of pain and betrayal of an unfaithful lover and seeing them with someone else is palpable and I could imagine that in the throngs of that deep pain one might wish their unfaithful lover to be dead.</t>
  </si>
  <si>
    <t>I would hope though</t>
  </si>
  <si>
    <t xml:space="preserve">that the lady is behind the door; that the princess might be able to also feel that to take another human life, even when that life has so greatly wronged you, is far worse than to </t>
  </si>
  <si>
    <t>experien</t>
  </si>
  <si>
    <t xml:space="preserve">^Gina, that is a really interesting point that you make, </t>
  </si>
  <si>
    <t xml:space="preserve">that he sentences the princess to the same trial that he is on. </t>
  </si>
  <si>
    <t xml:space="preserve">The text describes the anxiety of being in a huge stadium with a roaring crowd and the fear of being killed horribly by a tiger, </t>
  </si>
  <si>
    <t>but at the same time, as you stated, the princess is herself in a greater trial than the man in that she has to decide whether to kill or not kill her lover who has hurt so deeply.</t>
  </si>
  <si>
    <t>That's a really insightful point, Gina!</t>
  </si>
  <si>
    <t>I hadn't thought of when I read the piece</t>
  </si>
  <si>
    <t xml:space="preserve">Hi John, </t>
  </si>
  <si>
    <t>I feel that it would be fitting for the king to sentence her to the same trial, because they king and princess are both constantly described as semi-barbaric" throughout the text.</t>
  </si>
  <si>
    <t>There seems to be very little compassion or empathy displayed by the king or the princess  even when the princess thinks of her lover  she thinks of herself not necessarily him."</t>
  </si>
  <si>
    <t>Outreach P1</t>
  </si>
  <si>
    <t>Louise Campbell</t>
  </si>
  <si>
    <t>I think the lady is behind the door. If she truly loved him as the story seems to claim, she would not have wanted him mauled. Plus, if she wants a future with any man she wouldn’t want the world to see her first lover as someone who deserved to be punished.</t>
  </si>
  <si>
    <t>Begin</t>
  </si>
  <si>
    <t>I honestly don’t think the king would have done anything after discovering his daughter broke the law. He probably covered it up or considered her already punished through her lovers fate.</t>
  </si>
  <si>
    <t>Anna Jones</t>
  </si>
  <si>
    <t>I think the lady is behind the door. Regardless of how jealous you may be, you can't really love someone and also be able to tolerate watching them get torn apart by a wild animal.</t>
  </si>
  <si>
    <t>The King does seem unstable enough to put his daughter on trial via the lady and the tiger method. I imagine she'd use her own connections to find out which door had the tiger behind it and which door had a suitor.</t>
  </si>
  <si>
    <t>Andrea Henderson</t>
  </si>
  <si>
    <t>I think the tiger was behind the door. Mostly because of the princess being described as "hot-blooded and semi-barbaric."</t>
  </si>
  <si>
    <t>Disagree</t>
  </si>
  <si>
    <t>Louise Campbell, I agree with you in thinking that the king covered it up somehow and didn't put her through the trial.</t>
  </si>
  <si>
    <t>Anna Jones, this is what I was thinking. If you really loved him you wouldn’t allow that. Alexandra, I was leaning toward the tiger at first because of the descriptions you gave. The apple doesn’t fall far from the tree and all that. 🙂</t>
  </si>
  <si>
    <t>Elaborate</t>
  </si>
  <si>
    <t>Yeah, I was going back and forth a lot on what I think happened. So I can definitely see your reasoning for her picking the lady.</t>
  </si>
  <si>
    <t>So, where have we landed: Lady or tiger? Trial or coverup? I think we just have to write something in the space below.</t>
  </si>
  <si>
    <t>Seminar, Deliberation</t>
  </si>
  <si>
    <t>C-HOT, C-HOT</t>
  </si>
  <si>
    <t>C-LOT, C-LOT</t>
  </si>
  <si>
    <t>Should we go with the choices that have a majority? So the lady behind the door and the king covering up for his daughter?</t>
  </si>
  <si>
    <t>End</t>
  </si>
  <si>
    <t>Is the response we write in the field below supposed to be in the same style of the story, like we're completing it? Or are we just answering the questions?</t>
  </si>
  <si>
    <t>I'm good with writing the majority choices.</t>
  </si>
  <si>
    <t>Break</t>
  </si>
  <si>
    <t>Unfortunately I can't click in the box below at all, so it's anyone's guess what style our response is supposed to be in. I would imagine answering the questions simply would be fine.</t>
  </si>
  <si>
    <t>Oh good! I can, in fact, click in the box.</t>
  </si>
  <si>
    <t>Great!</t>
  </si>
  <si>
    <t>Looks good. I think to mark our assignment done we just have to write SUBMITTED at the top of the entry.</t>
  </si>
  <si>
    <t>Are we ready for that?</t>
  </si>
  <si>
    <t>Yeah, I'm good with it.</t>
  </si>
  <si>
    <t>Catherine Mitchell</t>
  </si>
  <si>
    <t>She gifted him with the tiger.</t>
  </si>
  <si>
    <t>Julie Sanders</t>
  </si>
  <si>
    <t>I think she may not trust him enough to give him the door with the lady behind it. They really focused on her jealousy and how she's a lot like her father.</t>
  </si>
  <si>
    <t>She's definitely her father's child.</t>
  </si>
  <si>
    <t>I think the King would offer her the same choice between the two doors, he seems to really like this punishment.</t>
  </si>
  <si>
    <t>Christine Ramirez</t>
  </si>
  <si>
    <t>I agree</t>
  </si>
  <si>
    <t>Could she be fed to the tiger and save the unsuspecting poor fool?</t>
  </si>
  <si>
    <t>Clarify</t>
  </si>
  <si>
    <t>The king fed his daughter to the tiger</t>
  </si>
  <si>
    <t>Karen Richardson</t>
  </si>
  <si>
    <t>The Lady was behind the door.</t>
  </si>
  <si>
    <t>Jennifer Gonzalez</t>
  </si>
  <si>
    <t>I want to believe the tiger was behind the door because the princess was semi-barbaric but she was also filled with despair and jealousy.  The green eyed monster.. gets you every time...so she knows she has lost him, but she doesn't have to let the Lady have him.</t>
  </si>
  <si>
    <t>Earl Foster</t>
  </si>
  <si>
    <t>I think it would depend on how much she truly trust her lover. If she had faith in him truly, she would let him live with the lady. At least he would be alive and happy. But if she was full of distrust or jealousy she would kill her lover. Even if she is semi-barbaric she seems to be fair or at least a follower of her Father. I would say she would point to the Lady in the end.</t>
  </si>
  <si>
    <t>Interesting Jennifer Gonzalez that I initially thought the Tiger because of her jealousy and that if she could not have him, then no one could have him. But, I changed my mind with the hope of a happier ending.</t>
  </si>
  <si>
    <t>Prompt</t>
  </si>
  <si>
    <t>I believe the lady was behind the door as the description of the princess was "semi-barbaric." She could probably have the new couple banished from the kingdom so she would not have to see them. I believe it was the tiger because the princess could not bear for anyone else to have him.</t>
  </si>
  <si>
    <t>Upon discovering his daughter has broken the law, the King responds out of love, because she is the apple of his eye, and he forgives her.</t>
  </si>
  <si>
    <t>Karen Richardson,</t>
  </si>
  <si>
    <t>I agree that the princess could just banish the new couple away too. Do we have to agree on a single ending?</t>
  </si>
  <si>
    <t>I don't think we have to agree on a single ending as both are viable. I still will go with the Lady as being behind the curtain. The King will be upset with this but will forgive his daughter. He may do something else to the boyfriend later.</t>
  </si>
  <si>
    <t>Deliberation, Seminar</t>
  </si>
  <si>
    <t>So the King would come back at the boyfriend later due to him "cheating" the trial? I can see that.</t>
  </si>
  <si>
    <t>Clarify, Affirm</t>
  </si>
  <si>
    <t>I agree he will forgive his daughter because he loves her so.</t>
  </si>
  <si>
    <t>Wait how do we submit this assignment?</t>
  </si>
  <si>
    <t>Carol Simmons</t>
  </si>
  <si>
    <t>The four questions</t>
  </si>
  <si>
    <t>Lisa Morgan</t>
  </si>
  <si>
    <t>Do we answer these before continuing the story?</t>
  </si>
  <si>
    <t>So the top is for chatting and the bottom is for responding, I believe.</t>
  </si>
  <si>
    <t>Deliberation to Procedure</t>
  </si>
  <si>
    <t>Yes so what do you think guys?</t>
  </si>
  <si>
    <t>Procedure to Deliberation</t>
  </si>
  <si>
    <t>Yes I found this by luck...LOL!</t>
  </si>
  <si>
    <t>Joe Ross</t>
  </si>
  <si>
    <t>Ok, I had to reset the book to make this work!</t>
  </si>
  <si>
    <t>Yay you got it!</t>
  </si>
  <si>
    <t>Social, Deliberation</t>
  </si>
  <si>
    <t>Live without was the first one I put.  Then Trust, Love, and then Know</t>
  </si>
  <si>
    <t>Yep, so what you think the questions are?</t>
  </si>
  <si>
    <t>she was smiling by the end and the book told me i did well</t>
  </si>
  <si>
    <t>Which questions? like the prompt?</t>
  </si>
  <si>
    <t>O-COT</t>
  </si>
  <si>
    <t>Live Without Him is probably the most important question</t>
  </si>
  <si>
    <t>But it asked for 4 so i amswered with 4</t>
  </si>
  <si>
    <t>We need total four answers to the question</t>
  </si>
  <si>
    <t>Oh I see, there are two questions here.  I feel that the princess would have led him to the tiger</t>
  </si>
  <si>
    <t>ok</t>
  </si>
  <si>
    <t>I feel like it would be the opposite because she went to all the hassle to find out.</t>
  </si>
  <si>
    <t>At the top of the screen are two questions, I believe that is what the 1 &amp; 2 are on the bottom portion</t>
  </si>
  <si>
    <t>They're spending a lot of time trying to figure out what to do, so perhaps we should be more explicit in the instructions.</t>
  </si>
  <si>
    <t>That is a good point, Victoria</t>
  </si>
  <si>
    <t xml:space="preserve">Should the name "victoria" be switched for a pseudonym? </t>
  </si>
  <si>
    <t>I tried the ones you mentioned it said try again.</t>
  </si>
  <si>
    <t>You have to do them one at a time</t>
  </si>
  <si>
    <t>I tried them all at once and it told me wrong lol</t>
  </si>
  <si>
    <t>The second question here is just as complex for different reasons</t>
  </si>
  <si>
    <t>I am under the impression that she would rather see him dead than in the arms of another woman.</t>
  </si>
  <si>
    <t>me too. It said wrong!</t>
  </si>
  <si>
    <t>there is a wrong answer?  thats weird</t>
  </si>
  <si>
    <t>I'm try again.</t>
  </si>
  <si>
    <t>ok!</t>
  </si>
  <si>
    <t>It is wrong because they want the character to respond to each question one at a time.</t>
  </si>
  <si>
    <t>ooooh</t>
  </si>
  <si>
    <t>As for the second question I believe that the king would try to cover up the fact she broke the law. I only say that because if he was that mad because someone was her lover I doubt he would send her to die. He would probably rather punish her in private.</t>
  </si>
  <si>
    <t>that sounds reasonable</t>
  </si>
  <si>
    <t>Should we write it as continuing the story or just as a normal response?</t>
  </si>
  <si>
    <t>we should keep it simple</t>
  </si>
  <si>
    <t>Any additions?</t>
  </si>
  <si>
    <t>keeping one's orbs in line is essential</t>
  </si>
  <si>
    <t>i think weve got it</t>
  </si>
  <si>
    <t>Hey guys I got through the next page</t>
  </si>
  <si>
    <t>or maybe he put her behind one of the doors!</t>
  </si>
  <si>
    <t>it's I know I live without him final question</t>
  </si>
  <si>
    <t>Oh that would be a good punishment for her!</t>
  </si>
  <si>
    <t>Did you guys get the final question</t>
  </si>
  <si>
    <t>I know live without him</t>
  </si>
  <si>
    <t>im just back at the screen we were at before</t>
  </si>
  <si>
    <t>I'm not sure what you mean by the final question. Once I put in the 4 questions it let me finish reading the last two pages.</t>
  </si>
  <si>
    <t>and then it just seems to end</t>
  </si>
  <si>
    <t>Does anyone have any idea how to "add the title SUBMITTED" to our response?</t>
  </si>
  <si>
    <t>i do not</t>
  </si>
  <si>
    <t>I was looking for that</t>
  </si>
  <si>
    <t>Also feel free to add anything to them if you would like.</t>
  </si>
  <si>
    <t>What did you have to do?</t>
  </si>
  <si>
    <t>I just added a title submitted so I guess we're done. This was very interesting and challenging.</t>
  </si>
  <si>
    <t>lol well ok then. Nice work team</t>
  </si>
  <si>
    <t>Don't forget we have to go on to canvas and complete the survey and submit it</t>
  </si>
  <si>
    <t>Thank you team!  Nice collab!</t>
  </si>
  <si>
    <t>Sounds good, I am going to get off of here.</t>
  </si>
  <si>
    <t>Nice work team</t>
  </si>
  <si>
    <t>have a great evening!</t>
  </si>
  <si>
    <t>Me too goodnight! Thanks guys!</t>
  </si>
  <si>
    <t>Diane Gonzalez</t>
  </si>
  <si>
    <t>I think the tiger is behind the door, as it would create a plot twist when its not the predictable lady. The king may show mercy towards his daughter, as she is royalty. Instead, she might have to go on a quest of some kind to prove her worth to inherit the thrown one day.</t>
  </si>
  <si>
    <t>Deborah Evans</t>
  </si>
  <si>
    <t>I agree with you, Diane Gonzalez. I am convinced that the princess lead the gentleman to the door hiding the tiger. It would make a brilliant plot twist, but with the information we know about the character of the King, that can be found within the princess as well. In my mind she believes if she can't have the man, she sure does not want another woman to have him, especially someone she despises.</t>
  </si>
  <si>
    <t>As for the second part, I'm not sure if the King would carry out the same punishment for his daughter as he would the commoners. However, he would definitely think of another way to punish her that would consist of a clever, yet barbaric twist for her to prove her loyalty and worth.</t>
  </si>
  <si>
    <t>Cheryl Diaz</t>
  </si>
  <si>
    <t>Hi Diane Gonzalez and Deborah Evans. I'm sorry to be so late joining the conversation. If I ponder too long, I'll never come to a conclusion, so I'm going to write my first thoughts. I share your  he's barbaric, and he's fine doling out punishment to his own daughter, as his punishment of her lover has in effect punished her as well. take that the princess will direct the gentleman to the tiger - she's lost him either way and her jealousy and barbarism are too great. On the other hand, the text describes her and the gentleman as having one soul, which I take to mean he would know if she chose the tiger, in which case he'd choose the other door, yet he doesn't. So does that mean she didn't choose the tiger? Or that he'd rather die than be with another woman? For Part 2, I believe the king likely would not show mercy, even to his own daughter, as he has consistently relied on this method of justice</t>
  </si>
  <si>
    <t>Social, Seminar</t>
  </si>
  <si>
    <t>Affirm, Elaborate</t>
  </si>
  <si>
    <t>Affirm, Clarify</t>
  </si>
  <si>
    <t>We can continue to discuss individually, or if you want to try writing collaboratively at the same time, please suggest a time. I'm available any evening this week starting at 6 p.m. I'll keep tabs on here from now on to see if you want to do that. Thanks, Robyn</t>
  </si>
  <si>
    <t>Curiosity got the best of me, and I googled this book, which I'd never heard of despite it being a well-known allegory. It presents an unsolvable problem, yet we all felt pretty confident taking a stab at answering the prompts. I wonder what we are to make of all of us feeling pretty certain the princess chose the tiger. Is our choice based on the author's characterization of her or our belief that human nature is fundamentally selfish?</t>
  </si>
  <si>
    <t>Imaginative</t>
  </si>
  <si>
    <t>O-HOT, C-HOT</t>
  </si>
  <si>
    <t>Procedure to Imaginative</t>
  </si>
  <si>
    <t>I don't think I should have gone outside this platform to Google the book since this is supposed to be a discussion between us via this platform. Sorry about that.</t>
  </si>
  <si>
    <t>Deliberation, Social</t>
  </si>
  <si>
    <t>Imaginative to Deliberation/Social</t>
  </si>
  <si>
    <t>Cheryl Diaz, you bring up a good point - are we truly using the information gained through the reading or our own beliefs that human nature is fundamentally selfish. You really have me thinking about this.</t>
  </si>
  <si>
    <t>Deliberation to Imaginative</t>
  </si>
  <si>
    <t>Since we have each answered the two questions that were proposed, maybe choosing a day/time to all discuss our final answer to the prompt would be best. I am pretty flexible and am available today-thursday just about all day.</t>
  </si>
  <si>
    <t>Imaginative to Procedure</t>
  </si>
  <si>
    <t>Dr. Austin said have fun with it, and it is fun to ponder what might happen in the story. I think the main reason for setting a time to discuss it at the same time would be to test the collaborative software, using the box below instead of this one. I believe we could all write in it at the same time and see each other typing and change each other's words until we all agree we are done with our assessment. If we are able to do that, we might find there are unexpected positives or negatives to the collaboration process or system that we can only otherwise surmise. As you say, we've all responded to the prompts, so what we say doesn't matter that much, so all we'd need is a few minutes to see how using the box works. So if you want to try meeting, I could do Wednesday any time of day. Just set a time and I'll log on then. Thanks.</t>
  </si>
  <si>
    <t>Procedure to Deliberation to Procedure</t>
  </si>
  <si>
    <t>I can meet tomorrow (Wednesday) at 9am EST/8CST.</t>
  </si>
  <si>
    <t>Perfect. "See" you then.</t>
  </si>
  <si>
    <t>Good morning. I'm here.</t>
  </si>
  <si>
    <t>Good morning</t>
  </si>
  <si>
    <t>Hi. I'm not sure if we were supposed to ultimately write an ending to the story or just answer the prompts collectively. I wrote an ending below, and you can change it or replace it. We just want to test the use of the space at the same time, I think.</t>
  </si>
  <si>
    <t>Do you see what I typed in the box below?</t>
  </si>
  <si>
    <t>I did this assignment twice last semester. I think they are just trying to get feedback on how it works/doesn't work. If the prompts and/or grouping is sufficient.</t>
  </si>
  <si>
    <t>Yes, I see it. It looks great</t>
  </si>
  <si>
    <t>Oh, yay! Can you type a few words in there so I can see if they appear in real time? Then I think we can sign off.</t>
  </si>
  <si>
    <t>Sorry, i see you comment now.</t>
  </si>
  <si>
    <t>Thanks. I apologize for delaying you on completing this assignment, but I appreciate your taking the extra time for me. Good luck with the rest of the semester!</t>
  </si>
  <si>
    <t xml:space="preserve">Procedure to Social </t>
  </si>
  <si>
    <t>Looks good! I guess we can complete the post survey and submit our assignment</t>
  </si>
  <si>
    <t>Social, Procedure</t>
  </si>
  <si>
    <t>Good luck to you as well</t>
  </si>
  <si>
    <t>Yes. Thanks. Bye!</t>
  </si>
  <si>
    <t>Joyce Brown</t>
  </si>
  <si>
    <t>I  think she sends him to the door with the tiger. When the king finds out that she knew he is so pleased by her barbarism that he does nothing but inside he has now decided that she is a worthy predecessor.</t>
  </si>
  <si>
    <t>Ha, I meant successor.</t>
  </si>
  <si>
    <t>Ashley Peterson</t>
  </si>
  <si>
    <t>I believe she tells him to open the door with the tiger. This isn't a question of whether or not she loves him, or even trusts him. It's clearly written that she loves him dearly, and his trustworthiness isn't something to consider so heavily since she will lose him heavily. I think she points him to the tiger because of how much more thought she put into the aftermath of sending him towards the lady. She laments on how horrifying it would be to watch her loved one die at the hands of ferocity, but laments even more at the thought of watching him live a different life with someone other than her. She even gives his death a hopeful spin, that they may meet again in the afterlife or some equivalent, but gives no optimistic spin to him choosing the lady, she even mentions the whole if she can't have him no one can.""</t>
  </si>
  <si>
    <t>since she will lose him anyway*</t>
  </si>
  <si>
    <t>Denise Harris</t>
  </si>
  <si>
    <t>I agree with you ladies. I also think that she sends him to the tiger. She loves him fiercely, so fiercely that she cannot bear the thought of someone else having him. Jealousy can make people do ugly things and mix that in with her pure barbaric nature, it makes sense that she would choose for him to stop living versus living with someone else. Mourning would be easier than seeing the person you love happy with another, which is clear by the ways she describes her thoughts and turmoil over the situation.</t>
  </si>
  <si>
    <t>I believe the King would be upset that the rules of his arena were broken. But</t>
  </si>
  <si>
    <t>But I think he would also revel in the fact that his daughter could be so barbaric. However, he does seem to hold the random chance of fate of the arena in the highest regard so although he loves his daughter above all else I think he may make an example of her. Especially if the people found out what happened</t>
  </si>
  <si>
    <t>Just realized I never answered the second question. I also agree that while the king may feel a bit of pride for his daughter, he holds his beliefs in his chance of fate style of justice so closely to his chest, so he most likely made an example out of his daughter as well.</t>
  </si>
  <si>
    <t>Seminar to Deliberation to Seminar</t>
  </si>
  <si>
    <t>Hey Ashley Peterson! I also wanted to mention the story mention the King's barbaric nature numerous times so it is highly likely that he would punish his daughter.</t>
  </si>
  <si>
    <t>Seminar to Socal to Seminar</t>
  </si>
  <si>
    <t>Oh definitely! I wrote out a possible response beneath your reiteration. Feel free to add/delete whichever parts! Joyce Brown, do you have any further thoughts about how the king would react? You mentioned he would most likely decide his daughter would be a worthy predecessor while Denise Harris and I believe he would punish her anyway.</t>
  </si>
  <si>
    <t>Affirm, Prompt</t>
  </si>
  <si>
    <t>I added a brief ending. If everyone is good with it, lets hit submit</t>
  </si>
  <si>
    <t>Sounds good!</t>
  </si>
  <si>
    <t>Patricia Green</t>
  </si>
  <si>
    <t>Hi everyone! I have read the story and am ready to discuss.  I can log back in later to see if anyone else is ready.  Should we try to figure out a time to all come back and work in here together?</t>
  </si>
  <si>
    <t>We coded PIM P1 Book Club 4 together, which is why R2 is blacked out.</t>
  </si>
  <si>
    <t>Linda Long</t>
  </si>
  <si>
    <t>Hi Patricia Green and Michelle Rivera,</t>
  </si>
  <si>
    <t>I read the story and I am ready for discussion too. Let's decide on a mutual time for this. Thanks,</t>
  </si>
  <si>
    <t>Michelle Rivera</t>
  </si>
  <si>
    <t>Apologies for my slacking with this, I am also finished now.</t>
  </si>
  <si>
    <t>Can we plan on Tuesday the 23rd at 8pm to all meet back here to discuss and answer? Thanks</t>
  </si>
  <si>
    <t>I just replied to the email, but yes" I can meet back here tomorrow (Tues. at 8pm). "See" you all then!"</t>
  </si>
  <si>
    <t>Hi Linda Long and Michelle Rivera, I am here and ready whenever you both are.</t>
  </si>
  <si>
    <t>I am on,</t>
  </si>
  <si>
    <t>So, we discuss the prompt here and then write it together in the box below?</t>
  </si>
  <si>
    <t>I think so.</t>
  </si>
  <si>
    <r>
      <t xml:space="preserve">Ok, that's how I understand it as well. Let's wait a few more minutes to give </t>
    </r>
    <r>
      <rPr>
        <b/>
        <sz val="11"/>
        <color rgb="FFFF0000"/>
        <rFont val="Arial"/>
        <family val="2"/>
        <scheme val="minor"/>
      </rPr>
      <t>Julie</t>
    </r>
    <r>
      <rPr>
        <sz val="11"/>
        <rFont val="Arial"/>
        <family val="2"/>
        <scheme val="minor"/>
      </rPr>
      <t xml:space="preserve"> a chance to join us. Sound good?</t>
    </r>
  </si>
  <si>
    <t>Yes. and honestly, the first time I read the prompt I thought we were just answering the questions in a method of critical thinking question. Now I am wondering if we are supposed to write an ending</t>
  </si>
  <si>
    <t>Good point. I thought the same thing about how to answer the questions.</t>
  </si>
  <si>
    <t>It really could be interpreted either way. Just answer questions or write an ending . . . .</t>
  </si>
  <si>
    <t>Yes, potentially something for the research team to work on clarifying....</t>
  </si>
  <si>
    <t>Definitely</t>
  </si>
  <si>
    <t>How much longer would you like to wait for Julie before we begin? 5 more minutes?</t>
  </si>
  <si>
    <t>If you can I can, or we could start and she could catch up?</t>
  </si>
  <si>
    <t>I hope she's not back on one of the earlier pages, I just went back to reference and clicked the discussion and was left with a blank page, all these messages were not there.</t>
  </si>
  <si>
    <t>So, what do you think about the questions?</t>
  </si>
  <si>
    <t>Perfect, we are all here.</t>
  </si>
  <si>
    <t>Sorry for the delay</t>
  </si>
  <si>
    <t>In terms of just answering I feel like the tiger was behind the door, and later the King puts the daughter to trial...</t>
  </si>
  <si>
    <t>Social to seminar</t>
  </si>
  <si>
    <t>That's exactly what I think as well.</t>
  </si>
  <si>
    <t>No problem. :) So to jump right in, when I read I felt like she sent him to the door with the tiger.</t>
  </si>
  <si>
    <t>Ok, we all thought the tiger!</t>
  </si>
  <si>
    <t>does this mean we are barbaric too?</t>
  </si>
  <si>
    <t>Seminar to Imaginative</t>
  </si>
  <si>
    <t>Ha ha, maybe!</t>
  </si>
  <si>
    <t>So if the King puts his daughter on trial, does that mean he sets her up with 2 doors as well?</t>
  </si>
  <si>
    <t>Imaginative to seminar</t>
  </si>
  <si>
    <t>Imaginative to Seminar</t>
  </si>
  <si>
    <t>lol no, it just seemed like what happened based on her father, and her own jealous nature</t>
  </si>
  <si>
    <t>Yes, she did seem very jealous. The story led me to believe she would rather nobody have him if she could not.</t>
  </si>
  <si>
    <t>from my thoughts I thought yes, he sets up 2 doors for her and lets the trial decide.</t>
  </si>
  <si>
    <t>I think so. Even though the story said he loved her so much, I think his barbaric nature would take over his reasoning</t>
  </si>
  <si>
    <t>Ok, so what happens then? Do we choose which door she opens?</t>
  </si>
  <si>
    <t>O-HOT, C-LOT</t>
  </si>
  <si>
    <t>Are we all supposed to write our answers below?</t>
  </si>
  <si>
    <t>I think it's barbaric nature but also slightly just (in a warped way), because as it mentions he treated women and men equally so would feel obliged to treat his daughter the same</t>
  </si>
  <si>
    <t>Yes, I think so. We were discussing if we write it like answers or finish the story? Thoughts?</t>
  </si>
  <si>
    <t>Good question Julie, we were discussing before you logged on, we are not quite sure if the prompt is looking for just the answers or an ending to be written</t>
  </si>
  <si>
    <t>Yes, that's true as well</t>
  </si>
  <si>
    <t>I'm not sure about the ending if we pick the door for her...personally as a (casual) author I would not want to pick an ending in this case</t>
  </si>
  <si>
    <t>I think we are supposed to surmise or predict what we think happens</t>
  </si>
  <si>
    <t>Okay so maybe we could each write out an answer for the first part of the question and then we edit the response into one?</t>
  </si>
  <si>
    <t>Ok, that works for me. We can just answer the questions.</t>
  </si>
  <si>
    <t>...then the same for the second part?</t>
  </si>
  <si>
    <t>Yes, lets do that!</t>
  </si>
  <si>
    <t>Yes, I'd rather keep it simple lol</t>
  </si>
  <si>
    <t>I like the "doom"</t>
  </si>
  <si>
    <t>Deliberation to seminar</t>
  </si>
  <si>
    <t>Delibration to Seminar</t>
  </si>
  <si>
    <t>is that too much?</t>
  </si>
  <si>
    <t>No I think it is good.</t>
  </si>
  <si>
    <t>I don't think it is too much.</t>
  </si>
  <si>
    <t>Is the second sentence for part 2 okay?</t>
  </si>
  <si>
    <t>Should we mention that love didn't weigh in to either of their decisions?</t>
  </si>
  <si>
    <t>I like it. It draws from the story.</t>
  </si>
  <si>
    <t>Probably yes</t>
  </si>
  <si>
    <t>Good idea.</t>
  </si>
  <si>
    <t>I'm not sure how to word it, but I think their barbaric nature made them irrational and maybe incapable of love? Something like that...</t>
  </si>
  <si>
    <t>I mean I think it states that the king does love the daughter at some point though.</t>
  </si>
  <si>
    <t>Maybe not to enough of a degree not to put her to trial...but he does love her, just like to a degree she loved the man</t>
  </si>
  <si>
    <t>Maybe write that the king, despite his love for his daughter, could only act in a barbaric manner</t>
  </si>
  <si>
    <t>He was tied to his own idealistic principles?</t>
  </si>
  <si>
    <t>yes</t>
  </si>
  <si>
    <t>I like it! Good sentemce.</t>
  </si>
  <si>
    <t>sentence*</t>
  </si>
  <si>
    <t>There, lol. what do you girls think?</t>
  </si>
  <si>
    <t>I like it...</t>
  </si>
  <si>
    <t>So, we title it SUBMITTED and that's it, right?</t>
  </si>
  <si>
    <t>Good job!</t>
  </si>
  <si>
    <t>Yes, I believe so and then fill out the survey thing back on canvas saying we completed the assignment. And that's it right?</t>
  </si>
  <si>
    <t>Yes, and I know that we are going with just answering but should you want to see an ending I was messing around with I would gladly share (we don't have to submit that necessarily)</t>
  </si>
  <si>
    <t>I believe that is all the survey and canvas yes</t>
  </si>
  <si>
    <t>Sure, share it. I am curious.</t>
  </si>
  <si>
    <t>sure, let's see it</t>
  </si>
  <si>
    <t>I like it</t>
  </si>
  <si>
    <t>Yes!! Well done.</t>
  </si>
  <si>
    <t>I can see it clearly.</t>
  </si>
  <si>
    <t>Yes it fits well with the story</t>
  </si>
  <si>
    <t>yay, lol.</t>
  </si>
  <si>
    <t>We could leave it in if you want. We've answered the questions and then some. I don't think it would hurt. What do you girls think?</t>
  </si>
  <si>
    <t>If you would like, we can leave both our answers and your ending. That way we have both options covered. But if you'd rather not that's okay too.</t>
  </si>
  <si>
    <t>I agree, Linda Long. If you are okay with that, Michelle Rivera?</t>
  </si>
  <si>
    <t>I feel the flow doesn't entirely match the original story, but I felt it was awkwardly written and okay. We can add (ending) before it?</t>
  </si>
  <si>
    <t>C-LOT? C-HOT?</t>
  </si>
  <si>
    <t>I say leave it in. It's well-written and adds depth to the answers.</t>
  </si>
  <si>
    <t>Good with the parentheses?</t>
  </si>
  <si>
    <t>Good idea. And I agree that original story was very awkwardly written. The syntax was strange.</t>
  </si>
  <si>
    <t>Deliberationa to Seminar</t>
  </si>
  <si>
    <t>It might not add to the style in which it was written, but what you predicted to happen fits well with the story in my opinion</t>
  </si>
  <si>
    <t>thank you</t>
  </si>
  <si>
    <t>I agree Linda Long. It makes logical sense as a conclusion based on previous events in the story.</t>
  </si>
  <si>
    <t>yet also leaves it open ended (because how can we decide whether the princess lives or dies)</t>
  </si>
  <si>
    <t>True!!</t>
  </si>
  <si>
    <t>I'd say we pretty have wrapped things up then. It was nice working with both of you!</t>
  </si>
  <si>
    <t>Well, the title of the story is a question - one that may never be answered. I think that was deliberate.</t>
  </si>
  <si>
    <t>Good job ladies. Thank you both.</t>
  </si>
  <si>
    <t>Yes, thank you too. Good job everyone. :)</t>
  </si>
  <si>
    <t>Yes thank you, glad we could get on at the same time. :)</t>
  </si>
  <si>
    <t>Katherine Bryant</t>
  </si>
  <si>
    <t>Hello, here are my thoughts on the two questions. Part 1: Because I believe she does indeed love him, I think that she directs him to the door with the lady. My reasoning is that love would prevent her from being responsible for his death. Part 2: Based on what we know about the king, I think it's likely he would be quite upset and consider putting his own daughter to the same fate as her lover. Her breaking the rules is a huge blow to his ego, and it doesn't seem as though he is the type to let that sort of this slide, even if it's his daughter's life on the line. Plus, if he doesn't apply the same rules to her as the rest of his subjects, the laws his entire kingdom are based upon are at risk. I just don't see him as being able to get past all that, so I think she would face the two doors like everyone else.</t>
  </si>
  <si>
    <t>Part 1: What happens next? What is behind the door, the lady of the tiger?  Part 2: Later, the King discovers that his daughter had broken the law, by first finding out what was behind the doors and then signaling to her lover which door to open. What does the king do, and what happens?</t>
  </si>
  <si>
    <t>pim-30</t>
  </si>
  <si>
    <t>I think she sends him to to the tiger. She could live with his death but not with him living with another woman.</t>
  </si>
  <si>
    <t>pim-16</t>
  </si>
  <si>
    <t>I totally agree.</t>
  </si>
  <si>
    <t xml:space="preserve"> I think she sends him to the tiger. Its clear she had jealousy issues and she was raised by a father that is erratic and delivers justice according to a whim. I dont think she would think reasonably.</t>
  </si>
  <si>
    <t>As for part 2 of the question...I think the father upon finding out what the daughter had done would totally subvert the natural order of things and not have her go through the process of justice that others do. He would be furious with her and would punish her in some way but, not by putting her in the arena. I dont think he could cope with her dying by the tiger or being forced to marry a person below her royal status.</t>
  </si>
  <si>
    <t xml:space="preserve">I agree, </t>
  </si>
  <si>
    <t>I don't think the father would put his daughter through the same system of justice. I wonder if he would even be all the upset though - because either way he is rid of the man causing him problems - either to death or to be married off to someone else.</t>
  </si>
  <si>
    <t>I think he would be upset...even just for the fact that her behavior is a bad reflection on him. He sounds very narcissistic so I dont know if he would feel real love for his daughter but her behavior and a public trial would bruise his ego. That in itself would be enough for him to brush her crimes under the carpet.</t>
  </si>
  <si>
    <t>That's true -</t>
  </si>
  <si>
    <t xml:space="preserve"> but maybe he's the only one who knows what she did?</t>
  </si>
  <si>
    <t>pim-21</t>
  </si>
  <si>
    <t>Part 1: What Happens next...I believe in love overall.  I believe she chose to love him by giving him life and happiness.  This is what love truly is.  The story describes her as jovial.  Although her father appears quite selfish, he adores her which means she has seen true love.  So, out comes the lady.</t>
  </si>
  <si>
    <t xml:space="preserve">I agree with Anne Marie and Rachel, </t>
  </si>
  <si>
    <t>despite the consistent behavior and system of punishment, I do not think the king would send his daughter to the arena. The story tells us that she is the apple of his eye  and that she is above all what his heart cares for.  I do not think he could bear losing her or watching her give love to anyone but him.  I fear the father would punish her by keeping her with him for the rest of her life.  Going to the arena would be too much punishment for him.</t>
  </si>
  <si>
    <t>pim-20</t>
  </si>
  <si>
    <t xml:space="preserve">This is such an unfortunate story. It looks to me that no matter the choice, all parties will be unhappy. I'd like to think that even though she did inherit some of her dad's fury, she would still try to give her lover a chance and not pick the door with the tiger. Perhaps, she doesn't want to be as cruel as her father, and in the name of love, sacrificed her fate to allow her lover to live. I agree with some of your sentiments about the obsession and control the father holds over his daughter. She has </t>
  </si>
  <si>
    <t>acce</t>
  </si>
  <si>
    <t>pim-24</t>
  </si>
  <si>
    <t xml:space="preserve">I think the story is supposed to be a 'it's up to interpretation' kind of ending, but in a way that purposefully leads you to believe that she sends him to the tiger. But that feels like such a shallow stereotype of a jealous woman. The story talks a lot about how they understand each other fully, without needing to speak, so I thought that she pointed him toward the door with the woman (her sacrifice, letting him be happy without her), but he knew that and purposefully chose the tiger (his sacrifice, not </t>
  </si>
  <si>
    <t>Maybe I'm a skeptic, but I'm not convinced she sends him on to live his happily ever after with another woman.  There's a whole paragraph on the last page about how the whole idea of that tormented here. And she asks Would it not be better for him to die at once  and go to wait for her in the blessed regions of semi-barbaric futurity?"</t>
  </si>
  <si>
    <t>I still think she sent him to the tiger!</t>
  </si>
  <si>
    <t>...</t>
  </si>
  <si>
    <t>pim-22</t>
  </si>
  <si>
    <t>Part 1
I believe that the lady will be behind the doors. I think that the Princess loved her lover too much to allow him to be eaten by the Tiger. She would rather see him out and about the kingdom happy with someone else then torn into pieces by the tiger.  However, I am a divorced mom of two kids and my interpretation might be a little off, since I always wanted and are still looking for that fairy tale kind of ending. The one where true love exists no matter what the couple faces.
Part 2
I believe that</t>
  </si>
  <si>
    <t xml:space="preserve">Part 2
I believe that when the King discovers that his daughter had broken the law by finding out what was behind the door and then signaling to her lover which one to open, he would be in infuriated. The story stated that he was extremely close to the Princess and resented her se ret relationship.  I believe that if the Princess saved her lover from the tiger, he would retry him and put a tiger behind both doors. The Story stated that the King was barbaric in nature so I feel he would make the Princess </t>
  </si>
  <si>
    <t>att</t>
  </si>
  <si>
    <t>pim-18</t>
  </si>
  <si>
    <t>Part 1  I believe that the tiger is behind the door.  I think the princess is barbaric and can't stand the thought of her lover with another.</t>
  </si>
  <si>
    <t>Part 1  I believe the tiger will be behind the door.  I think the princess is barbaric and won't be able to stand her lover with another.</t>
  </si>
  <si>
    <t>Part 2  I believe that the king will punish his daughter.  I'm not sure how.  I think it depends on whether the tiger or the woman comes out of the door.  Perhaps he might even make her choose a door.</t>
  </si>
  <si>
    <t>pim-25</t>
  </si>
  <si>
    <t>I believe she sent him to the tiger.  A king's daughter would not want to share a lover or see him with another woman.</t>
  </si>
  <si>
    <t>Part 2:  I don't think the King will do anything to the Princess.  He knows both choices would be punishment for her and her lover.</t>
  </si>
  <si>
    <t>In addition, I was surprised the lover so quickly chose the right door after the princess signaled him.  He was willing to accept the fate that she chose.  I wonder if he knew what her choice would be.  I still don't think she would allow him to marry another, although that would be the choice I would make if I was in her shoes.</t>
  </si>
  <si>
    <t>pim-26</t>
  </si>
  <si>
    <t>Part 1: If she loves him, the princess will lead her lover to the door that will allow him to live. If she allows greed and envy to cloud her judgement, she will likely lead her lover to his death.</t>
  </si>
  <si>
    <t>Part 2: If the King is unbiased, he will treat her like any other person who had broken the law.</t>
  </si>
  <si>
    <t>I found myself conflicted for the princess. I always want a happy ending of some kind in the stories I read. However, it seems the princess loses either way in this story. If I were in her place, I would have allowed him to marry the woman rather than have him die a painful and bloody death.</t>
  </si>
  <si>
    <t>As for the King, he will likely send his daughter to face the same punishment as her lover. As a King, he should treat all lawbreaking the same. However, I wonder if he will crack and pull the same trick that the princess had with her lover or if he will remain firm with his decision.</t>
  </si>
  <si>
    <t>pim-23</t>
  </si>
  <si>
    <t>Part 1: I think that she guided him to the tiger. She was already jealous, and if she couldn't have him, then no one should.</t>
  </si>
  <si>
    <t>Part 2: Her father gets extremely upset with her for signaling her lover behind his back. He then forgives her because she has proven to be as strong as the rest of her family. Understanding that if she can't have him, no else can't either.</t>
  </si>
  <si>
    <t>I completely agree with you</t>
  </si>
  <si>
    <t xml:space="preserve"> in being conflicted by happily ever after and greed. I chose the tiger behind the door because the story paints her out to be extremely jealous and barbaric.</t>
  </si>
  <si>
    <t>seminar</t>
  </si>
  <si>
    <t>affirm</t>
  </si>
  <si>
    <t>procedure</t>
  </si>
  <si>
    <t>UX/UI</t>
  </si>
  <si>
    <t>social</t>
  </si>
  <si>
    <t>Filler</t>
  </si>
  <si>
    <t>UX</t>
  </si>
  <si>
    <t>Deiberation</t>
  </si>
  <si>
    <t>Collab Response</t>
  </si>
  <si>
    <t>R1</t>
  </si>
  <si>
    <t>R2</t>
  </si>
  <si>
    <t>R3</t>
  </si>
  <si>
    <t>Average</t>
  </si>
  <si>
    <t xml:space="preserve">Part 1
The story regularly emphasizes the barbaric nature of the princess, and I assume that this emphasis suggests that the princess directs her lover to the tiger's door. It's implying that she would be less selfless and more ruthless. So, as the man reached for the tiger's door the princess exhaled, knowing that she would emerge the victor. Her lover would die and never love another. The lady, who the princess wasn't fond of, was not to have the happy ending either.
Part 2
The king is so enraged by his daughter's defiance that he has no choice but to follow the protocol he had previously established. She opens the door and is met with the same fate as her lover.
</t>
  </si>
  <si>
    <t xml:space="preserve">Our group is in agreement that due to the princesses' thought process and her semi-barbaric lineage she would most likely send her lover to the door with the tiger. Additionally, she was extremely jealous of the lady behind the door. Surely, a semi-barbaric princess would rather her lover not run into the arms of another woman. Though she must live without him either way, our group feels that she would rather him dead than be with someone else because her concerns were her own jealousy rather than his death.
Our group also feels that the king would not send his precious princess to suffer the judgement of the arena. Thus, he may, instead, send her informant to the arena as a punishment for his betrayal. Another idea that we feel would be best is that this would give the king a great opportunity to discontinue the unfair use of this system. By not sending his daughter to the arena, he may realize the unfairness of his system and thus make a major change that would help progress his kingdom.
</t>
  </si>
  <si>
    <t xml:space="preserve">Part 1: For this question, our team decided that the princess chose the door with the tiger. This is based on the story's emphasis on the royal family's "semi barbaric" nature. In the story, it is mentioned several times that the princess is jealous of the idea of her lover being with another woman, stating "her soul had burned in agony when he rushed to meet that woman" (pp. 10). This action seems indicative of her barbaric and jealous nature because this way she remains the conqueror, and if she cannot have him then no one else can either.
Part 2: The king would throw the princess in the arena upon finding out she had broken the law, due to his own barbaric nature and seeming unwillingness to break with tradition, even for his own daughter. This is evidenced from the fact that he already put his daughter's lover in the arena to either be killed or married to another woman, without regard for how the princess feels about it.
The three of us (Rachel Scharbo, Colleen Segers, Erin Jacobs) met over Zoom to discuss these answers on 10/24/2020 and discussed the prompt in order to come up with these answers.
</t>
  </si>
  <si>
    <t xml:space="preserve">Her face was a mask of indifference as the young man moved without hesitation to the door on the right, but pain welled up inside of her as she watched the back of her lover. Had she made the correct choice? Whether or not it was the right one, she had made it and had to live with the consequence.
The door opened and out sprang the vicious beast, flashing claws and glistening fangs unleashed upon the youth she had loved so dearly. She imagined that she was that tiger, shredding his flesh to ribbons as the crowd cheered. All the rage and pain of the last sleepless nights unbound and freed right before her. It made her sick, but this was what she had decided. This was the result her love had come to because of her jealousy and her anger. Yet, he had trusted her.
It was that thought that brought her to turn to her father who was watching her expressions carefully. "I knew which door the beast was behind," she confessed, her pain still masked behind a strong facade. "I broke the sacred law. I too should be put to trial," she said turning her gaze back to the beast that feasted on the bloody carcass of the young man whose blood stained the rough earth.
The King's eyes changed from rapt interest in the scene before him, to dread, then indifference. His usual cold demeanor wavering for only a moment. His own daughter? How could this be? But he knew what must be done. The tradition of the land must be upheld, no matter the cost.
A public notice was released at once. The princess would be held accountable for her egregious actions the following afternoon in the arena, with the whole kingdom in attendance.
The morning of the trial arrived. The King met the princess in her quarters. "My daughter. For you, I have chosen a most suitable husband. A prince from the neighboring land renowned for his loyalty to the throne and prowess on the battlegrounds. It would be for shame should you not choose the 'right' door," he said with a knowing glance. "We shall meet in the arena at high noon."
The Princess could hear the jeers of the crowd the the stands above her, all anxious for her judement to come. Would they see their princess swept away in the arms of a lover or ravaged by the ferocious beast? In the next moments, her fate would be decided. Her father would be watching from his throne, a calculating expression upon his face. She knew what she was to do.
Calmly entering the arena, the Princess stood where just yesterday, her lover lay in pieces. The crowd was silent. Glancing over her shoulder, she saw her father seated calmly and staring blankly ahead. With a deep breath, she made her choice.
"I'm coming, my love," she whispered to herself, as she walked to the door on the left and the world went dark.
</t>
  </si>
  <si>
    <t xml:space="preserve">Part 1: Ultimately, it is left for the reader to decide what is behind the door, and it would depend what they feel the princess cares about more - his life or him being married to another woman.
He sentences her to the same trial.
^Gina, that is a really interesting point that you make, that he sentences the princess to the same trial that he is on. The text describes the anxiety of being in a huge stadium with a roaring crowd and the fear of being killed horribly by a tiger, but at the same time, as you stated, the princess is herself in a greater trial than the man in that she has to decide whether to kill or not kill her lover who has hurt so deeply. That's a really insightful point, Gina! I hadn't thought of when I read the piece for the first time.
</t>
  </si>
  <si>
    <t>F20 chat PIM P1 Book Club One</t>
  </si>
  <si>
    <t>There is some uptake and two dialogic spells (limited to the first 10 postings). However, much of this discussion is people popping in an delivering their take on each question. It is 38 postings.</t>
  </si>
  <si>
    <t xml:space="preserve"> PIM P1 Book Club One</t>
  </si>
  <si>
    <t>This is a rather short assynchronous discussion of three people, with a dialogic spell of 3 postings, the bare minimum to do the assignment. The collborative writing 3.1 presents a viewpoint with evidence. Because there limits on postings, their individual segments span more than one cell</t>
  </si>
  <si>
    <t xml:space="preserve"> PIM P1 Book Club Two</t>
  </si>
  <si>
    <t>This  starts as an asychronous diadic dialog or two people, but later way after the pair have resolved the questions to their liking, wrote the collaborative writing and then typed SUBMIT, they third discusant comes in and does a similar long monologue, disagreeing with their conclusions, but not editing their collaborative writing. The first two each start with very long monologues, considering each question in some depth, and come up with somewhat original answers (that end up in the collaborative writing) that the princess would send her love to the tiger, BUT would put the informant (person leaking with door hid what) the informant would be eaten by the tiger, however the King would re-consider his arena/two door justice because of what happened. The beginning of this diadic dialog started with long seminar monologues, some uptake by the second discussant, and then a pivot to deliberation. One of the two, types SUBMIT.</t>
  </si>
  <si>
    <t xml:space="preserve"> PIM P1 Book Club Three</t>
  </si>
  <si>
    <t>The group met in Zoom, outside of IMapBook, so there was no discussion, although one person posted to explain their thought process. They did submit a fairly good collaborative writing.</t>
  </si>
  <si>
    <t xml:space="preserve"> PIM P1 Book Club Four</t>
  </si>
  <si>
    <t>There were only two participants. Technically, a discussion involves at least three people. However, this diadic discussion demonstrates that a two person discussion can be full and varied. They did do a meaningful discussion, with much seminar, uptake, coming up with some original hypotheses about the story. They also pivoted to deliberation. It was asynchronous, although with postings that were close enough in time, that it was almost synchronous. They had three dialogic spells. They wondered who else might be in there book club, and looked for a participants button and didn't find one (maybe this was what gave the designers the idea to add a participants button). They did find out that there was a third participant, and his name, and emailed him, but he never did who up.</t>
  </si>
  <si>
    <t xml:space="preserve"> PIM P1 Book Club Five</t>
  </si>
  <si>
    <t xml:space="preserve">This is not a long discussion. Most, but not all, of the postings are very long laying out positions on the discussion question, if take into consideration how the character limit of each posting forces them to separate their postings on each line. There is a dialogic spell and some uptake, but not pivots. The collaborative writing is sub-par, because it is just one of the longer postings just copied &amp; pasted, which explains why there are no pivots (they didn't come to a consensus or deliberate on how to handle the assignment/collaborative writing. Their collaborative writing is written in the form of fiction to answer the discussion questions, and it reads pretty well as fiction, stlylistically like the other story. </t>
  </si>
  <si>
    <t>Name</t>
  </si>
  <si>
    <t>R1 Memo</t>
  </si>
  <si>
    <t>Part 1: Discuss what would happens next and why, providing evidence or logic. What is behind the door, the lady of the tiger?  Part 2: Later, the King discovers that his daughter had broken the law, by first finding out what was behind the doors &amp; then signaling to her lover which door to open. What would the king do, and why? Do NOT write fiction, but rather speculate and provide support.</t>
  </si>
  <si>
    <t>Lillian Flores</t>
  </si>
  <si>
    <t>It depends upon where the author wants to take the story. Given the princess's stealth and cunning in find out what was behind each door, I think she would rather see her lover dead than alive.</t>
  </si>
  <si>
    <t>Chat Outreach P1 Book Club 1 had lots of uptake and seminar</t>
  </si>
  <si>
    <t>Kelly Thomas</t>
  </si>
  <si>
    <t>I agree with you Lillian Flores about it depending on someone, but I feel that it is up to the person reading the story and reflecting on the actions of the characters. In this case, the princess was jealous of the girl and she was also semi-barbaric like her father, so I feel she would have chosen the door with the tiger for the man. If I go with my own emotions, even though the author said not to base it on that, I would think that the princess would make the right choice with the right door and let him marry the man.  Although, would the man trust the princess enough and choose the same door as she indicated? So behind the right door would be the tiger.  They are both semibarbaric, so the King would most likely be disappointed at first, but either way, he got what he wanted and that was to keep his daughter away from this man. In this case, either sentence would be justice in his eyes.</t>
  </si>
  <si>
    <t>Affirm, Disagree, Elaborate</t>
  </si>
  <si>
    <t>This answer is a good example of being thorough, it includes several typs of uptake and asks a question.</t>
  </si>
  <si>
    <t>Marry the girl not the man.</t>
  </si>
  <si>
    <t>Hi Anne Lee. Yes, the reader will certainly bring her or his background and ideas to the story. And the king did indeed get what he wanted. Good points!</t>
  </si>
  <si>
    <t>Seminar to Social to Seminar</t>
  </si>
  <si>
    <t>Anne Lee</t>
  </si>
  <si>
    <t>I agree with both of you. To me, it is more likely that the princess would tell the man to open the door to the tiger. There was no mention of the princess questioning the morality of sending him to his death. In fact, it appeared like she was leaning towards it as the more merciful option because he would have a quick death and then be waiting for her in the afterlife. I think if she was going to send him to the other lady, she would have shown more guilt over the option of the tiger.</t>
  </si>
  <si>
    <t>As for the second question, I imagine the king would definitely send the princess to her own trial just like her lover. His barbarism is so calculated. He has come up with his perfect judgement system, allowing the accused to choose their own fate and leave it up to chance. I don't think there would be any exception to his system, even his own daughter.</t>
  </si>
  <si>
    <t>Rebecca Perez</t>
  </si>
  <si>
    <t>Hi everyone! I think what happens next is that the princess let her lover marry the woman. The reason why I think she would do that is because she loves the man (as they had made each other the center of each others universe) and she would rather see him alive then feel guilty that she is the reason why he dies (she had nightmares of her lover being killed by the tiger). The king represent determinism and barbarism by having chance dictate one's choice (which he had demonstrated in the arena.)  The princess represented free will and progressivism because she actively went out of her way to know which door held which. I do not think a good lover will put harm's way to their love ones. The princess lost the man regardless of which door she choose but at least she can fulfill her role as a lover to never put harms way in his direction and not let the barbaric nature from her father's bloodline to overcome her moral compass.</t>
  </si>
  <si>
    <t>Disagree, Elaborate</t>
  </si>
  <si>
    <t>Yes, I understand the princess hated the to-be-bride but I just can't see the princess letting her lover die when she went to find out which door led to what. Don't you guys think that symbolize the progressive nature of the princess compared to the king's barbarism where the king rather let chance decide than free will? I think the moral of the story is that we can inherit bad and good traits from one's parents but when it comes to determining who we are as a character, our actions tells more than genetics (as the princess has done when she sought info for the doors rather than let her lover relied on chance at the arena).</t>
  </si>
  <si>
    <t>As for the 2nd part of the discussion, I don't think the king will ever hurt his daughter as it was mentioned in the story that she is the apple of his eye. I could see him scolding at the princess and put restrictions on her as punishment. In the story, it was implied that the princess is cunning and intelligent so I would suspect she can use her intelligence to calm down her father by appealing to his emotional side since the king is the barbaric one.  I could also see the princess twisting her father's logic that it is fate/chance that the princess has to break the law because if it  was really chance that determines all actions, then chance would had not let the princess not break the law (I hope that makes sense).</t>
  </si>
  <si>
    <t>*would not let the princess break the law in the first place.</t>
  </si>
  <si>
    <t>As for the King, I believe his system works and would put her through the same system because he fully believes in it. Not sure he wouldn't make sure what door the lion would be in and send her to the man of his choice. He is semibarbaric but loves his daughter and what better justice than marrying her with someone of his choice. Interesting ideas everyone...good job. :)</t>
  </si>
  <si>
    <t>Seminar, Social</t>
  </si>
  <si>
    <t>Diana Phillips</t>
  </si>
  <si>
    <t>Hi Rebecca Perez, I think you make an excellent point regarding the Princess representing progressivism and the Kind representing determinism. I believe that the Princess displayed qualities of progressivism from the very beginning; she choose who to love on her own accord which proves that she believes in free will and the importance of making your own decisions in life. With that being said, this is this very reason that I believe she sends her lover to the door of the tiger; she obviously believes in free will, but she still has semi-barbaric tendencies which may cause her to put her own free will above everyone else's.</t>
  </si>
  <si>
    <t>When the King discovers that his daughter has broken the law, I believe he would most likely make an exception for her. In the story it stated that the King put the love for his  therefore I highly doubt he would send her into the arena. Because of the King views himself and his daughter as royalty, I would speculate that he would come up with an  alternate punishment for his daughter . daughter above all of humanity" and that she was the "apple of his eye</t>
  </si>
  <si>
    <t>Mary Robinson</t>
  </si>
  <si>
    <t>My first thought was that the Princess would send her lover to the tiger (because she is like her father and seems to spend a lot more time dwelling on what would happen if he chose the door with the lady than what would happen if he got the tiger), but Michelle makes a good point - that she represents free will in opposition to her father (by finding out what was behind each door). I do think that a lot of this story rests in what the reader brings to it - whether the reader thinks that the Princess would send her lover to death or give him a life without her, depends upon the reader's perception of the world and of the context of the story, rather than just the story itself. Now, I do think that the King would alter the punishment for her daughter when he finds out that she broke the law, simply because he loves her so much and I don't think he would send her to the arena (although I think that would make a more interesting story in my opinion).</t>
  </si>
  <si>
    <t>Affirm, Prompt, Elaborate</t>
  </si>
  <si>
    <t>Good example of uptake that leads to someone changing their mind.</t>
  </si>
  <si>
    <t>Elizabeth Young</t>
  </si>
  <si>
    <t>I think that she sends her lover to another woman. Even though the thought of him being with someone else is devastating, I don't think she could handle knowing that she  I was secretly hoping that the Princess would find a way to be the woman behind the door that I can't see her just setting him up to die! I think that the King would put his daughter through the system caused his death. I agree with the idea that we will all bring our own ideas to how we interpret the story; I have always been a Disney fantasyland" sort of girl- true love conquers all and all that other stuff. But she took such a risk to love him  even if that meant changing his rules about who could court his daughter. As I was reading the story  defying her father and choosing true love over being a princess!"</t>
  </si>
  <si>
    <t>Ana, I agree with you that the king is so adamant that his system is perfect that he would subject his daughter to it. I think he is somewhat blinded by his own importance, and feels that as king he should also be in charge of everyone's fate.  because if he truly loved her he would not have sent the one man that she loved into the arena. He would have moved mountains to make her happy</t>
  </si>
  <si>
    <t>Helen Howard</t>
  </si>
  <si>
    <t>Part One: The lover picks the door which the Princess indicates, and the beautiful courtier is revealed. The Princess grappled with her thoughts and instincts, feeling jealous and thinking about sending her lover to his death rather than see him with another woman.  She ended up indicating the door which held the beautiful woman because she realized that she couldn't live with the knowledge that she had sent her lover to his ruin.  Deciding that she would rather see him alive, she shows him which door to pick.</t>
  </si>
  <si>
    <t>Part Two:  I believe the King would send his daughter to the tribunal, because even though he loves her and she is the apple of his eye, he is illustrated to be set in his ways.  He would not make an exception for her because he feels that he needs to establish his power over the citizens of the kingdom.  If he subjects his daughter to the same punishment, then he is proving his stance and making an example of her to his kingdom.  I believe she would find a way to outwit the King, maybe with the help of her lover who she granted life to in part one.</t>
  </si>
  <si>
    <t>Kathryn Bell</t>
  </si>
  <si>
    <t>I think she tells him to go to the right but he goes to the left, finding the lady behind the door. In that moment realizes that she led him to his death. The Princess then has to face the fact that he found out she would rather see him dead than with the lady.</t>
  </si>
  <si>
    <t>Although the King is one that like to follows the rules and has a very barbaric side, he doesn't send his daughter to the tribunal. Instead he makes her live with the agony of living without her love and while facing the fact of her character.</t>
  </si>
  <si>
    <t>Nicole Gonzalez</t>
  </si>
  <si>
    <t>Part One: The princess seemed more threatened and bothered by the image of her lover going into the arms of another, than by the image of a tiger tearing him apart. I don't remember her exact words, but she thinks him dying quickly if the tiger is behind the door is a better fate for him. I'm not a fan of the barbaric ancestry and tendencies this text brings up, but it seems to be given as the reason for the King and Princess to act cruel and savagely. Therefore, I do think that that behind the door the Princess motioned to is the tiger. The story reads to me as if the Princess would rather have her lover to herself in perpetuity (in her mind) by killing him off now instead of see him with someone else.</t>
  </si>
  <si>
    <t>Part One con't: Oops, sent the rest before finishing this thought. I think the lover goes to the door on the left instead of the door on the right, thinking on her barbaric" nature and that she'd likely betray him  and finds a lady instead of the tiger. I'm assuming even though he knows her  it would leave him in shock knowing that the Princess would want him dead if she cannot keep him to herself."</t>
  </si>
  <si>
    <t>Part Two: I think if the King discovered the truth and that the Princess had broken the law, she would be sent to the same fate as her lover. Having to choose between the two  he would ultimately make her choose which door just like other so-called criminals." doors. The King thinks himself fair and seems to care a great deal about maintaining his just" rule and appearance. I do think that even if he loves his daughter</t>
  </si>
  <si>
    <t>Lillian Roberts</t>
  </si>
  <si>
    <t>Part 1: I think that the princess will choose the door with the lady because even though she is jealous of her beauty, in the end she knows her lover loved her and could not live with the pain of killing her love. I also believe that the lover trusts her and chooses the door she picks, leaving him alive and married to the other lady.</t>
  </si>
  <si>
    <t>Part 2: I believe that the king will not make an example of his daughter for the kingdom, as this would display a bad reputation for the royal family. Instead, I believe the king will keep the knowledge of his daughter's crime to himself with the knowledge that he sent her love on a different path and she can no longer have him.</t>
  </si>
  <si>
    <t>Hello Helen Howard, I agree with your thoughts on the decision for part 1, but I don't believe the king would amplify the mistakes of his daughter by sending her to the tribunal as it would make the royal family look bad in the eyes of the public if everyone knew of her crimes.</t>
  </si>
  <si>
    <t>Affirm, Disagree</t>
  </si>
  <si>
    <t>I enjoyed reading all of your perspectives.  Nicole Gonzalez- I also found the idea of barbarism" kind of unsettling... I guess it was a pretty common theme in story telling in the "old  but reading from my 21st century perspective days"  it feels like labeling the society as "other" or "bad"."</t>
  </si>
  <si>
    <t>Hi Helen Howard! I feel this text is meant to unsettle in a way. It wasn't just the barbarism but also the mention of ancestry and blood that made me think it was fatalistic in a way. Kind of like the King and Princess were destined to act in cruel ways. I'm glad that someone else picked up on it too and I really liked your point that it does feel labeling a society in sweeping terms.</t>
  </si>
  <si>
    <t>Teresa Stewart</t>
  </si>
  <si>
    <t>Part one: I think the lover follows the Princess's instructions and opens the door on the right to the tiger. Based on how the Princess is described as barbaric" like her father  I think the King sends his daughter into the tribunal as well. He seems set in his ways and seems to value power over logic." and how she struggles between the two options of leading him to his death or leading him to a life. Part two: as mentioned earlier</t>
  </si>
  <si>
    <t>Hi Kathryn Bell! I am curious to know why you think the lover would not follow the princess's instructions to open the door on the right? While the princess definitely felt untrustworthy to me, I did not get a sense that the lover felt that from her.</t>
  </si>
  <si>
    <t>Sandra Coleman</t>
  </si>
  <si>
    <t>Part 1:  I believe that the Princess indicated for her lover to choose the door with the other lady behind it, because her love for him was strong.  Her relationship with him wasn't only passionate feelings, but truly a deep love, that is why it pained the Princess so much to think of her lover with another woman.  I believe that the young man trusted the Princess, because he knew her very well.  He knew that she would defy her father and find the answer to save him.  That's why he looked to her for help.  They knew each other very well.</t>
  </si>
  <si>
    <t>Part 2:  I believe that the King made his daughter face her fate in the King's arena.  The King did not consider his daughter's feelings when he made her lover enter the arena.  The King didn't care whether or not his daughter would be traumatized by the event.  By sending his daughter's lover to the arena, he proved that he cared more about his own rules than the happiness and well-being of his family.  The King was more barbaric than civilized and he was very set in his ways.</t>
  </si>
  <si>
    <t>Hello Sandra Coleman, I think it's a good point you made that the King did not consider his daughter's feelings when he made her lover enter the arena. It does seem that when he caught them, it was immediately understood that the lover would have to put his life on the line. For that reason and his barbaric nature that is quoted a lot, I also believe he would make his daughter face her fate in the King's arena.</t>
  </si>
  <si>
    <t>Shirley Morris</t>
  </si>
  <si>
    <t>Part 1: I believe that he chooses the door that the Princess gives him the hint to choose. When he opens the door, the lady is there because the Princess has love that very strong for him. She knows that she would rather know that he is alive and happy than send him to his end.</t>
  </si>
  <si>
    <t>Part 2: With how the King wants to assert his power over his kingdom and people, I believe he would make an example out of his daughter and send her to same fate as her lover. He didn't take her feelings about her lover into consideration so that shows how brutal his mind and rule is.</t>
  </si>
  <si>
    <t>Douglas Jackson</t>
  </si>
  <si>
    <t>Part 1: I think the princess hints to him the door with the lover. She is described as only semi barberous and so by having her show mercy to her former lover she provides a foil of free will to the Barbarous Kings fate based judicious system.</t>
  </si>
  <si>
    <t>Part 2:I think the king has to send his daughter to the ring. She has broken the rules like anyone else and so as someone who has put their trust in fate he would subject his daughter to the same punishment. Ultimately I think he would believe that she would prevail in hist justice system.</t>
  </si>
  <si>
    <t>Hi Teresa Stewart, I felt that if he truly knew her, he would know her true character and her barbaric side. The story also noted that she had seen her lover talk to the lady before, and assumed that her jealousy would be known to him prior to his tribunal.</t>
  </si>
  <si>
    <t>Emily James</t>
  </si>
  <si>
    <t>I feel that with the personalities traits provided to both the king and princess, she decided that death would be more appropriate than another woman, a rival, living happily with her lover. The princess was already wavering with deciding if he was faithful, so why would she give him and her rival the satisfaction? The lion seems to be the only choice for her disposition and upbringing.</t>
  </si>
  <si>
    <t>Part 2: With the events led, created, and executed by the king, one would believe he would send his daughter to the arena as she has committed a crime, embarrassed the king, and went against the rules. He is semi-barbaric so he will probably feel guilt as the story states he loves his daughter, but he is also king. He wants to keep in power and with these events, shows his power to rule over life and death. His character would choose fame, power, and glory over love as with these events, sympathy is not a strong theme in this story.</t>
  </si>
  <si>
    <t>Hi Douglas Jackson, I like your point in Part 1 about semi barbarous but I feel she showed her mercy in dwelling on the issues day and night, losing sleep, and imagining both scenarios. The readers feels the guilt she portrays, but in the end I believe with her being the daughter of the king who created this judicial system, and growing up around these barbarous events, she sent him into the lions den - literally!</t>
  </si>
  <si>
    <t>I have never heard this story before... and I was wondering if it is some kind of folk tale?  Has anyone else seen this story before and do you know what culture it is from?</t>
  </si>
  <si>
    <t>Hi Helen Howard! I actually had the same question as I had never heard this story before. So I did some research! This short story was written by Frank Stockton in 1882. Stockton wrote a follow up to this story called The Discourager of Hesitancy. He seems to like open-ended stories like these.</t>
  </si>
  <si>
    <t>Sarah Adams</t>
  </si>
  <si>
    <t>Thanks for the info and research, I was wondering about this story as well. I've never read it before.</t>
  </si>
  <si>
    <t>In part one I think he chose the princess because of her hints.  In part two she broke the rules so the king must be true to his role as leader and must trust fate and deal with his daughter how he would anyone else.</t>
  </si>
  <si>
    <t>Hello Emily James I agree with your rational regarding part 2. The king would lose respect and his reputation if he did not deal with her in the same way as others. I agree he will feel guilty and I'm sure it was difficult, but again he needs to save face.</t>
  </si>
  <si>
    <t>GAM P1</t>
  </si>
  <si>
    <t>1) What are the learning goals, or what could be learned, for/from playing Laser Dilemma? 2) What pre- and post-tests would you have players take before and after playing to evaluate if they learned this?  3) What game-play data should be written from the game to evaluate learning?</t>
  </si>
  <si>
    <t>Dorothy Collins</t>
  </si>
  <si>
    <t>1. Learning Goals: Understanding spatial awareness, and/or avoiding obstacles.</t>
  </si>
  <si>
    <t>2.Pre-Tests: I would want to understand how familiar the participants were with maze games and what kind of maze games have they played in the past. This may help in understanding where the participants are recalling any previously learning information. Post-test: I like an interview with open-ended questions in order to get a open dialogue with the participants. It helps to understand where their thought process was during that particular time.</t>
  </si>
  <si>
    <t>3. I believe the data that should be collected during game-play should be things like expressions, or finger movements. It can help to determine the strain that a participant may be going through with understanding where to go next, or how they may be double-guessing themselves.</t>
  </si>
  <si>
    <t>Frances Johnson</t>
  </si>
  <si>
    <t>1) Learning Goals: Use critical thinking skills and visual memory mapping to solve the puzzle tasks. (I also agree with the spatial awareness comprehension).</t>
  </si>
  <si>
    <t>2. Pre-tests: I would survey students on their experience with puzzle games, specifically those that involve memory.</t>
  </si>
  <si>
    <t>Post-tests: Like in the study, I would interview participants to ask them their thought processes as they interacted with the games. See how they solved different puzzles and how they reached their desired solutions.</t>
  </si>
  <si>
    <t>3. I think that visual/audio data should be collected of the player to see how they interact with the game. The player should be observed to witness how they may try to think through the puzzle without actually making any interaction with the game. For example, maybe they will draw the path on the screen with their finger or maybe they will mutter instructions to themselves before they even make a move on screen.</t>
  </si>
  <si>
    <t>Theresa Miller</t>
  </si>
  <si>
    <t>1.) learning goals would be using critical thinking skill and spacial awareness</t>
  </si>
  <si>
    <t>2.) I would create a survey asking questions about the game and note their original score on the game and then readminister the survey and note their final score and compare the two scores</t>
  </si>
  <si>
    <t>3.) I thin k the data should be feedback based. Is this engaging to the player, what did you like what didn't you like, how can we improve.</t>
  </si>
  <si>
    <t>Web P1</t>
  </si>
  <si>
    <t>(1) Which model do you favor? Why? Compare at least 2 models. Support with reasoning. (2) Make practice recommendations for novice programmers, based on this model. Provide support.</t>
  </si>
  <si>
    <t>Marilyn Richardson</t>
  </si>
  <si>
    <t>Pennington’s model suggests that developers use multiple methods for comprehension. First, a textual model to understand the text-based features, and then a functional model for the function-based features. While these models work together to improve understanding, this is predominately a bottom-up approach. Letovsky’s model, on the other hand, has a tiered structure which includes first, defining the goals and purposes; second, implementing the code; and then finally connecting the goal specification and the code implementation together. This method uses a combination of both top-down and bottom-up approaches to help developers with a better awareness of the programming and is therefore a more rounded approach. Based on this, I would make recommendations that novice programmers follow Letovsky’s model by first defining goals and implementing code, and then assimilating the goals and code.</t>
  </si>
  <si>
    <t>Ruby Clark</t>
  </si>
  <si>
    <t>The Soloway and Ehrlich model calls for pre-existing familiarity with coding plans and programming conventions. So, I would not recommend it for a novice programmer.</t>
  </si>
  <si>
    <t>Experimenting with how to write paragraphs in this system.</t>
  </si>
  <si>
    <t>Continuing: I like the Letovsky model. It seems to describe programmers as working off some level of knowledge base while growing their knowledge as they progress. They are “knowledge-based understanders” and the “process of acquiring this mental model is quite flexible”. So, it seems a better fit for a novice programmer than Soloway and Ehrlich. I agree with Sandi in recommending that the novice programmers describe the goals of the program; I am not yet quite clear on the annotation and implementation pieces so I hope to learn more from others' discussion posts. I do see that the study on this model used thinking-aloud protocols" that sound like the line-by-line reading through the code that we have been doing in our synchronous class sessions."</t>
  </si>
  <si>
    <t>Hello, I am here</t>
  </si>
  <si>
    <t>William Alexander</t>
  </si>
  <si>
    <t>Hi Ruby Clark</t>
  </si>
  <si>
    <t>Ruth Jackson</t>
  </si>
  <si>
    <t>Hello! I'm here now.</t>
  </si>
  <si>
    <t>Hi William Alexander, Hi Ruth Jackson!</t>
  </si>
  <si>
    <t>cool</t>
  </si>
  <si>
    <t>Hey Ruth Jackson, I think there are two more people coming.</t>
  </si>
  <si>
    <t>great. I see Lori Lewis in the list at the top 2 minutes ago</t>
  </si>
  <si>
    <t>Lori Lewis</t>
  </si>
  <si>
    <t>Hello all!</t>
  </si>
  <si>
    <t>Hi Lori Lewis!</t>
  </si>
  <si>
    <t>Hello!</t>
  </si>
  <si>
    <t>woohoo - this works :) I'm still reading the article, but clicked ahead to get to this point where we can chat</t>
  </si>
  <si>
    <t>good thinking Lori Lewis. It is a long article</t>
  </si>
  <si>
    <t>I did the same. Thanks again Lori Lewis! That was a big help!</t>
  </si>
  <si>
    <t>Yes - and I hope that the link to the PDF helps. I found it challenging to read in the small paragraphs in here and not be able to annotate/highlight as I read.</t>
  </si>
  <si>
    <t>It helps a lot.</t>
  </si>
  <si>
    <t>my favorite line from the reading so far is describing the comprehension process in the Block Model as "chaotic and flexible" ....</t>
  </si>
  <si>
    <t>I haven't made it past the Block Model, but I like the cyclic nature of the model and that the blocks can be arranged in different orders/configurations.</t>
  </si>
  <si>
    <t>yes, that is interesting about it being chaotic... I'm not quite sure what that means. Is it referring to the individual's process of comprehending the code that they are reading?</t>
  </si>
  <si>
    <t>my guess is chaotic is speaking to the combination of blocks that can be built and relationships made in the process.</t>
  </si>
  <si>
    <t>Hmm. I guess that makes sense. (I am still building the mental schema to understand the concepts in this article.)</t>
  </si>
  <si>
    <t>checking, has anyone made a comment since mine at 6:31:19 PM?</t>
  </si>
  <si>
    <t>No. I've been reading and working on this comment: I like the Fix, Wiedenbeck and Scholz Model for its focus on five features of of the mental representation of code. A recommendation for novices is to label complex code segments with clear labels to build pattern recognition and connections between elements of code. The article also mentions filling in names/units in a code skeleton as part of building the mental representation of code and this could be a useful exercise for novice programmers.</t>
  </si>
  <si>
    <t>nope :)</t>
  </si>
  <si>
    <t>Lori Lewis, you've drawn out some recommendations for novices that would be very helpful.</t>
  </si>
  <si>
    <t>Thanks Ruby Clark! And like what you pointed out above with reading through the code in class, it seems that we are already implementing a lot of good strategies for novice learners</t>
  </si>
  <si>
    <t>Yes, that's true. I like Dr. Smith's focus on this being like learning a language.</t>
  </si>
  <si>
    <t>I am logging off for now - but will try to check back in later tonight if I have time. Thanks for suggesting this Ruby Clark!</t>
  </si>
  <si>
    <t>You are welcome :)  I enjoy the synchronous experience here</t>
  </si>
  <si>
    <t>I think the models by Letovsky’s and Fix, Wiedenbeck, and Scholz are the most novice-friendly models. They both provide flexibility in the amount of required knowledge needed to map the block model. With Letovsky’s model, programmers can use multiple strategies and the flexible nature of the model fits with the diversity found in programmer’s backgrounds. In this model, programmer’s are considered “opportunistic processors” that can use a variety of strategies to build their mental representation. In comparison, the older models do not have the same flexibility. The Soloway and Ehrlich model flows horizontally across the atom level and then progresses up the function dimension. Pennington’s model gives more flexibility in the 2nd and 3rd phases, but that benefits experts more because they have more knowledge to cross-reference. The model by Fix, Wiedenbeck, and Scholz is based on the other models but focuses on what makes up the code rather than the process. This model isn’t as novice friendly because a novice will not have the knowledge base required for the more advanced, dynamic mapping that experts do. However, even novices have the beginnings of the key features, which gives them a good foundation for building a more hierarchical representation.</t>
  </si>
  <si>
    <t xml:space="preserve">SUBMITTED We believe that the lady would be behind the door - nobody who truly loves anyone else could stomach watching that person get torn apart by a wild animal, no matter how jealous they were. In the hypothetical scenario described in Part II, we have decided that the King would cover up his daughter's crime and not put her through the "lady or the tiger" trial. While the King does seem like an unstable or cruel ruler, we believe that he would make an exception for crimes comitted by his daughter. </t>
  </si>
  <si>
    <t>SUBMITTED 1. The tiger is behind the door. 2. The King would offer her the same punishment of choosing between the two doors.</t>
  </si>
  <si>
    <t>We believe the lady was behind the door as the description of the princess was "semi-barbaric." She could probably have the new couple banished from the kingdom so she would not have to see them. Thus, we think the princess chose the lady because in the end she trusted and loved her lover, she did not want to see him die. Later on, upon discovering his daughter has broken the law: the King responds out of love, and he forgives her.
SUBMITTED</t>
  </si>
  <si>
    <t>1) We believe that the daughter would have led her love to the other lady. She took a big risk with finding out which door led to what. Yes! Okay let's try again 2) We feel that the King loves his daughter so much that he would want to keep her treason a secret so he would not have to send her to trial. However, he would also want punishment for her to keep all of his "orbs" in line and he had the perfect punishment. He decided that he would offer her up as the bride for the next trial. I know live without him try that I guess you add the title submitted</t>
  </si>
  <si>
    <t>SUBMITTED A suggested ending: The door opened and the tiger pounced on the young man, sending horrific screams into the stadium and spattering blood everywhere. The princess immediately lamented her decision and began raving about her part in her lover's demise. Upon hearing his daughter, the king realized with horror that his daughter was in violation of the law and that he must now subject her, too, to his form of justice. But how could he do that to his beloved child. His long-held belief in his form of justice was called into question, and he had to dig deep into his soul and wrestle with his conflicting interests. Should he spare his daughter this punishment and change his whole system of justice, have her go through with it knowing his daughter might die a horrible death and that he'd lose her forever, or secretly ensure she chooses the door with a future prince behind it, and thus break the law himself?</t>
  </si>
  <si>
    <t xml:space="preserve">I just wanted to reiterate what I wrote up top. I wasnt sure what space to use! Although the Princess does love her the young man, I think it is in her nature to fiercely and intensely for what she wants. In this case she cannot get what she wants with either outcome, but I think she'd much rather him die without her than to live with someone  else. Death would be easer for her ego and temperment to handle than to see him daily in the arms of another. Overall, the most probable conclusion is the princess allows her lover to be mauled by the tiger. While she clearly loves him and shows significant remorse at the prospect of his death, she spends even more time lamenting the possibility of him living another life and loving another woman more than his death. In fact, she loves him so much so that she literally cannot imagine someone else having him. Couple her distress with barbaric nature, and it all points to her sending him towards the tiger. She very much holds the "if I can't have him, nobody can" mentality. It would be much easier for her to mourn his death and recover than actively watching him love someone else. When the King discovers that his daughter has broken the law, he is initially impressed and please with her barbaric choice, but ultimately must make an example of her as well because she has broken one of his laws, laws that he, in his mind, has so carefully crafted in the name of fairness and his barbaric nature. Following that train of thought, The King decides he must also put her into the arena. On one side is a well-fed tiger (the same one who had just eaten her young man) and on the other is a carefully selected mate of his choice. He gives her no clues, as that would be wrong, but simply puts her into the arena and hopes for the best. </t>
  </si>
  <si>
    <t xml:space="preserve">SUBMITTED Part 1: He opens the door to find the tiger. The king's daughter could not bear the idea of sharing him with anybody else and so sent him to his doom. Her jealousy and barbaric nature blinded her from reason and love did not prevail. Part 2: The king, upon discovering his daughter has broken the law, puts her on trial. He does this not only because of his semi-barbaric nature, but also because of his idealistic views that the trial will provide a fair ruling. Despite his love for his daughter, the king's barbaric nature and idealistic principles overruled his heart. (The written ending) From the door emerged the tiger. The man turned back to the lady and as the tiger pounced and tore the man’s limbs from his body, the man’s eyes looked pleadingly at the lady, wondering why she chose to show him the door that led to his death. After all her imagining, the Princess was numb to the grotesque display of violence before her. While on previous occasions when the person on trial would open the door to the tiger, the Princess would look away after a few moments, now she simply looked on as her lover was butchered. The crowd cheered. The King was confused by his daughter’s behavior, finding it strange that she watched on as her lover was being destroyed, with the knowledge that previously she could not face the sight. He thought on this as the tiger began to properly eat its meal and decided to investigate later. After asking around and talking to his advisors and the various servants working in the palace and at the arena, the King learned of his daughter’s bribery to find out which door the tiger would be behind. As much as it pained him to learn of his daughter’s infraction, having his semi-barbaric idealism the King knew of only one way to respond. He had to put his daughter to trial. He searched the kingdom for the perfect match for his daughter, someone with a nature similar to his own, because should the trial find her innocent, he knew that whomever the man she matched may become king one day. As the day of his daughter’s arena trial arrived, the King realized it was time to inform his daughter of what he had discovered and the fact that she would now have to go on trial. The daughter did not take the news well, but as she was taken down to the arena, she realized she had no choice but to partake in the trial. The crowds were gathered and when the door opened to allow the Princess into the arena the audience was in an uproar, the Princess looked back at her father, hoping he would give her some clue as to which door to open, an action of self-concern and survival, not wanting to die herself, despite knowing if he told her which door to open, he would be committing the same crime she did. She turned back around to face the doors, and with anticipation and hope opened the right door. </t>
  </si>
  <si>
    <t>CREW Outreach P1 Book Club 1</t>
  </si>
  <si>
    <r>
      <t xml:space="preserve">From the very beginning of the discussion, CREW Outreach P1 Book Club 1 jumped right into seminar. They displayed uptake in the form of disagree, affirm and elaborate. Answers were written in thorough and complete sentences. The conversation flowed in a cohesive way. There were no breaks in dialogic spells. Students often referred to one another’s points like this example: “Anna Jones, this is what I was thinking. If you really loved him you wouldn’t allow that. Alexandra, I was leaning toward the tiger at first because of the descriptions you gave. The apple doesn’t fall far from the tree and all that. </t>
    </r>
    <r>
      <rPr>
        <sz val="12"/>
        <color theme="1"/>
        <rFont val="Apple Color Emoji"/>
      </rPr>
      <t>🙂</t>
    </r>
    <r>
      <rPr>
        <sz val="12"/>
        <color theme="1"/>
        <rFont val="Calibri"/>
        <family val="2"/>
        <charset val="1"/>
      </rPr>
      <t>” The conversation felt like they were authentically engaging and thinking about what the other people in their book club were reading like this example: “Yeah, I was going back and forth a lot on what I think happened. So I can definitely see your reasoning for her picking the lady.” They switched to deliberation toward the end to discuss submitting the assignment. They submitted 19 times and most entries were several sentences long. They asked several questions.</t>
    </r>
  </si>
  <si>
    <t>CREW Outreach P1 Book Club 2</t>
  </si>
  <si>
    <t>This entry needs to be double checked in IMapBook because the course column was blank in the master data but we believe these responses belong to CREW Outreach P1 Book Club 2. The discussion in CREW Outreach P1 Book Club 2 was very short. They only submitted seven times total. The submissions were also short like “I agree” without explaining why. This book club only used seminar. Entries were not very thorough but did technically answer the question of what they think happened next.</t>
  </si>
  <si>
    <t>CREW Outreach P1 Book Club 3</t>
  </si>
  <si>
    <t>This group created 11 entries. Most discussion posts were thorough and long. Most entries were several sentences long. They started with seminar and maintained a cohesive conversation from beginning to end. Most responses included explanations for their reasoning. They switched to deliberation only at the end when discussing how to submit the assignment but most of the conversations focused on interpreting the meaning of the text. The conversation included uptake and a higher order question.</t>
  </si>
  <si>
    <t>CREW PIM P1 Book Club 1</t>
  </si>
  <si>
    <t>This group created nearly 60 entries but they spent most of the time deliberating on the instructions and how to use the interface. There was much more deliberation than there should be for a quality discussion. There was not as much uptake or seminar as we would hope to see. No imaginative entries. Questions were all closed lower order. Responses were generally very short and did not focus much on the text.</t>
  </si>
  <si>
    <t>CREW PIM P1 Book Club 2</t>
  </si>
  <si>
    <t>This group submitted 23 entries. Many entries were more than three sentences each. The group displayed several instances of uptake including this example, “you bring up a good point - are we truly using the information gained through the reading or our own beliefs that human nature is fundamentally selfish. You really have me thinking about this.” This discussion included several higher order questions. The first half of the entries were seminar. They then switched to procedure. Another notable entry is “Curiosity got the best of me, and I googled this book, which I'd never heard of despite it being a well-known allegory. It presents an unsolvable problem, yet we all felt pretty confident taking a stab at answering the prompts. I wonder what we are to make of all of us feeling pretty certain the princess chose the tiger. Is our choice based on the author's characterization of her or our belief that human nature is fundamentally selfish?”</t>
  </si>
  <si>
    <t>CREW PIM P1 Book Club 3</t>
  </si>
  <si>
    <t>This group only submitted 11 entries, but most entries were quite long and included frequent uptake. Most entries were seminar but they deliberated toward the end. Students often backed up their responses with examples from the text. While their responses were thorough and included many affirm and elaborate uptakes, they didn’t reflect as deeply and tie the text to their own lives as well as some other groups, so we found no notable quotes that would be suitable for papers.</t>
  </si>
  <si>
    <t>CREW PIM P1 Book Club 4</t>
  </si>
  <si>
    <t>THIS IS AN EXCELLENT CASE STUDY FOR PAPERS. This group submitted 94 entries! They started with procedure and pivoted many times to deliberation, seminar and even imaginative entries. This is the book club with the “does this mean we are barbaric too?” line that we should use in papers. They had a considerable number of entries that reflected uptake. Most uptake was affirm but they also elaborated, prompted and disagreed. They started writing a few posts on 2/15/2021 4:40:14 AM, but most of the conversation began 2/23/2021 7:50:58 PM and wrapped up at 2/23/2021 8:45:30 PM which means they were engaging in real time and didn't leave the conversation and come back.</t>
  </si>
  <si>
    <t>Chat Outreach P1 Book Club 1</t>
  </si>
  <si>
    <t>This group displayed uptake in nearly every entry. The chat included 17 entries but most entries were several sentences long. They focused mostly on seminar but pivoted often to social inside of their entries which made the conversation feel more authentic and friendly. They often used many examples from the text to explain their point. They elaborated often and disagreed occasionally. Here is an example of how they considered one another’s views and even changed their minds, “My first thought was that the Princess would send her lover to the tiger (because she is like her father and seems to spend a lot more time dwelling on what would happen if he chose the door with the lady than what would happen if he got the tiger), but Michelle makes a good point - that she represents free will in opposition to her father (by finding out what was behind each door). I do think that a lot of this story rests in what the reader brings to it - whether the reader thinks that the Princess would send her lover to death or give him a life without her, depends upon the reader's perception of the world and of the context of the story, rather than just the story itself. ”</t>
  </si>
  <si>
    <t>Which actual discussion points to this? ? Chat Outreach P1 Book Club 1</t>
  </si>
  <si>
    <t>Chat PIM P1 Book Club 1</t>
  </si>
  <si>
    <t>This chat included 30 entries that were mostly seminar with some social. They did not pivot from seminar besides to include some social comments in their responses. Many of the entries were long and included references to the text. Many posts also went beyond the text itself and reflected on society. Here are some examples, “I enjoyed reading all of your perspectives.  Nicole Gonzalez- I also found the idea of barbarism" kind of unsettling... I guess it was a pretty common theme in story telling in the "old  but reading from my 21st century perspective days"  it feels like labeling the society as "other" or "bad"." 
Here is another example, "Hi Helen Howard! I feel this text is meant to unsettle in a way. It wasn't just the barbarism but also the mention of ancestry and blood that made me think it was fatalistic in a way. Kind of like the King and Princess were destined to act in cruel ways. I'm glad that someone else picked up on it too and I really liked your point that it does feel labeling a society in sweeping terms.” 
The also challenged one another’s interpretations of the text like in this example, “I am curious to know why you think the lover would not follow the princess's instructions to open the door on the right? While the princess definitely felt untrustworthy to me, I did not get a sense that the lover felt that from her.”</t>
  </si>
  <si>
    <t>Which actual discussion points to this? ?? Chat PIM P1 Book Club 1</t>
  </si>
  <si>
    <t xml:space="preserve">Topic </t>
  </si>
  <si>
    <t>User ID</t>
  </si>
  <si>
    <t>Dialogic Spell</t>
  </si>
  <si>
    <t>SL: Discussion (R1)</t>
  </si>
  <si>
    <t>Discussion (R2)</t>
  </si>
  <si>
    <t>PG: Discussion (R2)</t>
  </si>
  <si>
    <t>SL: Uptake (R1)</t>
  </si>
  <si>
    <t>PG: Uptake (R2)</t>
  </si>
  <si>
    <t>SL: Question (R1)</t>
  </si>
  <si>
    <t>PG: Question (R2)</t>
  </si>
  <si>
    <t>Natalie</t>
  </si>
  <si>
    <t>Hello everyone, can you see this?</t>
  </si>
  <si>
    <t>This is Natalie. I can't wait to get this activity started</t>
  </si>
  <si>
    <t>Katie</t>
  </si>
  <si>
    <t>Hello! I can!</t>
  </si>
  <si>
    <t>I know, I've been waiting my the computer</t>
  </si>
  <si>
    <t>Hi Katie!</t>
  </si>
  <si>
    <t>*by</t>
  </si>
  <si>
    <t>Hello, Natalie!</t>
  </si>
  <si>
    <t>I can't see when people are online but I can see that you've checked the book recently</t>
  </si>
  <si>
    <t>I can't see anyone either unless they write a message.</t>
  </si>
  <si>
    <t>I just asked Samantha if this activity is timed or if we need to spend a certain amount of time in the chat, Samantha said we can take as long as we want</t>
  </si>
  <si>
    <t>Okay, cool! Should we wait a couple of minutes for Rebecca or get started?</t>
  </si>
  <si>
    <t>Sure let's wait</t>
  </si>
  <si>
    <t>I don't think this e-book times out so we should be ok</t>
  </si>
  <si>
    <t>Okay!</t>
  </si>
  <si>
    <t>it says Alexandrea, Matthew and Sara looked at this 18 days ago. How is this possible? I thought the activity just opened up this week?</t>
  </si>
  <si>
    <t>Rebecca</t>
  </si>
  <si>
    <t>Hello! I've been on but just noticed the chat feature. We're good to get started :)</t>
  </si>
  <si>
    <t>So did I. Do you think they are in another course?</t>
  </si>
  <si>
    <t>Oh, hi Rebecca!</t>
  </si>
  <si>
    <t>Okay Hi Rebecca and Katie</t>
  </si>
  <si>
    <t>So regarding part 1 of the question, I think the lady is behind the door!</t>
  </si>
  <si>
    <t>That's what I thought to or how I interpreted the ending</t>
  </si>
  <si>
    <t>If she really loves him, she should want him to be with someone else and alive rather than dead!</t>
  </si>
  <si>
    <t>Did you guys already read the story? It won't move past the part of four questions for me.</t>
  </si>
  <si>
    <t>What about you, Rebecca?</t>
  </si>
  <si>
    <t>It was strange because it seems the daughter is jealous of the lady behind the door. so its an interesting twist</t>
  </si>
  <si>
    <t>Oh, sorry! Yes I read it</t>
  </si>
  <si>
    <t>Rebecca, it was a bit glitchy with me at times and I refreshed and logged back in</t>
  </si>
  <si>
    <t>Oh yeah Rebecca, in order to get past page 8, you have to form 5 questions with the tiles on bottom of screen</t>
  </si>
  <si>
    <t>Hint I _____him?</t>
  </si>
  <si>
    <t>then click submit</t>
  </si>
  <si>
    <t>I tried to read it before 7 but it's stuck on that one part</t>
  </si>
  <si>
    <t>then click on the checkmark button</t>
  </si>
  <si>
    <t>I had to ask my spouse for help</t>
  </si>
  <si>
    <t>head in hands</t>
  </si>
  <si>
    <t>Oh, yeah! You make up the questions and then can advance!</t>
  </si>
  <si>
    <t>Yeah I put questions, I'll refresh and try again</t>
  </si>
  <si>
    <t>Each time you submit, the lady talks back to you and her icon changes.</t>
  </si>
  <si>
    <t>Hm it's still not working. Sorry guys I'm trying</t>
  </si>
  <si>
    <t>Which browser did you use?</t>
  </si>
  <si>
    <t>It took me 10 tried. Then I got it</t>
  </si>
  <si>
    <t>It doesn't matter the combo of the questions</t>
  </si>
  <si>
    <t>I'm in google chrome</t>
  </si>
  <si>
    <t>Yes, it has to be chrome or firefox</t>
  </si>
  <si>
    <t>Ok it's finally working. I'll read the next part quickly and then I'll be good to keep going. Sorry guys, thanks for your help</t>
  </si>
  <si>
    <t>No worries!</t>
  </si>
  <si>
    <t>Okay, I agree, I think the lady is behind the door.</t>
  </si>
  <si>
    <t>So it definitely seems like the princess hates the lady behind the door. But if it were me, I couldn't stand to see the man I love being eaten by a tiger.</t>
  </si>
  <si>
    <t>Do you think the lady is more beautiful than the princess?</t>
  </si>
  <si>
    <t>I'm not sure. They're probably equally beautiful and just jealous :)</t>
  </si>
  <si>
    <t>ha ha</t>
  </si>
  <si>
    <t>I think it is entirely possible for the tiger to be behind the door, as the story indicates that she is jealous of the lady and she has a barbaric spirit like her father. However, as Katie said, I don't think she could have watched the tiger eat him if she loved him so much. Also, the end of the story says that she knew he would ask her, just as he knew she would take it upon herself to find out, so I think that she would not be able to lead him to the door with the tiger and live with that, especially if she thought about what she would tell him days before.</t>
  </si>
  <si>
    <t>Well said, Rebecca</t>
  </si>
  <si>
    <t>Good point you made Rebecca</t>
  </si>
  <si>
    <t>Regarding part 2 of the question, what do you think the king does to his daughter?</t>
  </si>
  <si>
    <t>I think the king would subject her to the same law as everyone else and expect her fate to be decided in the arena.</t>
  </si>
  <si>
    <t>Since he's barbaric...maybe he puts her in the ring to face her own doors? :(</t>
  </si>
  <si>
    <t>Okay, me too! Sorry there's a bit of a delay on my end.</t>
  </si>
  <si>
    <t>If he knew his daughter truly loved that man but sent him to the arena because of his barbaric nature, I don't think he would extend any grace to his daughter, even though the story told us that he treasures her.</t>
  </si>
  <si>
    <t>That's what I thought as well. I remember the description of the King being barbaric with his punishments and I think he would put his daughter in front of the doors as well</t>
  </si>
  <si>
    <t>Yep.</t>
  </si>
  <si>
    <t>Do you think that the king would be tempted to do the same thing she did, though, and find out which door was which?</t>
  </si>
  <si>
    <t>Imaginative Entry</t>
  </si>
  <si>
    <t>I could be wrong but I think the daughter's door opened up to being with her lover?</t>
  </si>
  <si>
    <t>There appears to be descriptions of her seeing her lover's face?</t>
  </si>
  <si>
    <t>Not really, no. Considering they mention how barbaric he is. I feel like he's a by-the-book sort of guy</t>
  </si>
  <si>
    <t>That was in response to Rebecca's question.</t>
  </si>
  <si>
    <t>Where did you see those descriptions, Natalie?</t>
  </si>
  <si>
    <t>Yeah, did they actually put the King's daughter in the arena in the story?</t>
  </si>
  <si>
    <t>Yeah, I think you're right. But it would be interesting if her lover ended up being behind the door she chose. Although I think the story said that it was people in the king's court that decide who goes behind the door, not the king.</t>
  </si>
  <si>
    <t>So I'm not sure if the king would've had a hand in putting her lover behind the door.</t>
  </si>
  <si>
    <t>But it would be interesting if the princess's actions in breaking the law made her father realize just how much she loved the man (if she did tell him of the door with the lady). So maybe he could've used his influence to put her lover behind the door, that way he could still abide by his own law but also extend love to his daughter.</t>
  </si>
  <si>
    <t>I honestly found the writing style in the story kind of confusing?</t>
  </si>
  <si>
    <t>Anyone else?</t>
  </si>
  <si>
    <t>Me too I had to reread the first couple pages several times before I understood what was going on.</t>
  </si>
  <si>
    <t>Same.</t>
  </si>
  <si>
    <t>Natalie, are you still there?</t>
  </si>
  <si>
    <t>I guess that was all we had to do? I don't know if there's anything else to discuss</t>
  </si>
  <si>
    <t>Okay, cool</t>
  </si>
  <si>
    <t>Thanks, everyone!</t>
  </si>
  <si>
    <t>Enjoy the wedding!</t>
  </si>
  <si>
    <t>Thanks for hopping on for a little bit! I hope you both have a great rest of this semester!</t>
  </si>
  <si>
    <t>Thank you, I will!! :)</t>
  </si>
  <si>
    <t>Thank you! You too!</t>
  </si>
  <si>
    <t>Hi sorry ladies I got kicked off</t>
  </si>
  <si>
    <t>Sorry just getting to everyone's messages</t>
  </si>
  <si>
    <t>I also found the story confusing and I had to re-read it several times</t>
  </si>
  <si>
    <t>I guess the ending depends on how everyone interprets it</t>
  </si>
  <si>
    <t>anyways have a good night</t>
  </si>
  <si>
    <t>and a wonderful semester thanks for hopping on</t>
  </si>
  <si>
    <t>Enjoy the wedding Katie</t>
  </si>
  <si>
    <t>Goodnight!</t>
  </si>
  <si>
    <t>Alexandrea</t>
  </si>
  <si>
    <t>I'm so sorry to have missed this initial conversation. I was dealing with some personal matters that prevented me from doing so. But I've caught up and I greatly enjoyed reading the discourse here.</t>
  </si>
  <si>
    <t>I had similar issues reading the writing style. It took a few times to really get to the core of what was being said.</t>
  </si>
  <si>
    <t>Based on the princess' description I had almost expected her to not make any motion towards the door. I assumed she would take the same 'let Fate decide' attitude as the king</t>
  </si>
  <si>
    <t>I certainly hoped that she was steering her lover away from the tiger, but can see how she would not want to see him with another woman based on the jealousy discussed above.</t>
  </si>
  <si>
    <t>Though, I do think it would have been particularly interesting to see her point him to the tiger, just for the tiger to not eat him by some stroke of luck. Perhaps the universe truly showing that the innocent go unpunished in this king's model of justice</t>
  </si>
  <si>
    <t>I definitely agree with all of you stating that the king likely would subject his daughter to the same form of judgement in the arena if her actions were discovered.</t>
  </si>
  <si>
    <t>Whether or not the princess 'saved' him away from the tiger, she interferred and the kind would not allow that.</t>
  </si>
  <si>
    <t>I apologize again that I couldn't be part of the original discussion. It was clearly productive and I'm disappointed to have missed out on the opportunity.</t>
  </si>
  <si>
    <t xml:space="preserve">Wayne </t>
  </si>
  <si>
    <t>P1: I believe the tiger is behind the door.</t>
  </si>
  <si>
    <t>P2: I believe the king would send his daughter to the arena too. Given his barbaric nature. However, he too may indicate which door the tiger waits behind.</t>
  </si>
  <si>
    <t>Stephanie</t>
  </si>
  <si>
    <t>I think the lady is behind the door. She will lose him, but she does not want to see him die.</t>
  </si>
  <si>
    <t>P2: The king may send his daughter to the arena, but he will not allow her to die, so he puts a man of his choosing behind the door for her to marry. He signals to her to choose that door.</t>
  </si>
  <si>
    <t>John</t>
  </si>
  <si>
    <t>I have no guess as to which is behind the door. Is it unclear weather or not she is even instructing him to choose the door on the right side. She could have raised her right hand to signal “DON’T go in that door, the tiger is there.”</t>
  </si>
  <si>
    <t>Part 2: The daughter is “the apple of the king’s eye”, therefore, I believe he will not disclose this knowledge to anyone. This would save her from a trial.</t>
  </si>
  <si>
    <t>Christopher</t>
  </si>
  <si>
    <t>Part 1: Honestly hard to say, though I'd like to believe she spared the one she loved. That said, If she is as barbaric as her father, she could very well have sent him to his death. If she can't have him, no one can.</t>
  </si>
  <si>
    <t>Part 2: The king most certainly spares his daughter, one way or another. She is his greatest pride. I say he puts on a show for the people to act as though the law is being upheld, but behind the doors are suiters of his choosing. He keeps his daughter safe and she has to marry someone he believes is the best choice for her.</t>
  </si>
  <si>
    <t>PG: Discussion</t>
  </si>
  <si>
    <t>SL: Discussion</t>
  </si>
  <si>
    <t>PG: Uptake</t>
  </si>
  <si>
    <t>SL: Uptake</t>
  </si>
  <si>
    <t>PG: Question</t>
  </si>
  <si>
    <t>SL: Question</t>
  </si>
  <si>
    <t>Collab Writing Link</t>
  </si>
  <si>
    <t>Jennifer</t>
  </si>
  <si>
    <t>Hi all. Jennifer here.</t>
  </si>
  <si>
    <t>Book club 1 CREW</t>
  </si>
  <si>
    <t>Alexandra</t>
  </si>
  <si>
    <t>Caitlin N.</t>
  </si>
  <si>
    <t>Hiya!</t>
  </si>
  <si>
    <t>I think we're just waiting for Ellery?</t>
  </si>
  <si>
    <t>Yeah, I think so.</t>
  </si>
  <si>
    <t>If she hasn't log in yet she may still need to read the story.</t>
  </si>
  <si>
    <t>Ellery</t>
  </si>
  <si>
    <t>Hi, sorry was trying to find the right area.</t>
  </si>
  <si>
    <t>Okay. While we're waiting what did you think of the story? I anticipated being bored but I thought it was actually pretty interesting.</t>
  </si>
  <si>
    <t>Of course, I had to keep pulling my dictionary out! :-D</t>
  </si>
  <si>
    <t>I feel like I've read it before</t>
  </si>
  <si>
    <t>It took me a bit to get invested because it seemed unnecessarily wordy.</t>
  </si>
  <si>
    <t>Yes, I have heard it told better.</t>
  </si>
  <si>
    <t>I agree that the first page was really wordy and lots of unfamiliar vocabulary</t>
  </si>
  <si>
    <t>I think this is a good story to find out your human nature.</t>
  </si>
  <si>
    <t>Should we start with part 1 by saying what each of us believes will happen next and why?</t>
  </si>
  <si>
    <t>I agree, Ellery.</t>
  </si>
  <si>
    <t>It could go either way, can the woman allow her lover to live with another or end the pain quickly with the tiger.</t>
  </si>
  <si>
    <t>So do we want to go he opened the door to the lady or the tiger?</t>
  </si>
  <si>
    <t>Sounds good</t>
  </si>
  <si>
    <t>I guess I'm a skeptic. I thought because the princess is the “fervent and imperious” daughter of a “semi-barbaric king,” she directed the young man to the tiger door. I figured her imperiousness would not allow her to accept the man she loves marrying another woman and her semi-barbarism would make it easier for her to accept his death.</t>
  </si>
  <si>
    <t>Did we want to look at both of those points.</t>
  </si>
  <si>
    <t>Jennifer, I agree with that.</t>
  </si>
  <si>
    <t>I agree with Jennifer, think from the story it would be best to end it quick with the Tiger.</t>
  </si>
  <si>
    <t>Especially when she started thinking about if she'd seen the lady flirting with the man beforehand</t>
  </si>
  <si>
    <t>And then throw the king into the ring for his just desserts.</t>
  </si>
  <si>
    <t>As much as I would wish it was the lady, I'd agree Jennifer the princess sounds like she'd rather him die than not be with her</t>
  </si>
  <si>
    <t>oooo ellery</t>
  </si>
  <si>
    <t>That's definitely a twist!</t>
  </si>
  <si>
    <t>I agree, Alexandra. You know that old saying, 'hell has no wrath like a woman scorned.'</t>
  </si>
  <si>
    <t>In any of the instructions did it mention how much we're supposed to write for the answer? Like just a couple sentences or does it need to be longer?</t>
  </si>
  <si>
    <t>It would be an ongoing pain for the lady to watch her lover with another woman.</t>
  </si>
  <si>
    <t>What is part one on the left? Is that the rest of the story?</t>
  </si>
  <si>
    <t>No direction on length. Maybe a paragraph for each part?</t>
  </si>
  <si>
    <t>Yeah, my grammar is atrocious so feel free to fix me lol</t>
  </si>
  <si>
    <t>It looks like it is a shared document so anyone can add to it</t>
  </si>
  <si>
    <t>Oh, nice edit</t>
  </si>
  <si>
    <t>Anyone want to take the lead on part 2?</t>
  </si>
  <si>
    <t>Should the part about the king go in part 2? Because initially he doesn't know that she's guiding the man, right?</t>
  </si>
  <si>
    <t>I think 1 looks pretty good!</t>
  </si>
  <si>
    <t>The king part looks like it would be after the event</t>
  </si>
  <si>
    <t>Thank you for typing that Caitlin. I am so not a good creative writer. I would've been like, 'the door he opened had the tiger and the lover died.'</t>
  </si>
  <si>
    <t>Are we planning on offing the King?</t>
  </si>
  <si>
    <t>Not a problem at all! Thanks whomever added to it and proofed me1</t>
  </si>
  <si>
    <t>I say say we kill the king.  Long live the Queen (Princess)!</t>
  </si>
  <si>
    <t>DEATH TO THE KING!</t>
  </si>
  <si>
    <t>Ellery, that's an interesting question. How do you think we could off him since he's the king?</t>
  </si>
  <si>
    <t>The story states that “nothing pleased him so much as to make the crooked straight and crush down uneven places.” I take that to mean justice is of high value to him. However, it is also stated that his daughter was “the apple of his eye, and was loved by him above all humanity.” I guess when it comes down to it, I think the king would put his daughter in the ring and let impartial justice be served.</t>
  </si>
  <si>
    <t>I'm good with that. Could it be that the King decides to try and put the princess in the ring but she's more loved by the people and can get the crowds to turn on the King?</t>
  </si>
  <si>
    <t>I got carried away sorry!</t>
  </si>
  <si>
    <t>I don't like how you have to scroll to see chats</t>
  </si>
  <si>
    <t>Yeah, this system isn't the easiest to use. It's also not convenient that you can't look at the original story and have the chat open at the same time.</t>
  </si>
  <si>
    <t>yeah this could have been coded better.</t>
  </si>
  <si>
    <t>Caitlin, I like how you ended the story!</t>
  </si>
  <si>
    <t>Yeah that was sweet, ended at just the right time to leave the rest to the imagination.</t>
  </si>
  <si>
    <t>I agree with those assessments of the chat functions. It'd be helpful to be able to see the story while discussing it. I'm good with your ending, Caitlin!</t>
  </si>
  <si>
    <t>I think it fits both their personalities: the kings desire for justice and the daughter's imperiousness and barbarism.</t>
  </si>
  <si>
    <t>Agreed</t>
  </si>
  <si>
    <t>yay! Thank you!</t>
  </si>
  <si>
    <t>My love of dystopian sci-fi has paid off!</t>
  </si>
  <si>
    <t>Disciplinary</t>
  </si>
  <si>
    <t>LOL!</t>
  </si>
  <si>
    <t>No, thank you Caitlin for taking the lead on this.</t>
  </si>
  <si>
    <t>I second that. Thanks, Caitlin!</t>
  </si>
  <si>
    <t>Yeah, thank you! It's definitely way more creative than I could've done. I just made a few edits here and there on it.</t>
  </si>
  <si>
    <t>Not a problem at all!</t>
  </si>
  <si>
    <t>Anything else we need to discuss before we submit it?</t>
  </si>
  <si>
    <t>I think I'm good</t>
  </si>
  <si>
    <t>I don't have anything else to discuss with it.</t>
  </si>
  <si>
    <t>I think we covered everything.</t>
  </si>
  <si>
    <t>Did we submit it? Is that why it's blank now?</t>
  </si>
  <si>
    <t>Did all of the text just disappear from the left?</t>
  </si>
  <si>
    <t>its back again</t>
  </si>
  <si>
    <t>thank goodness it's back!!</t>
  </si>
  <si>
    <t>Oops. That may have been me. I copied and pasted it into a word document so I had it for my records. I just pasted it back. Sorry...didn't mean to freak anyone out.</t>
  </si>
  <si>
    <t>It says to add the title submitted and thats it</t>
  </si>
  <si>
    <t>Jennifer, I almost died lol</t>
  </si>
  <si>
    <t>Great. It was so nice to work with a group where everyone participates. Thank you so much for being such a fantastic group to work with!!</t>
  </si>
  <si>
    <t>Have a wonderful Saturday everyone!</t>
  </si>
  <si>
    <t>Yes, this was such an easy thing to get done! Thanks everyone.</t>
  </si>
  <si>
    <t>You too.</t>
  </si>
  <si>
    <t>Y'all too! Bye!</t>
  </si>
  <si>
    <t>bye</t>
  </si>
  <si>
    <t>Bye!</t>
  </si>
  <si>
    <t>Class</t>
  </si>
  <si>
    <t>Book club</t>
  </si>
  <si>
    <t>Colllaborative writing</t>
  </si>
  <si>
    <t>SUBMITTED 
Part 1: The princess's eyes darted to the left as a smirk appeared upon her lips. He trusted her with his life in this moment and knew in his heart his love was true. She could not let him fall into the jaws of the tiger. The princess held her breath as her lover triumphantly opened the door and a hush came over the crowd. There was a brief moment as the lover opened the door of calm and anxiety in the colliseum, until the moment the tiger pounced upon the man. The tiger burst forth, snarling and clawing at the man who stood frozen in shock. The princess leapt from her seat to view the carnage as the king sat in shock that she had allowed the tiger to attack her love rather than be with another. 
Part 2: The princess began to laugh hysterically as the king stared at her open-mouthed in horror. His daughter was a brute and sentenced her lover to death. The king realized the princess knew which door contained the tiger and had sentenced him to death. The king finally stood before the princess and began to berate her for breaking the law. The coliseum was supposed to be the ultimate judge, jury, and possibly executioner in all matters and the princess had defied the law of the kingdom. The princess stood up and looked as though she was about to burst into tears to convince her father that she did it to save her poor soul, but the king was not backing down. The princess realized what she must to do save herself. The princess began to embrace the king but at the last moment surreptitiously shoved the king over the railing onto the field with the tiger, who was done gnawing on the lover. Before the king could gain his traction, he too was pounced upon by the tiger. The crowd looked in horror as the princess began to laugh again, demanding the tiger's keepers get her the crown from the tiger's jaws to adorn her head.</t>
  </si>
  <si>
    <t>Shannon W.</t>
  </si>
  <si>
    <t>Part 1: Unfortunately, I think the tiger was behind the door to the right. The author built up her character to be someone who is power hungry. The author also added that the princess despised the woman who is behind the door to the left and that she was jealous of the minimal friendship her lover and the woman had.</t>
  </si>
  <si>
    <t>Part 2: Even though the King loves his daughter very much, I think he will still have her stand trial similarly to everyone else. He may feel betrayed that she went behind his back. He also didn't take her feelings into account when he put her lover on trial, so why would he now?</t>
  </si>
  <si>
    <t>Madison</t>
  </si>
  <si>
    <t>Part 1: I also believe the tiger is behind the door. Based on what we have read of the princess and her character, I think she would rather see her lover die that see him with the woman she despises so much.</t>
  </si>
  <si>
    <t>Part 2: I think that the King will be forced to have his daughter stand trial just as he would anyone else. Making an exception for his own daughter would not only make him look bad to his people, it would also open the King up to potential pushback with future trials.</t>
  </si>
  <si>
    <t>Kelley</t>
  </si>
  <si>
    <t>Part 1: I tend to agree with Shannon on this part. I also believe the man met the fate of the tiger. It could be said of the Princess that 'Hell hath no fury like a woman scorned.' She'd rather see her lover slaughtered than see him happily freed and married to a woman whom she was jealous of.</t>
  </si>
  <si>
    <t>Part 2: I don't feel I have enough information to answer this question. Was anyone besides the King aware of the infraction? I think how the King would respond depends on the nature of the crime and whether or not anyone else was aware of it. It was stated the the King loved his daughter above all of humanity. Although the King was barbaric, ruthless, and power-hungry, he may have spared his daughter. It is plausible that she could have faced the public arena along with her low-ranking lover, as she was as guilty of forbidden love as him. But that did not happen.</t>
  </si>
  <si>
    <t>Adam</t>
  </si>
  <si>
    <t>Part 1: The simple answer is, who knows?  It could be either the lady or the tiger.  The question posed tries to elicit a response that can only come from the reader’s own ethical/moral compass.  There is simply not enough information for one to make an informed choice, without imparting one’s own bias on the scenario.  The questions I would ask?  What does a barbarian world view actually entail?  What was the emotional/mental state of the princess on the day in question?</t>
  </si>
  <si>
    <t>Part 2: Again, who knows?  If we were to follow down a traditional barbarian world view, the king would probably throw his daughter into the arena.  But again, we reach a philosophical dilemma.  What is the actual barbarian world view?  When “shit” hits your family, does it change (or alter) your world view?  These are dispositions that are solely in the mind of the actor, and can only be witnessed once acted upon.</t>
  </si>
  <si>
    <t>Hello all! The instructions seem to contradict each other. In the email we received it says 'please DO NOT work on this at the same time. Much like a regular online discussion, you are asked to respond individually to the discussion prompt.' While the prompt inside the program says 'to collaboratively write a response to the prompt. Teammates can coordinate to write &amp; edit here at the same time.' ???</t>
  </si>
  <si>
    <t>If any of us  were on at the same time, we would be able to prepare a collaborative response in the window to the left.  However, I do not think it is mandatory.</t>
  </si>
  <si>
    <t>I thought it meant, we should respond individually, then come together to create a collaborative response, which we will submit to the left?</t>
  </si>
  <si>
    <t>I can look through our responses, create a response here on the right, then you all can approve it or edit what you think we should submit.. thoughts?</t>
  </si>
  <si>
    <t>Ok, now I see what we are getting at.. I thought we had to save it on the left. I see now that it stays there for people to add and edit</t>
  </si>
  <si>
    <t>Caitlin B.</t>
  </si>
  <si>
    <t>Part 1: I assumed that the tiger would be behind the door. The princess is framed as someone who is as barbaric as her father, and she loses her love either way. She may be of the opinion that if she can't have him, then it's better for him to die and not to see him happy with another.</t>
  </si>
  <si>
    <t>This is a very confusing interface....</t>
  </si>
  <si>
    <t>Part 2: I assume the king would make her stand trial. I agree with everyone else that he didn't care about her feelings before. Unless there was a twist ending where she puts her father on trial, but I think I'm writing a different story now!</t>
  </si>
  <si>
    <t>This interface is super confusing and the contradictory instructions don't help...</t>
  </si>
  <si>
    <t>Hey! The section here to the right is for us to communicate and collaborate, while the space to the left is for our collective response correct?</t>
  </si>
  <si>
    <t>We need a collaborative response by the end of this week either way.</t>
  </si>
  <si>
    <t>Hello all! I had email the project coordinator earlier. This is what he said about the 'collaborative' part of the assignment:</t>
  </si>
  <si>
    <t>Hello all! I had emailed the project coordinator previously. This is what he said about the *collaborative* aspect of the project:The idea of your part of the study is to participate on your own as you mentioned. However, you can still respond to other people in the program once they write something. That is where the 'collaborative write a response' comes in. 
So for your first post and all subsequent posts, please work on it on your own time without your group members. However, also be sure to respond to their comments if/when they leave them.</t>
  </si>
  <si>
    <t>Hello all! I emailed the project coordinator for clarification. This is what he said about the *collaborative* aspect of the project:
“The idea of your part of the study is to participate on your own as you mentioned. However, you can still respond to other people in the program once they write something. That is where the ‘collaborative write a response’ comes in.” 
“So for your first post and all subsequent posts, please work on it on your own time without your group members. However, also be sure to respond to their comments if/when they leave them.”</t>
  </si>
  <si>
    <t>I added a response to Part 2 over to the left. Feel free to edit or add as y'all want.</t>
  </si>
  <si>
    <t>S22 Chat Sync Data LIS 6303</t>
  </si>
  <si>
    <t>This was a long discussion, 99 postings, with nine dialogic spells, and there for eight pivots pivots. Does the number of pivots, by definition have to be one less than the number of dialogic spells? Two students started with social greetings, and then discussed some UX and procedural points. Then a third discussant showed up. The third discussant could not get past the conversation with character game, so the other two coached her through it. They discussed questions at length in some depth. At one point, they seemed to change their position. They discussed both questions to their satisfaction and then left. After they left, a fourth person showed up late and posted her position on the questions alone.</t>
  </si>
  <si>
    <t>S22 Chat Async Data  LIS 6303</t>
  </si>
  <si>
    <t>This is hardly a discussion. There are four participants involved. Each of the four discussants weighs  in on their own position on discussion questions one and two (seminar), two postings per question. There is no uptake and no dialogic spell. There are eight total postings. It seems they want to get the extra credit, no more, no less.</t>
  </si>
  <si>
    <t>S22 CREW Sync Data LIS 6303</t>
  </si>
  <si>
    <t>The is a lengthy discussion with four participants, 83 postings, lots of uptake, a number pivots and six dialogic spells. These discussants really seemed to enjoy each other and this activity. Their collaborative writing answers the two questions completely, but is not expansive</t>
  </si>
  <si>
    <t>S22 CREW Async Data LIS 6303</t>
  </si>
  <si>
    <t>Five people participated. They each posted their position on discussion questions one and two (similar to asynch chat in this class), although in some cases there was uptake in terms of agreeing with others' position. They then pivoted discussing the user interface and the directions of the assignment. I believed they confused the instruction to discuss asynchronously with the idea that they should post their position independently of each other. They were also unclear on what to do with the collaborative writing, since they thought they were supposed to work independently. One of they posted responses to questions one and two in the collaborative writing area and then got OK from the other members of the book club. There were 23 postings. There were two dialogic spells. The first was about assignment directions/procedure and the second was about the UX.</t>
  </si>
  <si>
    <t>Course N Bookclub</t>
  </si>
  <si>
    <t>Summary</t>
  </si>
  <si>
    <t>Chat0CREW1</t>
  </si>
  <si>
    <t>NumParticipants</t>
  </si>
  <si>
    <t>LenDisc</t>
  </si>
  <si>
    <t>Synch1Asynch0pt5toZero</t>
  </si>
  <si>
    <t>Synch1Asynch0pt5toOne</t>
  </si>
  <si>
    <t>Synch1Asynch0MixPt5</t>
  </si>
  <si>
    <t>MaxLenDialogicSpell</t>
  </si>
  <si>
    <t>TotalLenDialogicSpell</t>
  </si>
  <si>
    <t>UpTakeNum</t>
  </si>
  <si>
    <t>FractionUptake</t>
  </si>
  <si>
    <t>Comment</t>
  </si>
  <si>
    <t>MostFreqUptakeType</t>
  </si>
  <si>
    <t>NumPivots</t>
  </si>
  <si>
    <t>MostFreqDiscType</t>
  </si>
  <si>
    <t xml:space="preserve">There is some uptake and two dialogic spells (limited to the first 10 postings). However, much of this discussion is people popping in an delivering their take on each question. It is 38 postings. </t>
  </si>
  <si>
    <t xml:space="preserve"> F20 CREW PIM P1 Book Club One</t>
  </si>
  <si>
    <t>F20 CREW PIM P1 Book Club Two</t>
  </si>
  <si>
    <t>F20 CREW PIM P1 Book Club Four</t>
  </si>
  <si>
    <t>There were only two participants. Technically, a discussion involves at least three people. However, this diadic discussion demonstrates that a two person discussion can be full and varied. They did do a meaningful discussion, with much seminar, uptake, coming up with some original hypotheses about the story. They also pivoted to deliberation. It was asynchronous, although with postings that were close enough in time, that it was almost synchronous. They had three dialogic spells. They wondered who else might be in there book club, and looked for a participants button and didn't find one (maybe this was what gave the designers the idea to add a participants button). They did find out that there was a third participant, and his name, and emailed him, but he never did show up.</t>
  </si>
  <si>
    <t>Is the FractionUptake inconsistent with the summary? The uptake on the sheet needs to be recoded.</t>
  </si>
  <si>
    <t>F20 CREW PIM P1 Book Club Five</t>
  </si>
  <si>
    <t xml:space="preserve"> F20 CREW PIM P1 Book Club Five</t>
  </si>
  <si>
    <t>SP21 CREW Outreach P1 Book Club 1</t>
  </si>
  <si>
    <t>SP21 CREW Outreach P1 Book Club 2</t>
  </si>
  <si>
    <t>SP21 CREW Outreach P1 Book Club 3</t>
  </si>
  <si>
    <t>SP21 CREW PIM P1 Book Club 1</t>
  </si>
  <si>
    <t>SP21 CREW PIM P1 Book Club 2</t>
  </si>
  <si>
    <t>SP21 CREW PIM P1 Book Club 3</t>
  </si>
  <si>
    <t>SP21 CREW PIM P1 Book Club 4</t>
  </si>
  <si>
    <t>SP21 Chat Outreach P1 Book Club 1</t>
  </si>
  <si>
    <t>SP21 Chat PIM P1 Book Club 1</t>
  </si>
  <si>
    <t>SP 21 Chat PIM P1 Book Club 1</t>
  </si>
  <si>
    <t>S22 Chat Sync Data LIS 6303 Bookclub one</t>
  </si>
  <si>
    <t>S22 Chat Async Data  LIS 6303 Bookclub one</t>
  </si>
  <si>
    <t>The is a lengthy, quality discussion with four participants, 83 postings, lots of uptake, a number pivots and six dialogic spells. These discussants really seemed to enjoy each other and this activity. Their collaborative writing answers the two questions completely, but is not expansive.</t>
  </si>
  <si>
    <t>S22 CREW Sync Data LIS 6303 Bookclub one</t>
  </si>
  <si>
    <t>S22 CREW Async Data LIS 6303 Bookclub one</t>
  </si>
  <si>
    <t>Disccussion</t>
  </si>
  <si>
    <t>DiscussionType</t>
  </si>
  <si>
    <t>UptakeType</t>
  </si>
  <si>
    <t>UniqueCodesDiscussionType</t>
  </si>
  <si>
    <t>UniqueCodesUptakeType</t>
  </si>
  <si>
    <t>CountUptakeType</t>
  </si>
  <si>
    <t>CountDiscussionType</t>
  </si>
  <si>
    <t>Values-&gt;</t>
  </si>
  <si>
    <t>Unique Codes Discussion Type</t>
  </si>
  <si>
    <t>Unique Codes Uptake Type</t>
  </si>
  <si>
    <t>Count Uptake Type</t>
  </si>
  <si>
    <t>Count Discussion Type</t>
  </si>
  <si>
    <t>scoreCollab</t>
  </si>
  <si>
    <t>ScoreGS</t>
  </si>
  <si>
    <t xml:space="preserve">I assumed that the tiger would be behind the door. The princess is framed as someone who is as barbaric as her father, and she loses her love either way. She may be of the opinion that if she can't have him, then it's better for him to die and not to see him happy with another. I think that the King will be forced to have his daughter stand trial just as he would anyone else. Making an exception for his own daughter would not only make him look bad to his people, it would also open the King up to potential pushback with future trials. However, sometimes hard decisions like that can alter one's perspective and decision making. </t>
  </si>
  <si>
    <t>NA</t>
  </si>
  <si>
    <t>?</t>
  </si>
  <si>
    <t>? S22 Chat Synch Data</t>
  </si>
  <si>
    <t>? S22 Chat Asynch Data</t>
  </si>
  <si>
    <t>BinaryR1DialogicSpell</t>
  </si>
  <si>
    <t>BinaryR2DialogicSpell</t>
  </si>
  <si>
    <t>BinaryR1Uptake</t>
  </si>
  <si>
    <t>BinaryR2Uptake</t>
  </si>
  <si>
    <t>R2DialogicSpell</t>
  </si>
  <si>
    <t>R2Uptake</t>
  </si>
  <si>
    <t>R2DiscussionType</t>
  </si>
  <si>
    <t>Interpretation</t>
  </si>
  <si>
    <t>R2DiscussionTypeInterpNothers</t>
  </si>
  <si>
    <t>Social/Procedure/UX</t>
  </si>
  <si>
    <t>Social/Procedure/UX to Seminar</t>
  </si>
  <si>
    <t>Seminar to Social/Procedure/UX</t>
  </si>
  <si>
    <t>Deliberation to Social/Procedure/UX</t>
  </si>
  <si>
    <t>Social/Procedure/UX to Social/Procedure/UX</t>
  </si>
  <si>
    <t>Social/Procedure/UX to Deliberation</t>
  </si>
  <si>
    <t>Social/Procedure/UX, Seminar</t>
  </si>
  <si>
    <t>Social/Procedure/UX to Imaginative</t>
  </si>
  <si>
    <t>Deliberation, Social/Procedure/UX</t>
  </si>
  <si>
    <t>Imaginative to Deliberation/Social/Procedure/UX</t>
  </si>
  <si>
    <t>Imaginative to Social/Procedure/UX</t>
  </si>
  <si>
    <t>Social/Procedure/UX to Deliberation to Social/Procedure/UX</t>
  </si>
  <si>
    <t xml:space="preserve">Social/Procedure/UX to Social/Procedure/UX </t>
  </si>
  <si>
    <t>Social/Procedure/UX to seminar</t>
  </si>
  <si>
    <t>Seminar to Social/Procedure/UX to Seminar</t>
  </si>
  <si>
    <t>Seminar, Social/Procedure/UX</t>
  </si>
  <si>
    <t>CollapsR2DiscussionTypeInterpNothers</t>
  </si>
  <si>
    <t>Other</t>
  </si>
  <si>
    <t>Social/Procedural/UX</t>
  </si>
  <si>
    <t>Chat0CREW1B</t>
  </si>
  <si>
    <t>Cassandra Winfred</t>
  </si>
  <si>
    <t xml:space="preserve">Cassandra Winfred </t>
  </si>
  <si>
    <t>Paige Tyrone</t>
  </si>
  <si>
    <t>Marissa Roswell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</si>
</sst>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0"/>
      <color rgb="FF000000"/>
      <name val="Arial"/>
    </font>
    <font>
      <sz val="12"/>
      <color theme="1"/>
      <name val="Arial"/>
      <family val="2"/>
      <scheme val="minor"/>
    </font>
    <font>
      <sz val="12"/>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color theme="1"/>
      <name val="Arial"/>
      <family val="2"/>
    </font>
    <font>
      <sz val="11"/>
      <color rgb="FF000000"/>
      <name val="Calibri"/>
      <family val="2"/>
    </font>
    <font>
      <u/>
      <sz val="10"/>
      <color theme="10"/>
      <name val="Arial"/>
      <family val="2"/>
    </font>
    <font>
      <sz val="8"/>
      <name val="Arial"/>
      <family val="2"/>
    </font>
    <font>
      <sz val="11"/>
      <color rgb="FF000000"/>
      <name val="Arial"/>
      <family val="2"/>
      <scheme val="minor"/>
    </font>
    <font>
      <sz val="12"/>
      <color rgb="FF000000"/>
      <name val="Arial"/>
      <family val="2"/>
      <scheme val="minor"/>
    </font>
    <font>
      <u/>
      <sz val="11"/>
      <color theme="10"/>
      <name val="Arial"/>
      <family val="2"/>
      <scheme val="minor"/>
    </font>
    <font>
      <sz val="12"/>
      <color rgb="FF000000"/>
      <name val="Calibri"/>
      <family val="2"/>
    </font>
    <font>
      <sz val="10"/>
      <color rgb="FF000000"/>
      <name val="Tahoma"/>
      <family val="2"/>
    </font>
    <font>
      <sz val="11"/>
      <name val="Arial"/>
      <family val="2"/>
      <scheme val="minor"/>
    </font>
    <font>
      <b/>
      <sz val="11"/>
      <color rgb="FFFF0000"/>
      <name val="Arial"/>
      <family val="2"/>
      <scheme val="minor"/>
    </font>
    <font>
      <sz val="12"/>
      <color theme="1"/>
      <name val="Calibri"/>
      <family val="2"/>
      <charset val="1"/>
    </font>
    <font>
      <sz val="12"/>
      <color theme="1"/>
      <name val="Apple Color Emoji"/>
    </font>
    <font>
      <sz val="12"/>
      <color theme="1"/>
      <name val="Calibri"/>
      <family val="2"/>
    </font>
    <font>
      <sz val="12"/>
      <color rgb="FF000000"/>
      <name val="Calibri"/>
      <family val="2"/>
      <charset val="1"/>
    </font>
    <font>
      <sz val="10"/>
      <color theme="1"/>
      <name val="Arial"/>
      <family val="2"/>
    </font>
    <font>
      <sz val="11"/>
      <color rgb="FF000000"/>
      <name val="Arial"/>
      <family val="2"/>
    </font>
    <font>
      <sz val="10"/>
      <color rgb="FF000000"/>
      <name val="Arial"/>
      <family val="2"/>
      <scheme val="minor"/>
    </font>
    <font>
      <sz val="10"/>
      <color rgb="FF000000"/>
      <name val="Arial"/>
      <family val="2"/>
    </font>
    <font>
      <sz val="14"/>
      <color rgb="FF000000"/>
      <name val="Arial"/>
      <family val="2"/>
    </font>
    <font>
      <u/>
      <sz val="14"/>
      <color theme="10"/>
      <name val="Arial"/>
      <family val="2"/>
    </font>
    <font>
      <u/>
      <sz val="10"/>
      <color theme="10"/>
      <name val="Arial"/>
      <family val="2"/>
    </font>
    <font>
      <b/>
      <sz val="11"/>
      <color theme="1"/>
      <name val="Arial"/>
      <family val="2"/>
      <scheme val="minor"/>
    </font>
    <font>
      <sz val="12"/>
      <color rgb="FF9C5700"/>
      <name val="Arial"/>
      <family val="2"/>
      <scheme val="minor"/>
    </font>
    <font>
      <sz val="12"/>
      <color theme="1"/>
      <name val="Arial"/>
      <family val="2"/>
      <scheme val="minor"/>
    </font>
    <font>
      <b/>
      <sz val="12"/>
      <color theme="1"/>
      <name val="Arial"/>
      <family val="2"/>
      <scheme val="minor"/>
    </font>
    <font>
      <u/>
      <sz val="12"/>
      <color theme="10"/>
      <name val="Arial"/>
      <family val="2"/>
      <scheme val="minor"/>
    </font>
    <font>
      <b/>
      <sz val="12"/>
      <color rgb="FF000000"/>
      <name val="Arial"/>
      <family val="2"/>
      <scheme val="minor"/>
    </font>
    <font>
      <b/>
      <sz val="11"/>
      <color rgb="FF000000"/>
      <name val="Calibri"/>
      <family val="2"/>
    </font>
    <font>
      <b/>
      <sz val="11"/>
      <color rgb="FF000000"/>
      <name val="Calibri"/>
      <family val="2"/>
    </font>
    <font>
      <b/>
      <sz val="11"/>
      <color rgb="FF444444"/>
      <name val="Calibri"/>
      <family val="2"/>
      <charset val="1"/>
    </font>
    <font>
      <sz val="11"/>
      <color rgb="FF444444"/>
      <name val="Calibri"/>
      <family val="2"/>
      <charset val="1"/>
    </font>
    <font>
      <b/>
      <sz val="11"/>
      <color rgb="FF000000"/>
      <name val="Arial"/>
      <family val="2"/>
    </font>
    <font>
      <b/>
      <sz val="10"/>
      <color rgb="FF000000"/>
      <name val="Arial"/>
      <family val="2"/>
    </font>
    <font>
      <b/>
      <sz val="11"/>
      <color rgb="FF000000"/>
      <name val="Arial"/>
      <family val="2"/>
      <scheme val="minor"/>
    </font>
    <font>
      <sz val="12"/>
      <color rgb="FF000000"/>
      <name val="Arial"/>
      <family val="2"/>
    </font>
    <font>
      <b/>
      <sz val="11"/>
      <color theme="7" tint="-0.249977111117893"/>
      <name val="Arial"/>
      <family val="2"/>
      <scheme val="minor"/>
    </font>
  </fonts>
  <fills count="19">
    <fill>
      <patternFill patternType="none"/>
    </fill>
    <fill>
      <patternFill patternType="gray125"/>
    </fill>
    <fill>
      <patternFill patternType="solid">
        <fgColor rgb="FFFFF2CC"/>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E2EFDA"/>
        <bgColor indexed="64"/>
      </patternFill>
    </fill>
    <fill>
      <patternFill patternType="solid">
        <fgColor theme="7" tint="0.79998168889431442"/>
        <bgColor rgb="FF000000"/>
      </patternFill>
    </fill>
    <fill>
      <patternFill patternType="solid">
        <fgColor rgb="FFFFFF00"/>
        <bgColor indexed="64"/>
      </patternFill>
    </fill>
    <fill>
      <patternFill patternType="solid">
        <fgColor rgb="FFDDEBF7"/>
        <bgColor indexed="64"/>
      </patternFill>
    </fill>
    <fill>
      <patternFill patternType="solid">
        <fgColor theme="6"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4"/>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92D050"/>
        <bgColor indexed="64"/>
      </patternFill>
    </fill>
    <fill>
      <patternFill patternType="solid">
        <fgColor rgb="FFD9E1F2"/>
        <bgColor indexed="64"/>
      </patternFill>
    </fill>
    <fill>
      <patternFill patternType="solid">
        <fgColor rgb="FFFFFFFF"/>
        <bgColor indexed="64"/>
      </patternFill>
    </fill>
    <fill>
      <patternFill patternType="solid">
        <fgColor theme="4" tint="0.79998168889431442"/>
        <bgColor indexed="64"/>
      </patternFill>
    </fill>
  </fills>
  <borders count="15">
    <border>
      <left/>
      <right/>
      <top/>
      <bottom/>
      <diagonal/>
    </border>
    <border>
      <left/>
      <right/>
      <top/>
      <bottom style="double">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rgb="FF000000"/>
      </left>
      <right style="thin">
        <color rgb="FF000000"/>
      </right>
      <top/>
      <bottom style="thin">
        <color rgb="FF000000"/>
      </bottom>
      <diagonal/>
    </border>
    <border>
      <left style="medium">
        <color indexed="64"/>
      </left>
      <right style="medium">
        <color indexed="64"/>
      </right>
      <top/>
      <bottom style="thin">
        <color indexed="64"/>
      </bottom>
      <diagonal/>
    </border>
    <border>
      <left style="thin">
        <color rgb="FF000000"/>
      </left>
      <right style="thin">
        <color rgb="FF000000"/>
      </right>
      <top style="thin">
        <color rgb="FF000000"/>
      </top>
      <bottom/>
      <diagonal/>
    </border>
    <border>
      <left style="medium">
        <color indexed="64"/>
      </left>
      <right style="medium">
        <color indexed="64"/>
      </right>
      <top style="thin">
        <color indexed="64"/>
      </top>
      <bottom/>
      <diagonal/>
    </border>
  </borders>
  <cellStyleXfs count="8">
    <xf numFmtId="0" fontId="0" fillId="0" borderId="0"/>
    <xf numFmtId="0" fontId="8" fillId="0" borderId="0" applyNumberFormat="0" applyFill="0" applyBorder="0" applyAlignment="0" applyProtection="0"/>
    <xf numFmtId="0" fontId="5" fillId="0" borderId="0"/>
    <xf numFmtId="0" fontId="12" fillId="0" borderId="0" applyNumberFormat="0" applyFill="0" applyBorder="0" applyAlignment="0" applyProtection="0"/>
    <xf numFmtId="0" fontId="4" fillId="0" borderId="0"/>
    <xf numFmtId="0" fontId="24" fillId="0" borderId="0"/>
    <xf numFmtId="0" fontId="30" fillId="0" borderId="0"/>
    <xf numFmtId="0" fontId="32" fillId="0" borderId="0" applyNumberFormat="0" applyFill="0" applyBorder="0" applyAlignment="0" applyProtection="0"/>
  </cellStyleXfs>
  <cellXfs count="349">
    <xf numFmtId="0" fontId="0" fillId="0" borderId="0" xfId="0"/>
    <xf numFmtId="0" fontId="6" fillId="0" borderId="0" xfId="0" applyFont="1" applyAlignment="1">
      <alignment horizontal="left"/>
    </xf>
    <xf numFmtId="0" fontId="0" fillId="0" borderId="0" xfId="0" applyAlignment="1">
      <alignment horizontal="left"/>
    </xf>
    <xf numFmtId="0" fontId="0" fillId="0" borderId="0" xfId="0" applyAlignment="1">
      <alignment horizontal="left" wrapText="1"/>
    </xf>
    <xf numFmtId="0" fontId="5" fillId="0" borderId="2" xfId="2" applyBorder="1"/>
    <xf numFmtId="0" fontId="5" fillId="0" borderId="2" xfId="2" applyBorder="1" applyAlignment="1">
      <alignment wrapText="1"/>
    </xf>
    <xf numFmtId="0" fontId="5" fillId="0" borderId="3" xfId="2" applyBorder="1"/>
    <xf numFmtId="0" fontId="10" fillId="3" borderId="4" xfId="2" applyFont="1" applyFill="1" applyBorder="1"/>
    <xf numFmtId="0" fontId="5" fillId="3" borderId="5" xfId="2" applyFill="1" applyBorder="1"/>
    <xf numFmtId="0" fontId="11" fillId="4" borderId="4" xfId="2" applyFont="1" applyFill="1" applyBorder="1"/>
    <xf numFmtId="0" fontId="5" fillId="4" borderId="5" xfId="2" applyFill="1" applyBorder="1"/>
    <xf numFmtId="0" fontId="11" fillId="3" borderId="4" xfId="2" applyFont="1" applyFill="1" applyBorder="1"/>
    <xf numFmtId="0" fontId="11" fillId="5" borderId="4" xfId="2" applyFont="1" applyFill="1" applyBorder="1" applyAlignment="1">
      <alignment wrapText="1"/>
    </xf>
    <xf numFmtId="0" fontId="5" fillId="3" borderId="5" xfId="2" applyFill="1" applyBorder="1" applyAlignment="1">
      <alignment wrapText="1"/>
    </xf>
    <xf numFmtId="0" fontId="5" fillId="0" borderId="4" xfId="2" applyBorder="1"/>
    <xf numFmtId="0" fontId="5" fillId="0" borderId="0" xfId="2"/>
    <xf numFmtId="0" fontId="5" fillId="0" borderId="0" xfId="2" applyAlignment="1">
      <alignment wrapText="1"/>
    </xf>
    <xf numFmtId="22" fontId="5" fillId="0" borderId="0" xfId="2" applyNumberFormat="1"/>
    <xf numFmtId="0" fontId="7" fillId="5" borderId="4" xfId="2" applyFont="1" applyFill="1" applyBorder="1" applyAlignment="1">
      <alignment wrapText="1"/>
    </xf>
    <xf numFmtId="0" fontId="13" fillId="4" borderId="4" xfId="2" applyFont="1" applyFill="1" applyBorder="1" applyAlignment="1">
      <alignment wrapText="1"/>
    </xf>
    <xf numFmtId="0" fontId="7" fillId="3" borderId="4" xfId="2" applyFont="1" applyFill="1" applyBorder="1" applyAlignment="1">
      <alignment wrapText="1"/>
    </xf>
    <xf numFmtId="0" fontId="7" fillId="2" borderId="4" xfId="2" applyFont="1" applyFill="1" applyBorder="1" applyAlignment="1">
      <alignment wrapText="1"/>
    </xf>
    <xf numFmtId="0" fontId="7" fillId="0" borderId="4" xfId="2" applyFont="1" applyBorder="1" applyAlignment="1">
      <alignment wrapText="1"/>
    </xf>
    <xf numFmtId="0" fontId="7" fillId="4" borderId="4" xfId="2" applyFont="1" applyFill="1" applyBorder="1" applyAlignment="1">
      <alignment wrapText="1"/>
    </xf>
    <xf numFmtId="0" fontId="14" fillId="0" borderId="4" xfId="2" applyFont="1" applyBorder="1" applyAlignment="1">
      <alignment wrapText="1" readingOrder="1"/>
    </xf>
    <xf numFmtId="0" fontId="11" fillId="6" borderId="4" xfId="2" applyFont="1" applyFill="1" applyBorder="1"/>
    <xf numFmtId="0" fontId="10" fillId="4" borderId="4" xfId="2" applyFont="1" applyFill="1" applyBorder="1"/>
    <xf numFmtId="0" fontId="10" fillId="5" borderId="4" xfId="2" applyFont="1" applyFill="1" applyBorder="1" applyAlignment="1">
      <alignment wrapText="1"/>
    </xf>
    <xf numFmtId="0" fontId="10" fillId="3" borderId="6" xfId="2" applyFont="1" applyFill="1" applyBorder="1"/>
    <xf numFmtId="0" fontId="11" fillId="6" borderId="6" xfId="2" applyFont="1" applyFill="1" applyBorder="1"/>
    <xf numFmtId="0" fontId="10" fillId="4" borderId="6" xfId="2" applyFont="1" applyFill="1" applyBorder="1"/>
    <xf numFmtId="0" fontId="10" fillId="5" borderId="6" xfId="2" applyFont="1" applyFill="1" applyBorder="1" applyAlignment="1">
      <alignment wrapText="1"/>
    </xf>
    <xf numFmtId="0" fontId="10" fillId="3" borderId="5" xfId="2" applyFont="1" applyFill="1" applyBorder="1"/>
    <xf numFmtId="0" fontId="11" fillId="6" borderId="5" xfId="2" applyFont="1" applyFill="1" applyBorder="1"/>
    <xf numFmtId="0" fontId="10" fillId="4" borderId="5" xfId="2" applyFont="1" applyFill="1" applyBorder="1"/>
    <xf numFmtId="0" fontId="10" fillId="5" borderId="5" xfId="2" applyFont="1" applyFill="1" applyBorder="1" applyAlignment="1">
      <alignment wrapText="1"/>
    </xf>
    <xf numFmtId="0" fontId="10" fillId="3" borderId="7" xfId="2" applyFont="1" applyFill="1" applyBorder="1"/>
    <xf numFmtId="0" fontId="5" fillId="3" borderId="7" xfId="2" applyFill="1" applyBorder="1"/>
    <xf numFmtId="0" fontId="10" fillId="4" borderId="7" xfId="2" applyFont="1" applyFill="1" applyBorder="1"/>
    <xf numFmtId="0" fontId="5" fillId="4" borderId="7" xfId="2" applyFill="1" applyBorder="1"/>
    <xf numFmtId="0" fontId="10" fillId="5" borderId="7" xfId="2" applyFont="1" applyFill="1" applyBorder="1" applyAlignment="1">
      <alignment wrapText="1"/>
    </xf>
    <xf numFmtId="0" fontId="5" fillId="3" borderId="7" xfId="2" applyFill="1" applyBorder="1" applyAlignment="1">
      <alignment wrapText="1"/>
    </xf>
    <xf numFmtId="0" fontId="5" fillId="3" borderId="4" xfId="2" applyFill="1" applyBorder="1"/>
    <xf numFmtId="0" fontId="13" fillId="2" borderId="4" xfId="2" applyFont="1" applyFill="1" applyBorder="1" applyAlignment="1">
      <alignment wrapText="1"/>
    </xf>
    <xf numFmtId="0" fontId="5" fillId="4" borderId="4" xfId="2" applyFill="1" applyBorder="1"/>
    <xf numFmtId="0" fontId="5" fillId="3" borderId="4" xfId="2" applyFill="1" applyBorder="1" applyAlignment="1">
      <alignment wrapText="1"/>
    </xf>
    <xf numFmtId="0" fontId="11" fillId="3" borderId="6" xfId="2" applyFont="1" applyFill="1" applyBorder="1" applyAlignment="1">
      <alignment wrapText="1"/>
    </xf>
    <xf numFmtId="0" fontId="5" fillId="3" borderId="6" xfId="2" applyFill="1" applyBorder="1"/>
    <xf numFmtId="0" fontId="5" fillId="4" borderId="6" xfId="2" applyFill="1" applyBorder="1"/>
    <xf numFmtId="0" fontId="5" fillId="3" borderId="6" xfId="2" applyFill="1" applyBorder="1" applyAlignment="1">
      <alignment wrapText="1"/>
    </xf>
    <xf numFmtId="0" fontId="11" fillId="3" borderId="5" xfId="2" applyFont="1" applyFill="1" applyBorder="1" applyAlignment="1">
      <alignment wrapText="1"/>
    </xf>
    <xf numFmtId="0" fontId="15" fillId="0" borderId="0" xfId="2" applyFont="1" applyAlignment="1">
      <alignment wrapText="1"/>
    </xf>
    <xf numFmtId="0" fontId="10" fillId="5" borderId="5" xfId="2" applyFont="1" applyFill="1" applyBorder="1"/>
    <xf numFmtId="0" fontId="10" fillId="2" borderId="5" xfId="2" applyFont="1" applyFill="1" applyBorder="1"/>
    <xf numFmtId="0" fontId="5" fillId="5" borderId="5" xfId="2" applyFill="1" applyBorder="1" applyAlignment="1">
      <alignment wrapText="1"/>
    </xf>
    <xf numFmtId="0" fontId="5" fillId="0" borderId="0" xfId="2" applyAlignment="1">
      <alignment horizontal="center" vertical="center" wrapText="1"/>
    </xf>
    <xf numFmtId="0" fontId="5" fillId="0" borderId="0" xfId="2" applyAlignment="1">
      <alignment horizontal="center" vertical="center"/>
    </xf>
    <xf numFmtId="0" fontId="17" fillId="0" borderId="0" xfId="2" applyFont="1" applyAlignment="1">
      <alignment horizontal="left" vertical="top" wrapText="1"/>
    </xf>
    <xf numFmtId="0" fontId="17" fillId="0" borderId="0" xfId="2" applyFont="1" applyAlignment="1">
      <alignment wrapText="1"/>
    </xf>
    <xf numFmtId="0" fontId="5" fillId="0" borderId="0" xfId="2" applyAlignment="1">
      <alignment horizontal="left" vertical="top"/>
    </xf>
    <xf numFmtId="0" fontId="19" fillId="0" borderId="0" xfId="2" applyFont="1" applyAlignment="1">
      <alignment horizontal="left" vertical="top" wrapText="1"/>
    </xf>
    <xf numFmtId="0" fontId="17" fillId="8" borderId="0" xfId="2" applyFont="1" applyFill="1" applyAlignment="1">
      <alignment horizontal="left" vertical="top" wrapText="1"/>
    </xf>
    <xf numFmtId="0" fontId="5" fillId="8" borderId="0" xfId="2" applyFill="1" applyAlignment="1">
      <alignment horizontal="left" vertical="top"/>
    </xf>
    <xf numFmtId="0" fontId="20" fillId="0" borderId="0" xfId="2" applyFont="1" applyAlignment="1">
      <alignment wrapText="1"/>
    </xf>
    <xf numFmtId="0" fontId="0" fillId="0" borderId="1" xfId="0" applyBorder="1"/>
    <xf numFmtId="0" fontId="22" fillId="0" borderId="0" xfId="0" applyFont="1"/>
    <xf numFmtId="0" fontId="10" fillId="0" borderId="0" xfId="0" applyFont="1" applyAlignment="1">
      <alignment wrapText="1"/>
    </xf>
    <xf numFmtId="0" fontId="10" fillId="0" borderId="0" xfId="0" applyFont="1" applyAlignment="1">
      <alignment horizontal="left" wrapText="1"/>
    </xf>
    <xf numFmtId="0" fontId="10" fillId="0" borderId="0" xfId="0" applyFont="1"/>
    <xf numFmtId="22" fontId="10" fillId="0" borderId="0" xfId="0" applyNumberFormat="1" applyFont="1" applyAlignment="1">
      <alignment wrapText="1"/>
    </xf>
    <xf numFmtId="0" fontId="23" fillId="0" borderId="0" xfId="0" applyFont="1"/>
    <xf numFmtId="0" fontId="10" fillId="0" borderId="1" xfId="0" applyFont="1" applyBorder="1" applyAlignment="1">
      <alignment wrapText="1"/>
    </xf>
    <xf numFmtId="0" fontId="10" fillId="0" borderId="1" xfId="0" applyFont="1" applyBorder="1"/>
    <xf numFmtId="22" fontId="10" fillId="0" borderId="1" xfId="0" applyNumberFormat="1" applyFont="1" applyBorder="1" applyAlignment="1">
      <alignment wrapText="1"/>
    </xf>
    <xf numFmtId="0" fontId="23" fillId="0" borderId="0" xfId="0" applyFont="1" applyAlignment="1">
      <alignment horizontal="left"/>
    </xf>
    <xf numFmtId="0" fontId="23" fillId="0" borderId="0" xfId="0" applyFont="1" applyAlignment="1">
      <alignment wrapText="1"/>
    </xf>
    <xf numFmtId="0" fontId="24" fillId="0" borderId="0" xfId="0" applyFont="1" applyAlignment="1">
      <alignment horizontal="left" wrapText="1"/>
    </xf>
    <xf numFmtId="0" fontId="21" fillId="0" borderId="0" xfId="0" applyFont="1" applyAlignment="1">
      <alignment horizontal="left"/>
    </xf>
    <xf numFmtId="0" fontId="10" fillId="0" borderId="4" xfId="2" applyFont="1" applyBorder="1"/>
    <xf numFmtId="0" fontId="10" fillId="0" borderId="4" xfId="2" applyFont="1" applyBorder="1" applyAlignment="1">
      <alignment wrapText="1"/>
    </xf>
    <xf numFmtId="0" fontId="10" fillId="0" borderId="0" xfId="0" applyFont="1" applyAlignment="1">
      <alignment horizontal="center" wrapText="1"/>
    </xf>
    <xf numFmtId="0" fontId="10" fillId="0" borderId="1" xfId="0" applyFont="1" applyBorder="1" applyAlignment="1">
      <alignment horizontal="center" wrapText="1"/>
    </xf>
    <xf numFmtId="0" fontId="10" fillId="3" borderId="4" xfId="2" applyFont="1" applyFill="1" applyBorder="1" applyAlignment="1">
      <alignment wrapText="1"/>
    </xf>
    <xf numFmtId="0" fontId="10" fillId="2" borderId="4" xfId="2" applyFont="1" applyFill="1" applyBorder="1" applyAlignment="1">
      <alignment wrapText="1"/>
    </xf>
    <xf numFmtId="0" fontId="10" fillId="4" borderId="4" xfId="2" applyFont="1" applyFill="1" applyBorder="1" applyAlignment="1">
      <alignment wrapText="1"/>
    </xf>
    <xf numFmtId="0" fontId="10" fillId="0" borderId="4" xfId="2" applyFont="1" applyBorder="1" applyAlignment="1">
      <alignment wrapText="1" readingOrder="1"/>
    </xf>
    <xf numFmtId="0" fontId="10" fillId="6" borderId="4" xfId="2" applyFont="1" applyFill="1" applyBorder="1"/>
    <xf numFmtId="0" fontId="10" fillId="6" borderId="6" xfId="2" applyFont="1" applyFill="1" applyBorder="1"/>
    <xf numFmtId="0" fontId="10" fillId="6" borderId="5" xfId="2" applyFont="1" applyFill="1" applyBorder="1"/>
    <xf numFmtId="0" fontId="10" fillId="3" borderId="6" xfId="2" applyFont="1" applyFill="1" applyBorder="1" applyAlignment="1">
      <alignment wrapText="1"/>
    </xf>
    <xf numFmtId="0" fontId="10" fillId="3" borderId="5" xfId="2" applyFont="1" applyFill="1" applyBorder="1" applyAlignment="1">
      <alignment wrapText="1"/>
    </xf>
    <xf numFmtId="0" fontId="10" fillId="0" borderId="0" xfId="0" applyFont="1" applyAlignment="1">
      <alignment horizontal="center"/>
    </xf>
    <xf numFmtId="0" fontId="25" fillId="7" borderId="0" xfId="0" applyFont="1" applyFill="1"/>
    <xf numFmtId="0" fontId="25" fillId="0" borderId="0" xfId="0" applyFont="1"/>
    <xf numFmtId="0" fontId="26" fillId="0" borderId="2" xfId="1" applyFont="1" applyBorder="1" applyAlignment="1">
      <alignment vertical="center"/>
    </xf>
    <xf numFmtId="0" fontId="25" fillId="0" borderId="0" xfId="0" applyFont="1" applyAlignment="1">
      <alignment vertical="center"/>
    </xf>
    <xf numFmtId="0" fontId="26" fillId="0" borderId="9" xfId="1" applyFont="1" applyBorder="1" applyAlignment="1">
      <alignment vertical="center"/>
    </xf>
    <xf numFmtId="0" fontId="26" fillId="0" borderId="10" xfId="1" applyFont="1" applyBorder="1" applyAlignment="1">
      <alignment vertical="center"/>
    </xf>
    <xf numFmtId="0" fontId="8" fillId="0" borderId="0" xfId="1" applyFill="1" applyAlignment="1"/>
    <xf numFmtId="0" fontId="5" fillId="0" borderId="0" xfId="2" applyAlignment="1">
      <alignment vertical="center"/>
    </xf>
    <xf numFmtId="0" fontId="8" fillId="0" borderId="0" xfId="1" applyFill="1"/>
    <xf numFmtId="0" fontId="10" fillId="9" borderId="0" xfId="0" applyFont="1" applyFill="1" applyAlignment="1">
      <alignment wrapText="1"/>
    </xf>
    <xf numFmtId="0" fontId="10" fillId="9" borderId="0" xfId="0" applyFont="1" applyFill="1" applyAlignment="1">
      <alignment horizontal="center" wrapText="1"/>
    </xf>
    <xf numFmtId="0" fontId="10" fillId="9" borderId="0" xfId="0" applyFont="1" applyFill="1"/>
    <xf numFmtId="22" fontId="10" fillId="9" borderId="0" xfId="0" applyNumberFormat="1" applyFont="1" applyFill="1" applyAlignment="1">
      <alignment wrapText="1"/>
    </xf>
    <xf numFmtId="0" fontId="8" fillId="9" borderId="0" xfId="1" applyFill="1" applyAlignment="1"/>
    <xf numFmtId="0" fontId="0" fillId="9" borderId="0" xfId="0" applyFill="1"/>
    <xf numFmtId="0" fontId="10" fillId="10" borderId="0" xfId="0" applyFont="1" applyFill="1" applyAlignment="1">
      <alignment wrapText="1"/>
    </xf>
    <xf numFmtId="0" fontId="10" fillId="3" borderId="0" xfId="0" applyFont="1" applyFill="1" applyAlignment="1">
      <alignment wrapText="1"/>
    </xf>
    <xf numFmtId="0" fontId="0" fillId="0" borderId="0" xfId="0" applyAlignment="1">
      <alignment wrapText="1"/>
    </xf>
    <xf numFmtId="0" fontId="10" fillId="4" borderId="0" xfId="0" applyFont="1" applyFill="1" applyAlignment="1">
      <alignment wrapText="1"/>
    </xf>
    <xf numFmtId="0" fontId="0" fillId="9" borderId="0" xfId="0" applyFill="1" applyAlignment="1">
      <alignment wrapText="1"/>
    </xf>
    <xf numFmtId="0" fontId="24" fillId="0" borderId="0" xfId="0" applyFont="1" applyAlignment="1">
      <alignment wrapText="1"/>
    </xf>
    <xf numFmtId="0" fontId="10" fillId="9" borderId="1" xfId="0" applyFont="1" applyFill="1" applyBorder="1"/>
    <xf numFmtId="0" fontId="10" fillId="3" borderId="1" xfId="0" applyFont="1" applyFill="1" applyBorder="1" applyAlignment="1">
      <alignment wrapText="1"/>
    </xf>
    <xf numFmtId="0" fontId="22" fillId="11" borderId="0" xfId="0" applyFont="1" applyFill="1" applyAlignment="1">
      <alignment wrapText="1"/>
    </xf>
    <xf numFmtId="0" fontId="27" fillId="0" borderId="0" xfId="1" applyFont="1" applyFill="1" applyAlignment="1"/>
    <xf numFmtId="0" fontId="28" fillId="0" borderId="0" xfId="2" applyFont="1"/>
    <xf numFmtId="0" fontId="5" fillId="0" borderId="0" xfId="2" applyAlignment="1">
      <alignment horizontal="left" vertical="top" wrapText="1"/>
    </xf>
    <xf numFmtId="0" fontId="5" fillId="8" borderId="0" xfId="2" applyFill="1" applyAlignment="1">
      <alignment horizontal="left" vertical="top" wrapText="1"/>
    </xf>
    <xf numFmtId="0" fontId="4" fillId="0" borderId="2" xfId="4" applyBorder="1"/>
    <xf numFmtId="0" fontId="4" fillId="0" borderId="2" xfId="4" applyBorder="1" applyAlignment="1">
      <alignment wrapText="1"/>
    </xf>
    <xf numFmtId="0" fontId="4" fillId="0" borderId="3" xfId="4" applyBorder="1"/>
    <xf numFmtId="0" fontId="10" fillId="3" borderId="7" xfId="4" applyFont="1" applyFill="1" applyBorder="1"/>
    <xf numFmtId="0" fontId="4" fillId="3" borderId="7" xfId="4" applyFill="1" applyBorder="1"/>
    <xf numFmtId="0" fontId="11" fillId="4" borderId="7" xfId="4" applyFont="1" applyFill="1" applyBorder="1"/>
    <xf numFmtId="0" fontId="4" fillId="4" borderId="7" xfId="4" applyFill="1" applyBorder="1"/>
    <xf numFmtId="0" fontId="11" fillId="3" borderId="7" xfId="4" applyFont="1" applyFill="1" applyBorder="1"/>
    <xf numFmtId="0" fontId="4" fillId="5" borderId="7" xfId="4" applyFill="1" applyBorder="1"/>
    <xf numFmtId="0" fontId="13" fillId="0" borderId="0" xfId="4" applyFont="1" applyAlignment="1">
      <alignment wrapText="1"/>
    </xf>
    <xf numFmtId="0" fontId="4" fillId="0" borderId="0" xfId="4"/>
    <xf numFmtId="0" fontId="4" fillId="0" borderId="0" xfId="4" applyAlignment="1">
      <alignment wrapText="1"/>
    </xf>
    <xf numFmtId="22" fontId="4" fillId="0" borderId="0" xfId="4" applyNumberFormat="1"/>
    <xf numFmtId="0" fontId="7" fillId="5" borderId="4" xfId="4" applyFont="1" applyFill="1" applyBorder="1" applyAlignment="1">
      <alignment wrapText="1"/>
    </xf>
    <xf numFmtId="0" fontId="4" fillId="5" borderId="4" xfId="4" applyFill="1" applyBorder="1"/>
    <xf numFmtId="0" fontId="13" fillId="2" borderId="4" xfId="4" applyFont="1" applyFill="1" applyBorder="1" applyAlignment="1">
      <alignment wrapText="1"/>
    </xf>
    <xf numFmtId="0" fontId="4" fillId="2" borderId="4" xfId="4" applyFill="1" applyBorder="1"/>
    <xf numFmtId="0" fontId="7" fillId="2" borderId="4" xfId="4" applyFont="1" applyFill="1" applyBorder="1" applyAlignment="1">
      <alignment wrapText="1"/>
    </xf>
    <xf numFmtId="0" fontId="17" fillId="0" borderId="0" xfId="4" applyFont="1" applyAlignment="1">
      <alignment wrapText="1"/>
    </xf>
    <xf numFmtId="0" fontId="7" fillId="5" borderId="11" xfId="4" applyFont="1" applyFill="1" applyBorder="1" applyAlignment="1">
      <alignment wrapText="1"/>
    </xf>
    <xf numFmtId="0" fontId="4" fillId="5" borderId="11" xfId="4" applyFill="1" applyBorder="1"/>
    <xf numFmtId="0" fontId="13" fillId="2" borderId="11" xfId="4" applyFont="1" applyFill="1" applyBorder="1" applyAlignment="1">
      <alignment wrapText="1"/>
    </xf>
    <xf numFmtId="0" fontId="4" fillId="2" borderId="11" xfId="4" applyFill="1" applyBorder="1"/>
    <xf numFmtId="0" fontId="7" fillId="2" borderId="11" xfId="4" applyFont="1" applyFill="1" applyBorder="1" applyAlignment="1">
      <alignment wrapText="1"/>
    </xf>
    <xf numFmtId="0" fontId="7" fillId="0" borderId="11" xfId="4" applyFont="1" applyBorder="1" applyAlignment="1">
      <alignment wrapText="1"/>
    </xf>
    <xf numFmtId="0" fontId="7" fillId="0" borderId="4" xfId="4" applyFont="1" applyBorder="1" applyAlignment="1">
      <alignment wrapText="1"/>
    </xf>
    <xf numFmtId="0" fontId="10" fillId="3" borderId="6" xfId="4" applyFont="1" applyFill="1" applyBorder="1"/>
    <xf numFmtId="0" fontId="4" fillId="3" borderId="6" xfId="4" applyFill="1" applyBorder="1"/>
    <xf numFmtId="0" fontId="10" fillId="4" borderId="6" xfId="4" applyFont="1" applyFill="1" applyBorder="1"/>
    <xf numFmtId="0" fontId="4" fillId="4" borderId="6" xfId="4" applyFill="1" applyBorder="1"/>
    <xf numFmtId="0" fontId="7" fillId="0" borderId="0" xfId="4" applyFont="1" applyAlignment="1">
      <alignment wrapText="1"/>
    </xf>
    <xf numFmtId="0" fontId="10" fillId="3" borderId="5" xfId="4" applyFont="1" applyFill="1" applyBorder="1"/>
    <xf numFmtId="0" fontId="4" fillId="3" borderId="5" xfId="4" applyFill="1" applyBorder="1"/>
    <xf numFmtId="0" fontId="10" fillId="4" borderId="5" xfId="4" applyFont="1" applyFill="1" applyBorder="1"/>
    <xf numFmtId="0" fontId="4" fillId="4" borderId="5" xfId="4" applyFill="1" applyBorder="1"/>
    <xf numFmtId="0" fontId="29" fillId="6" borderId="5" xfId="4" applyFont="1" applyFill="1" applyBorder="1"/>
    <xf numFmtId="0" fontId="4" fillId="3" borderId="5" xfId="4" applyFill="1" applyBorder="1" applyAlignment="1">
      <alignment wrapText="1"/>
    </xf>
    <xf numFmtId="0" fontId="10" fillId="0" borderId="0" xfId="4" applyFont="1"/>
    <xf numFmtId="0" fontId="7" fillId="0" borderId="0" xfId="5" applyFont="1" applyAlignment="1">
      <alignment wrapText="1"/>
    </xf>
    <xf numFmtId="0" fontId="7" fillId="0" borderId="0" xfId="5" applyFont="1" applyAlignment="1">
      <alignment horizontal="left" wrapText="1"/>
    </xf>
    <xf numFmtId="0" fontId="7" fillId="0" borderId="0" xfId="5" applyFont="1"/>
    <xf numFmtId="0" fontId="24" fillId="0" borderId="0" xfId="5"/>
    <xf numFmtId="0" fontId="24" fillId="0" borderId="0" xfId="5" applyAlignment="1">
      <alignment horizontal="left"/>
    </xf>
    <xf numFmtId="0" fontId="24" fillId="0" borderId="0" xfId="5" applyAlignment="1">
      <alignment wrapText="1"/>
    </xf>
    <xf numFmtId="0" fontId="10" fillId="14" borderId="0" xfId="0" applyFont="1" applyFill="1" applyAlignment="1">
      <alignment wrapText="1"/>
    </xf>
    <xf numFmtId="0" fontId="10" fillId="14" borderId="0" xfId="0" applyFont="1" applyFill="1" applyAlignment="1">
      <alignment horizontal="left" wrapText="1"/>
    </xf>
    <xf numFmtId="0" fontId="10" fillId="14" borderId="0" xfId="0" applyFont="1" applyFill="1"/>
    <xf numFmtId="22" fontId="10" fillId="14" borderId="0" xfId="0" applyNumberFormat="1" applyFont="1" applyFill="1" applyAlignment="1">
      <alignment wrapText="1"/>
    </xf>
    <xf numFmtId="0" fontId="8" fillId="14" borderId="0" xfId="1" applyFill="1" applyAlignment="1"/>
    <xf numFmtId="0" fontId="0" fillId="14" borderId="0" xfId="0" applyFill="1"/>
    <xf numFmtId="22" fontId="7" fillId="0" borderId="0" xfId="5" applyNumberFormat="1" applyFont="1" applyAlignment="1">
      <alignment wrapText="1"/>
    </xf>
    <xf numFmtId="0" fontId="7" fillId="0" borderId="1" xfId="5" applyFont="1" applyBorder="1" applyAlignment="1">
      <alignment wrapText="1"/>
    </xf>
    <xf numFmtId="0" fontId="7" fillId="0" borderId="1" xfId="5" applyFont="1" applyBorder="1" applyAlignment="1">
      <alignment horizontal="left" wrapText="1"/>
    </xf>
    <xf numFmtId="22" fontId="7" fillId="0" borderId="1" xfId="5" applyNumberFormat="1" applyFont="1" applyBorder="1" applyAlignment="1">
      <alignment wrapText="1"/>
    </xf>
    <xf numFmtId="0" fontId="7" fillId="0" borderId="1" xfId="5" applyFont="1" applyBorder="1"/>
    <xf numFmtId="0" fontId="24" fillId="0" borderId="1" xfId="5" applyBorder="1" applyAlignment="1">
      <alignment wrapText="1"/>
    </xf>
    <xf numFmtId="0" fontId="24" fillId="0" borderId="1" xfId="5" applyBorder="1"/>
    <xf numFmtId="0" fontId="5" fillId="0" borderId="5" xfId="2" applyBorder="1"/>
    <xf numFmtId="0" fontId="7" fillId="0" borderId="5" xfId="5" applyFont="1" applyBorder="1" applyAlignment="1">
      <alignment wrapText="1"/>
    </xf>
    <xf numFmtId="0" fontId="5" fillId="15" borderId="5" xfId="2" applyFill="1" applyBorder="1"/>
    <xf numFmtId="0" fontId="31" fillId="0" borderId="0" xfId="6" applyFont="1"/>
    <xf numFmtId="0" fontId="31" fillId="0" borderId="0" xfId="6" applyFont="1" applyAlignment="1">
      <alignment wrapText="1"/>
    </xf>
    <xf numFmtId="0" fontId="31" fillId="8" borderId="0" xfId="6" applyFont="1" applyFill="1" applyAlignment="1">
      <alignment wrapText="1"/>
    </xf>
    <xf numFmtId="0" fontId="31" fillId="8" borderId="0" xfId="6" applyFont="1" applyFill="1"/>
    <xf numFmtId="0" fontId="30" fillId="0" borderId="0" xfId="6"/>
    <xf numFmtId="0" fontId="30" fillId="0" borderId="0" xfId="6" applyAlignment="1">
      <alignment wrapText="1"/>
    </xf>
    <xf numFmtId="22" fontId="30" fillId="0" borderId="0" xfId="6" applyNumberFormat="1"/>
    <xf numFmtId="0" fontId="33" fillId="0" borderId="0" xfId="7" applyFont="1" applyAlignment="1">
      <alignment wrapText="1"/>
    </xf>
    <xf numFmtId="0" fontId="32" fillId="0" borderId="0" xfId="7" applyAlignment="1">
      <alignment wrapText="1"/>
    </xf>
    <xf numFmtId="0" fontId="30" fillId="0" borderId="0" xfId="6" applyAlignment="1">
      <alignment vertical="center" wrapText="1"/>
    </xf>
    <xf numFmtId="0" fontId="28" fillId="0" borderId="0" xfId="6" applyFont="1"/>
    <xf numFmtId="0" fontId="28" fillId="0" borderId="0" xfId="6" applyFont="1" applyAlignment="1">
      <alignment wrapText="1"/>
    </xf>
    <xf numFmtId="0" fontId="28" fillId="16" borderId="0" xfId="6" applyFont="1" applyFill="1"/>
    <xf numFmtId="0" fontId="3" fillId="0" borderId="0" xfId="6" applyFont="1" applyAlignment="1">
      <alignment wrapText="1"/>
    </xf>
    <xf numFmtId="0" fontId="3" fillId="0" borderId="0" xfId="6" applyFont="1"/>
    <xf numFmtId="0" fontId="34" fillId="0" borderId="0" xfId="6" applyFont="1" applyAlignment="1">
      <alignment wrapText="1"/>
    </xf>
    <xf numFmtId="0" fontId="34" fillId="0" borderId="0" xfId="6" applyFont="1"/>
    <xf numFmtId="0" fontId="35" fillId="0" borderId="0" xfId="6" applyFont="1"/>
    <xf numFmtId="0" fontId="26" fillId="0" borderId="12" xfId="1" applyFont="1" applyBorder="1" applyAlignment="1">
      <alignment vertical="center"/>
    </xf>
    <xf numFmtId="0" fontId="25" fillId="7" borderId="8" xfId="0" applyFont="1" applyFill="1" applyBorder="1" applyAlignment="1">
      <alignment vertical="center"/>
    </xf>
    <xf numFmtId="0" fontId="25" fillId="7" borderId="2" xfId="0" applyFont="1" applyFill="1" applyBorder="1"/>
    <xf numFmtId="0" fontId="3" fillId="15" borderId="5" xfId="2" applyFont="1" applyFill="1" applyBorder="1"/>
    <xf numFmtId="0" fontId="5" fillId="0" borderId="7" xfId="2" applyBorder="1"/>
    <xf numFmtId="0" fontId="10" fillId="15" borderId="5" xfId="0" applyFont="1" applyFill="1" applyBorder="1" applyAlignment="1">
      <alignment wrapText="1"/>
    </xf>
    <xf numFmtId="0" fontId="10" fillId="15" borderId="5" xfId="0" applyFont="1" applyFill="1" applyBorder="1" applyAlignment="1">
      <alignment horizontal="left" wrapText="1"/>
    </xf>
    <xf numFmtId="0" fontId="10" fillId="15" borderId="5" xfId="0" applyFont="1" applyFill="1" applyBorder="1"/>
    <xf numFmtId="22" fontId="10" fillId="15" borderId="5" xfId="0" applyNumberFormat="1" applyFont="1" applyFill="1" applyBorder="1" applyAlignment="1">
      <alignment wrapText="1"/>
    </xf>
    <xf numFmtId="0" fontId="8" fillId="15" borderId="5" xfId="1" applyFill="1" applyBorder="1" applyAlignment="1"/>
    <xf numFmtId="0" fontId="0" fillId="15" borderId="5" xfId="0" applyFill="1" applyBorder="1"/>
    <xf numFmtId="0" fontId="24" fillId="15" borderId="5" xfId="0" applyFont="1" applyFill="1" applyBorder="1"/>
    <xf numFmtId="0" fontId="10" fillId="0" borderId="13" xfId="2" applyFont="1" applyBorder="1"/>
    <xf numFmtId="0" fontId="10" fillId="0" borderId="13" xfId="2" applyFont="1" applyBorder="1" applyAlignment="1">
      <alignment wrapText="1"/>
    </xf>
    <xf numFmtId="0" fontId="10" fillId="7" borderId="5" xfId="0" applyFont="1" applyFill="1" applyBorder="1" applyAlignment="1">
      <alignment wrapText="1"/>
    </xf>
    <xf numFmtId="0" fontId="10" fillId="7" borderId="5" xfId="0" applyFont="1" applyFill="1" applyBorder="1" applyAlignment="1">
      <alignment horizontal="left" wrapText="1"/>
    </xf>
    <xf numFmtId="0" fontId="10" fillId="7" borderId="5" xfId="0" applyFont="1" applyFill="1" applyBorder="1"/>
    <xf numFmtId="22" fontId="10" fillId="7" borderId="5" xfId="0" applyNumberFormat="1" applyFont="1" applyFill="1" applyBorder="1" applyAlignment="1">
      <alignment wrapText="1"/>
    </xf>
    <xf numFmtId="0" fontId="8" fillId="7" borderId="5" xfId="1" applyFill="1" applyBorder="1" applyAlignment="1"/>
    <xf numFmtId="0" fontId="0" fillId="7" borderId="5" xfId="0" applyFill="1" applyBorder="1"/>
    <xf numFmtId="0" fontId="24" fillId="7" borderId="5" xfId="0" applyFont="1" applyFill="1" applyBorder="1"/>
    <xf numFmtId="0" fontId="5" fillId="0" borderId="6" xfId="2" applyBorder="1"/>
    <xf numFmtId="0" fontId="10" fillId="13" borderId="5" xfId="0" applyFont="1" applyFill="1" applyBorder="1" applyAlignment="1">
      <alignment wrapText="1"/>
    </xf>
    <xf numFmtId="0" fontId="10" fillId="13" borderId="5" xfId="0" applyFont="1" applyFill="1" applyBorder="1" applyAlignment="1">
      <alignment horizontal="left" wrapText="1"/>
    </xf>
    <xf numFmtId="0" fontId="10" fillId="13" borderId="5" xfId="0" applyFont="1" applyFill="1" applyBorder="1"/>
    <xf numFmtId="22" fontId="10" fillId="13" borderId="5" xfId="0" applyNumberFormat="1" applyFont="1" applyFill="1" applyBorder="1" applyAlignment="1">
      <alignment wrapText="1"/>
    </xf>
    <xf numFmtId="0" fontId="8" fillId="13" borderId="5" xfId="1" applyFill="1" applyBorder="1" applyAlignment="1"/>
    <xf numFmtId="0" fontId="0" fillId="13" borderId="5" xfId="0" applyFill="1" applyBorder="1"/>
    <xf numFmtId="0" fontId="24" fillId="13" borderId="5" xfId="0" applyFont="1" applyFill="1" applyBorder="1"/>
    <xf numFmtId="0" fontId="10" fillId="12" borderId="5" xfId="0" applyFont="1" applyFill="1" applyBorder="1" applyAlignment="1">
      <alignment wrapText="1"/>
    </xf>
    <xf numFmtId="0" fontId="10" fillId="12" borderId="5" xfId="0" applyFont="1" applyFill="1" applyBorder="1" applyAlignment="1">
      <alignment horizontal="left" wrapText="1"/>
    </xf>
    <xf numFmtId="0" fontId="10" fillId="12" borderId="5" xfId="0" applyFont="1" applyFill="1" applyBorder="1"/>
    <xf numFmtId="22" fontId="10" fillId="12" borderId="5" xfId="0" applyNumberFormat="1" applyFont="1" applyFill="1" applyBorder="1" applyAlignment="1">
      <alignment wrapText="1"/>
    </xf>
    <xf numFmtId="0" fontId="8" fillId="12" borderId="5" xfId="1" applyFill="1" applyBorder="1" applyAlignment="1"/>
    <xf numFmtId="0" fontId="0" fillId="12" borderId="5" xfId="0" applyFill="1" applyBorder="1"/>
    <xf numFmtId="0" fontId="24" fillId="12" borderId="5" xfId="0" applyFont="1" applyFill="1" applyBorder="1"/>
    <xf numFmtId="0" fontId="3" fillId="0" borderId="0" xfId="0" applyFont="1" applyAlignment="1">
      <alignment horizontal="left"/>
    </xf>
    <xf numFmtId="0" fontId="3" fillId="0" borderId="5" xfId="2" applyFont="1" applyBorder="1"/>
    <xf numFmtId="0" fontId="3" fillId="3" borderId="0" xfId="0" applyFont="1" applyFill="1" applyAlignment="1">
      <alignment wrapText="1"/>
    </xf>
    <xf numFmtId="0" fontId="3" fillId="0" borderId="0" xfId="2" applyFont="1"/>
    <xf numFmtId="0" fontId="3" fillId="0" borderId="0" xfId="2" applyFont="1" applyAlignment="1">
      <alignment horizontal="center"/>
    </xf>
    <xf numFmtId="0" fontId="3" fillId="0" borderId="0" xfId="2" applyFont="1" applyAlignment="1">
      <alignment wrapText="1"/>
    </xf>
    <xf numFmtId="22" fontId="3" fillId="0" borderId="0" xfId="2" applyNumberFormat="1" applyFont="1"/>
    <xf numFmtId="0" fontId="3" fillId="3" borderId="5" xfId="2" applyFont="1" applyFill="1" applyBorder="1"/>
    <xf numFmtId="0" fontId="3" fillId="4" borderId="5" xfId="2" applyFont="1" applyFill="1" applyBorder="1"/>
    <xf numFmtId="0" fontId="3" fillId="3" borderId="5" xfId="2" applyFont="1" applyFill="1" applyBorder="1" applyAlignment="1">
      <alignment wrapText="1"/>
    </xf>
    <xf numFmtId="0" fontId="3" fillId="0" borderId="4" xfId="2" applyFont="1" applyBorder="1"/>
    <xf numFmtId="0" fontId="3" fillId="3" borderId="7" xfId="2" applyFont="1" applyFill="1" applyBorder="1"/>
    <xf numFmtId="0" fontId="3" fillId="4" borderId="7" xfId="2" applyFont="1" applyFill="1" applyBorder="1"/>
    <xf numFmtId="0" fontId="3" fillId="3" borderId="7" xfId="2" applyFont="1" applyFill="1" applyBorder="1" applyAlignment="1">
      <alignment wrapText="1"/>
    </xf>
    <xf numFmtId="0" fontId="3" fillId="3" borderId="4" xfId="2" applyFont="1" applyFill="1" applyBorder="1"/>
    <xf numFmtId="0" fontId="3" fillId="4" borderId="4" xfId="2" applyFont="1" applyFill="1" applyBorder="1"/>
    <xf numFmtId="0" fontId="3" fillId="3" borderId="4" xfId="2" applyFont="1" applyFill="1" applyBorder="1" applyAlignment="1">
      <alignment wrapText="1"/>
    </xf>
    <xf numFmtId="0" fontId="3" fillId="3" borderId="6" xfId="2" applyFont="1" applyFill="1" applyBorder="1"/>
    <xf numFmtId="0" fontId="3" fillId="4" borderId="6" xfId="2" applyFont="1" applyFill="1" applyBorder="1"/>
    <xf numFmtId="0" fontId="3" fillId="3" borderId="6" xfId="2" applyFont="1" applyFill="1" applyBorder="1" applyAlignment="1">
      <alignment wrapText="1"/>
    </xf>
    <xf numFmtId="0" fontId="3" fillId="0" borderId="7" xfId="2" applyFont="1" applyBorder="1"/>
    <xf numFmtId="0" fontId="3" fillId="0" borderId="7" xfId="2" applyFont="1" applyBorder="1" applyAlignment="1">
      <alignment wrapText="1"/>
    </xf>
    <xf numFmtId="0" fontId="3" fillId="0" borderId="2" xfId="2" applyFont="1" applyBorder="1"/>
    <xf numFmtId="0" fontId="3" fillId="0" borderId="0" xfId="2" applyFont="1" applyAlignment="1">
      <alignment vertical="center"/>
    </xf>
    <xf numFmtId="0" fontId="3" fillId="0" borderId="0" xfId="2" applyFont="1" applyAlignment="1">
      <alignment horizontal="left" vertical="top" wrapText="1"/>
    </xf>
    <xf numFmtId="0" fontId="26" fillId="0" borderId="12" xfId="1" applyFont="1" applyFill="1" applyBorder="1"/>
    <xf numFmtId="0" fontId="26" fillId="0" borderId="10" xfId="1" applyFont="1" applyFill="1" applyBorder="1"/>
    <xf numFmtId="0" fontId="26" fillId="0" borderId="9" xfId="1" applyFont="1" applyFill="1" applyBorder="1"/>
    <xf numFmtId="0" fontId="26" fillId="0" borderId="2" xfId="1" applyFont="1" applyFill="1" applyBorder="1"/>
    <xf numFmtId="0" fontId="28" fillId="0" borderId="0" xfId="2" applyFont="1" applyAlignment="1">
      <alignment horizontal="right"/>
    </xf>
    <xf numFmtId="0" fontId="10" fillId="9" borderId="0" xfId="0" applyFont="1" applyFill="1" applyAlignment="1">
      <alignment horizontal="right" wrapText="1"/>
    </xf>
    <xf numFmtId="0" fontId="10" fillId="10" borderId="0" xfId="0" applyFont="1" applyFill="1" applyAlignment="1">
      <alignment horizontal="right" wrapText="1"/>
    </xf>
    <xf numFmtId="0" fontId="17" fillId="0" borderId="0" xfId="2" applyFont="1" applyAlignment="1">
      <alignment horizontal="right" vertical="top" wrapText="1"/>
    </xf>
    <xf numFmtId="0" fontId="0" fillId="0" borderId="0" xfId="0" applyAlignment="1">
      <alignment horizontal="right"/>
    </xf>
    <xf numFmtId="0" fontId="17" fillId="7" borderId="0" xfId="2" applyFont="1" applyFill="1" applyAlignment="1">
      <alignment horizontal="left" vertical="top" wrapText="1"/>
    </xf>
    <xf numFmtId="0" fontId="36" fillId="0" borderId="0" xfId="0" applyFont="1"/>
    <xf numFmtId="0" fontId="37" fillId="0" borderId="0" xfId="0" applyFont="1"/>
    <xf numFmtId="0" fontId="26" fillId="0" borderId="14" xfId="1" applyFont="1" applyBorder="1" applyAlignment="1">
      <alignment vertical="center"/>
    </xf>
    <xf numFmtId="0" fontId="26" fillId="0" borderId="14" xfId="1" applyFont="1" applyFill="1" applyBorder="1"/>
    <xf numFmtId="0" fontId="17" fillId="17" borderId="0" xfId="2" applyFont="1" applyFill="1" applyAlignment="1">
      <alignment horizontal="left" vertical="top" wrapText="1"/>
    </xf>
    <xf numFmtId="0" fontId="17" fillId="17" borderId="0" xfId="2" applyFont="1" applyFill="1" applyAlignment="1">
      <alignment horizontal="right" wrapText="1"/>
    </xf>
    <xf numFmtId="0" fontId="0" fillId="17" borderId="0" xfId="0" applyFill="1"/>
    <xf numFmtId="0" fontId="22" fillId="17" borderId="0" xfId="0" applyFont="1" applyFill="1" applyAlignment="1">
      <alignment wrapText="1"/>
    </xf>
    <xf numFmtId="0" fontId="24" fillId="17" borderId="0" xfId="0" applyFont="1" applyFill="1" applyAlignment="1">
      <alignment wrapText="1"/>
    </xf>
    <xf numFmtId="0" fontId="22" fillId="17" borderId="0" xfId="0" applyFont="1" applyFill="1" applyAlignment="1">
      <alignment horizontal="right" wrapText="1"/>
    </xf>
    <xf numFmtId="0" fontId="17" fillId="0" borderId="0" xfId="2" applyFont="1" applyAlignment="1">
      <alignment horizontal="right" wrapText="1"/>
    </xf>
    <xf numFmtId="0" fontId="17" fillId="8" borderId="0" xfId="2" applyFont="1" applyFill="1" applyAlignment="1">
      <alignment horizontal="right" wrapText="1"/>
    </xf>
    <xf numFmtId="0" fontId="19" fillId="17" borderId="0" xfId="2" applyFont="1" applyFill="1" applyAlignment="1">
      <alignment horizontal="right" wrapText="1"/>
    </xf>
    <xf numFmtId="0" fontId="17" fillId="17" borderId="0" xfId="2" applyFont="1" applyFill="1" applyAlignment="1">
      <alignment horizontal="left" wrapText="1"/>
    </xf>
    <xf numFmtId="0" fontId="17" fillId="0" borderId="0" xfId="2" applyFont="1" applyAlignment="1">
      <alignment horizontal="left" wrapText="1"/>
    </xf>
    <xf numFmtId="0" fontId="17" fillId="8" borderId="0" xfId="2" applyFont="1" applyFill="1" applyAlignment="1">
      <alignment horizontal="left" wrapText="1"/>
    </xf>
    <xf numFmtId="0" fontId="19" fillId="17" borderId="0" xfId="2" applyFont="1" applyFill="1" applyAlignment="1">
      <alignment horizontal="left" wrapText="1"/>
    </xf>
    <xf numFmtId="0" fontId="3" fillId="0" borderId="0" xfId="2" applyFont="1" applyAlignment="1">
      <alignment horizontal="right"/>
    </xf>
    <xf numFmtId="0" fontId="28" fillId="0" borderId="0" xfId="2" applyFont="1" applyAlignment="1">
      <alignment wrapText="1"/>
    </xf>
    <xf numFmtId="0" fontId="37" fillId="0" borderId="0" xfId="0" applyFont="1" applyAlignment="1">
      <alignment wrapText="1"/>
    </xf>
    <xf numFmtId="0" fontId="0" fillId="17" borderId="0" xfId="0" applyFill="1" applyAlignment="1">
      <alignment horizontal="right"/>
    </xf>
    <xf numFmtId="0" fontId="16" fillId="0" borderId="0" xfId="2" applyFont="1"/>
    <xf numFmtId="0" fontId="16" fillId="0" borderId="0" xfId="2" applyFont="1" applyAlignment="1">
      <alignment wrapText="1"/>
    </xf>
    <xf numFmtId="0" fontId="7" fillId="7" borderId="4" xfId="2" applyFont="1" applyFill="1" applyBorder="1" applyAlignment="1">
      <alignment wrapText="1"/>
    </xf>
    <xf numFmtId="0" fontId="34" fillId="0" borderId="0" xfId="0" applyFont="1" applyAlignment="1">
      <alignment wrapText="1"/>
    </xf>
    <xf numFmtId="0" fontId="38" fillId="0" borderId="0" xfId="0" applyFont="1" applyAlignment="1">
      <alignment wrapText="1"/>
    </xf>
    <xf numFmtId="0" fontId="35" fillId="0" borderId="0" xfId="0" applyFont="1"/>
    <xf numFmtId="0" fontId="39" fillId="0" borderId="0" xfId="0" applyFont="1"/>
    <xf numFmtId="0" fontId="3" fillId="18" borderId="0" xfId="2" applyFont="1" applyFill="1" applyAlignment="1">
      <alignment horizontal="right"/>
    </xf>
    <xf numFmtId="0" fontId="10" fillId="18" borderId="0" xfId="0" applyFont="1" applyFill="1" applyAlignment="1">
      <alignment horizontal="right" wrapText="1"/>
    </xf>
    <xf numFmtId="0" fontId="22" fillId="18" borderId="0" xfId="0" applyFont="1" applyFill="1" applyAlignment="1">
      <alignment horizontal="right" wrapText="1"/>
    </xf>
    <xf numFmtId="0" fontId="17" fillId="18" borderId="0" xfId="2" applyFont="1" applyFill="1" applyAlignment="1">
      <alignment horizontal="right" wrapText="1"/>
    </xf>
    <xf numFmtId="0" fontId="17" fillId="18" borderId="0" xfId="2" applyFont="1" applyFill="1" applyAlignment="1">
      <alignment horizontal="right" vertical="top" wrapText="1"/>
    </xf>
    <xf numFmtId="0" fontId="0" fillId="18" borderId="0" xfId="0" applyFill="1" applyAlignment="1">
      <alignment horizontal="right"/>
    </xf>
    <xf numFmtId="0" fontId="28" fillId="18" borderId="0" xfId="2" applyFont="1" applyFill="1" applyAlignment="1">
      <alignment horizontal="right"/>
    </xf>
    <xf numFmtId="0" fontId="19" fillId="18" borderId="0" xfId="2" applyFont="1" applyFill="1" applyAlignment="1">
      <alignment horizontal="right" wrapText="1"/>
    </xf>
    <xf numFmtId="0" fontId="3" fillId="18" borderId="0" xfId="2" applyFont="1" applyFill="1"/>
    <xf numFmtId="0" fontId="0" fillId="18" borderId="0" xfId="0" applyFill="1"/>
    <xf numFmtId="0" fontId="28" fillId="18" borderId="0" xfId="2" applyFont="1" applyFill="1"/>
    <xf numFmtId="0" fontId="2" fillId="0" borderId="0" xfId="6" applyFont="1" applyAlignment="1">
      <alignment wrapText="1"/>
    </xf>
    <xf numFmtId="0" fontId="40" fillId="0" borderId="0" xfId="0" applyFont="1" applyAlignment="1">
      <alignment wrapText="1"/>
    </xf>
    <xf numFmtId="0" fontId="40" fillId="0" borderId="0" xfId="0" applyFont="1" applyAlignment="1">
      <alignment horizontal="center" wrapText="1"/>
    </xf>
    <xf numFmtId="0" fontId="40" fillId="0" borderId="0" xfId="0" applyFont="1"/>
    <xf numFmtId="0" fontId="28" fillId="0" borderId="0" xfId="0" applyFont="1" applyAlignment="1">
      <alignment horizontal="left"/>
    </xf>
    <xf numFmtId="0" fontId="40" fillId="0" borderId="4" xfId="2" applyFont="1" applyBorder="1"/>
    <xf numFmtId="0" fontId="28" fillId="0" borderId="5" xfId="2" applyFont="1" applyBorder="1"/>
    <xf numFmtId="0" fontId="40" fillId="0" borderId="4" xfId="2" applyFont="1" applyBorder="1" applyAlignment="1">
      <alignment wrapText="1"/>
    </xf>
    <xf numFmtId="0" fontId="28" fillId="0" borderId="5" xfId="2" applyFont="1" applyBorder="1" applyAlignment="1">
      <alignment wrapText="1"/>
    </xf>
    <xf numFmtId="0" fontId="3" fillId="0" borderId="0" xfId="4" applyFont="1"/>
    <xf numFmtId="0" fontId="38" fillId="0" borderId="0" xfId="0" applyFont="1"/>
    <xf numFmtId="0" fontId="41" fillId="0" borderId="0" xfId="0" applyFont="1"/>
    <xf numFmtId="0" fontId="41" fillId="0" borderId="0" xfId="0" applyFont="1" applyAlignment="1">
      <alignment wrapText="1"/>
    </xf>
    <xf numFmtId="0" fontId="34" fillId="0" borderId="0" xfId="0" applyFont="1"/>
    <xf numFmtId="0" fontId="1" fillId="0" borderId="0" xfId="6" applyFont="1"/>
    <xf numFmtId="0" fontId="40" fillId="0" borderId="0" xfId="2" applyFont="1"/>
    <xf numFmtId="0" fontId="10" fillId="9" borderId="5" xfId="0" applyFont="1" applyFill="1" applyBorder="1"/>
    <xf numFmtId="0" fontId="10" fillId="0" borderId="5" xfId="0" applyFont="1" applyBorder="1"/>
    <xf numFmtId="0" fontId="4" fillId="5" borderId="5" xfId="4" applyFill="1" applyBorder="1"/>
    <xf numFmtId="0" fontId="34" fillId="0" borderId="5" xfId="0" applyFont="1" applyBorder="1"/>
    <xf numFmtId="0" fontId="38" fillId="0" borderId="5" xfId="0" applyFont="1" applyBorder="1" applyAlignment="1">
      <alignment wrapText="1"/>
    </xf>
    <xf numFmtId="0" fontId="30" fillId="0" borderId="5" xfId="6" applyBorder="1"/>
    <xf numFmtId="0" fontId="40" fillId="0" borderId="5" xfId="0" applyFont="1" applyBorder="1" applyAlignment="1">
      <alignment wrapText="1"/>
    </xf>
    <xf numFmtId="0" fontId="10" fillId="9" borderId="5" xfId="0" applyFont="1" applyFill="1" applyBorder="1" applyAlignment="1">
      <alignment wrapText="1"/>
    </xf>
    <xf numFmtId="0" fontId="10" fillId="0" borderId="5" xfId="0" applyFont="1" applyBorder="1" applyAlignment="1">
      <alignment wrapText="1"/>
    </xf>
    <xf numFmtId="0" fontId="10" fillId="4" borderId="5" xfId="0" applyFont="1" applyFill="1" applyBorder="1" applyAlignment="1">
      <alignment wrapText="1"/>
    </xf>
    <xf numFmtId="0" fontId="10" fillId="3" borderId="5" xfId="0" applyFont="1" applyFill="1" applyBorder="1" applyAlignment="1">
      <alignment wrapText="1"/>
    </xf>
    <xf numFmtId="0" fontId="3" fillId="3" borderId="5" xfId="0" applyFont="1" applyFill="1" applyBorder="1" applyAlignment="1">
      <alignment wrapText="1"/>
    </xf>
    <xf numFmtId="0" fontId="24" fillId="0" borderId="5" xfId="5" applyBorder="1" applyAlignment="1">
      <alignment wrapText="1"/>
    </xf>
    <xf numFmtId="0" fontId="4" fillId="0" borderId="5" xfId="4" applyBorder="1"/>
    <xf numFmtId="0" fontId="41" fillId="0" borderId="5" xfId="0" applyFont="1" applyBorder="1"/>
    <xf numFmtId="0" fontId="10" fillId="10" borderId="5" xfId="0" applyFont="1" applyFill="1" applyBorder="1" applyAlignment="1">
      <alignment wrapText="1"/>
    </xf>
    <xf numFmtId="0" fontId="3" fillId="0" borderId="5" xfId="2" applyFont="1" applyBorder="1" applyAlignment="1">
      <alignment wrapText="1"/>
    </xf>
    <xf numFmtId="0" fontId="15" fillId="0" borderId="5" xfId="2" applyFont="1" applyBorder="1" applyAlignment="1">
      <alignment wrapText="1"/>
    </xf>
    <xf numFmtId="0" fontId="4" fillId="0" borderId="5" xfId="4" applyBorder="1" applyAlignment="1">
      <alignment wrapText="1"/>
    </xf>
    <xf numFmtId="0" fontId="41" fillId="0" borderId="5" xfId="0" applyFont="1" applyBorder="1" applyAlignment="1">
      <alignment wrapText="1"/>
    </xf>
    <xf numFmtId="0" fontId="30" fillId="0" borderId="5" xfId="6" applyBorder="1" applyAlignment="1">
      <alignment wrapText="1"/>
    </xf>
    <xf numFmtId="0" fontId="42" fillId="0" borderId="5" xfId="2" applyFont="1" applyBorder="1"/>
    <xf numFmtId="0" fontId="42" fillId="0" borderId="0" xfId="2" applyFont="1"/>
    <xf numFmtId="0" fontId="3" fillId="5" borderId="5" xfId="4" applyFont="1" applyFill="1" applyBorder="1"/>
    <xf numFmtId="0" fontId="3" fillId="3" borderId="5" xfId="4" applyFont="1" applyFill="1" applyBorder="1"/>
  </cellXfs>
  <cellStyles count="8">
    <cellStyle name="Hyperlink" xfId="1" builtinId="8"/>
    <cellStyle name="Hyperlink 2" xfId="3" xr:uid="{7409AC31-094F-408F-8850-B95416D49F25}"/>
    <cellStyle name="Hyperlink 3" xfId="7" xr:uid="{492ED917-34DD-445D-B1A1-948D2E9A0DC0}"/>
    <cellStyle name="Normal" xfId="0" builtinId="0"/>
    <cellStyle name="Normal 2" xfId="2" xr:uid="{BFD293B5-7972-4FC0-95FE-B9F93BEFB1F7}"/>
    <cellStyle name="Normal 3" xfId="4" xr:uid="{E985A0E1-36E0-4702-BE05-E2FFB8F3122E}"/>
    <cellStyle name="Normal 4" xfId="5" xr:uid="{745FBF58-E261-45B1-8F31-DCE79AF42E6E}"/>
    <cellStyle name="Normal 5" xfId="6" xr:uid="{A6AEB308-AE08-46A4-A3A2-3DE103E44C1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CountCodes!$M$1</c:f>
              <c:strCache>
                <c:ptCount val="1"/>
                <c:pt idx="0">
                  <c:v>Count Discussion Type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C1-4A4A-980E-C8659C32AC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C1-4A4A-980E-C8659C32AC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C1-4A4A-980E-C8659C32AC3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C1-4A4A-980E-C8659C32AC3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C1-4A4A-980E-C8659C32AC3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C1-4A4A-980E-C8659C32AC33}"/>
              </c:ext>
            </c:extLst>
          </c:dPt>
          <c:cat>
            <c:strRef>
              <c:f>CountCodes!$L$2:$L$7</c:f>
              <c:strCache>
                <c:ptCount val="6"/>
                <c:pt idx="0">
                  <c:v>Seminar</c:v>
                </c:pt>
                <c:pt idx="1">
                  <c:v>Deliberation</c:v>
                </c:pt>
                <c:pt idx="2">
                  <c:v>Social</c:v>
                </c:pt>
                <c:pt idx="3">
                  <c:v>procedure</c:v>
                </c:pt>
                <c:pt idx="4">
                  <c:v>UX</c:v>
                </c:pt>
                <c:pt idx="5">
                  <c:v>Imaginative entry</c:v>
                </c:pt>
              </c:strCache>
            </c:strRef>
          </c:cat>
          <c:val>
            <c:numRef>
              <c:f>CountCodes!$M$2:$M$7</c:f>
              <c:numCache>
                <c:formatCode>General</c:formatCode>
                <c:ptCount val="6"/>
                <c:pt idx="0">
                  <c:v>355</c:v>
                </c:pt>
                <c:pt idx="1">
                  <c:v>134</c:v>
                </c:pt>
                <c:pt idx="2">
                  <c:v>103</c:v>
                </c:pt>
                <c:pt idx="3">
                  <c:v>55</c:v>
                </c:pt>
                <c:pt idx="4">
                  <c:v>46</c:v>
                </c:pt>
                <c:pt idx="5">
                  <c:v>15</c:v>
                </c:pt>
              </c:numCache>
            </c:numRef>
          </c:val>
          <c:extLst>
            <c:ext xmlns:c16="http://schemas.microsoft.com/office/drawing/2014/chart" uri="{C3380CC4-5D6E-409C-BE32-E72D297353CC}">
              <c16:uniqueId val="{00000000-11F5-C34A-BDC1-9B0A133CAD3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CountCodes!$P$1</c:f>
              <c:strCache>
                <c:ptCount val="1"/>
                <c:pt idx="0">
                  <c:v>Count Uptake Type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7D1-6940-B448-972ACD42137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7D1-6940-B448-972ACD42137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7D1-6940-B448-972ACD42137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7D1-6940-B448-972ACD42137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7D1-6940-B448-972ACD42137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7D1-6940-B448-972ACD421377}"/>
              </c:ext>
            </c:extLst>
          </c:dPt>
          <c:cat>
            <c:strRef>
              <c:f>CountCodes!$O$2:$O$7</c:f>
              <c:strCache>
                <c:ptCount val="6"/>
                <c:pt idx="0">
                  <c:v>Affirm</c:v>
                </c:pt>
                <c:pt idx="1">
                  <c:v>Elaborate</c:v>
                </c:pt>
                <c:pt idx="2">
                  <c:v>Disagree</c:v>
                </c:pt>
                <c:pt idx="3">
                  <c:v>Filler</c:v>
                </c:pt>
                <c:pt idx="4">
                  <c:v>Prompt</c:v>
                </c:pt>
                <c:pt idx="5">
                  <c:v>Clarify</c:v>
                </c:pt>
              </c:strCache>
            </c:strRef>
          </c:cat>
          <c:val>
            <c:numRef>
              <c:f>CountCodes!$P$2:$P$7</c:f>
              <c:numCache>
                <c:formatCode>General</c:formatCode>
                <c:ptCount val="6"/>
                <c:pt idx="0">
                  <c:v>113</c:v>
                </c:pt>
                <c:pt idx="1">
                  <c:v>28</c:v>
                </c:pt>
                <c:pt idx="2">
                  <c:v>7</c:v>
                </c:pt>
                <c:pt idx="3">
                  <c:v>7</c:v>
                </c:pt>
                <c:pt idx="4">
                  <c:v>4</c:v>
                </c:pt>
                <c:pt idx="5">
                  <c:v>4</c:v>
                </c:pt>
              </c:numCache>
            </c:numRef>
          </c:val>
          <c:extLst>
            <c:ext xmlns:c16="http://schemas.microsoft.com/office/drawing/2014/chart" uri="{C3380CC4-5D6E-409C-BE32-E72D297353CC}">
              <c16:uniqueId val="{00000000-F27C-C649-B066-6CFA053F5F2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139700</xdr:colOff>
      <xdr:row>13</xdr:row>
      <xdr:rowOff>101606</xdr:rowOff>
    </xdr:from>
    <xdr:to>
      <xdr:col>12</xdr:col>
      <xdr:colOff>1854200</xdr:colOff>
      <xdr:row>27</xdr:row>
      <xdr:rowOff>6</xdr:rowOff>
    </xdr:to>
    <xdr:graphicFrame macro="">
      <xdr:nvGraphicFramePr>
        <xdr:cNvPr id="3" name="Chart 2">
          <a:extLst>
            <a:ext uri="{FF2B5EF4-FFF2-40B4-BE49-F238E27FC236}">
              <a16:creationId xmlns:a16="http://schemas.microsoft.com/office/drawing/2014/main" id="{4FFAC78F-1E7E-59DE-9009-E31D25F2BD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419100</xdr:colOff>
      <xdr:row>14</xdr:row>
      <xdr:rowOff>63506</xdr:rowOff>
    </xdr:from>
    <xdr:to>
      <xdr:col>18</xdr:col>
      <xdr:colOff>190500</xdr:colOff>
      <xdr:row>27</xdr:row>
      <xdr:rowOff>165106</xdr:rowOff>
    </xdr:to>
    <xdr:graphicFrame macro="">
      <xdr:nvGraphicFramePr>
        <xdr:cNvPr id="4" name="Chart 3">
          <a:extLst>
            <a:ext uri="{FF2B5EF4-FFF2-40B4-BE49-F238E27FC236}">
              <a16:creationId xmlns:a16="http://schemas.microsoft.com/office/drawing/2014/main" id="{AB5F3D88-5C86-DBBB-17BA-0A29F1F98C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Defusco, Kimberly" id="{B60D3A74-60CD-4178-86B9-894BD99BD417}" userId="Defusco, Kimberly" providerId="Non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339" dT="2021-05-02T15:01:25.10" personId="{B60D3A74-60CD-4178-86B9-894BD99BD417}" id="{211919C4-5BF2-4996-821A-EE530E89F8A4}">
    <text>Julie = Linda</text>
  </threadedComment>
  <threadedComment ref="Z339" dT="2021-05-02T15:01:25.10" personId="{B60D3A74-60CD-4178-86B9-894BD99BD417}" id="{FE2D9574-EC99-8940-B5A1-6546EE4289AD}">
    <text>Julie = Linda</text>
  </threadedComment>
</ThreadedComments>
</file>

<file path=xl/threadedComments/threadedComment2.xml><?xml version="1.0" encoding="utf-8"?>
<ThreadedComments xmlns="http://schemas.microsoft.com/office/spreadsheetml/2018/threadedcomments" xmlns:x="http://schemas.openxmlformats.org/spreadsheetml/2006/main">
  <threadedComment ref="F145" dT="2021-05-02T15:01:25.10" personId="{B60D3A74-60CD-4178-86B9-894BD99BD417}" id="{9A71887A-A760-4CD6-826B-5AE3FD819800}">
    <text>Julie = Linda</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9E817-5B74-4185-A3CB-833F87024DEB}">
  <sheetPr codeName="Sheet2"/>
  <dimension ref="A1:AG612"/>
  <sheetViews>
    <sheetView zoomScale="110" zoomScaleNormal="110" workbookViewId="0">
      <pane ySplit="1" topLeftCell="A257" activePane="bottomLeft" state="frozen"/>
      <selection pane="bottomLeft" activeCell="F361" sqref="E361:F370"/>
    </sheetView>
  </sheetViews>
  <sheetFormatPr baseColWidth="10" defaultColWidth="8.83203125" defaultRowHeight="14" x14ac:dyDescent="0.15"/>
  <cols>
    <col min="1" max="1" width="20.5" style="68" customWidth="1"/>
    <col min="2" max="2" width="8.5" style="91"/>
    <col min="3" max="5" width="20.5" style="68" customWidth="1"/>
    <col min="6" max="6" width="11.5" style="68" customWidth="1"/>
    <col min="7" max="7" width="50.5" style="66" customWidth="1"/>
    <col min="8" max="8" width="16.83203125" style="68" customWidth="1"/>
    <col min="9" max="9" width="13" style="68" customWidth="1"/>
    <col min="10" max="10" width="8.5" style="68" customWidth="1"/>
    <col min="11" max="11" width="16.83203125" style="68" customWidth="1"/>
    <col min="12" max="12" width="17.83203125" style="68" customWidth="1"/>
    <col min="13" max="13" width="18.5" style="68" bestFit="1" customWidth="1"/>
    <col min="14" max="14" width="29.1640625" style="68" customWidth="1"/>
    <col min="15" max="15" width="20.83203125" style="68" customWidth="1"/>
    <col min="16" max="16" width="11" style="68" customWidth="1"/>
    <col min="17" max="17" width="6" style="68" customWidth="1"/>
    <col min="18" max="18" width="12.1640625" style="68" customWidth="1"/>
    <col min="19" max="19" width="5.6640625" style="68" customWidth="1"/>
    <col min="20" max="20" width="14.83203125" style="68" customWidth="1"/>
    <col min="21" max="21" width="15" style="68" customWidth="1"/>
    <col min="22" max="22" width="12.1640625" style="68" customWidth="1"/>
    <col min="23" max="23" width="10" style="325" customWidth="1"/>
    <col min="24" max="24" width="13.6640625" style="325" customWidth="1"/>
    <col min="25" max="25" width="10" style="325" customWidth="1"/>
    <col min="26" max="26" width="56" style="332" customWidth="1"/>
    <col min="27" max="27" width="20.5" style="68" customWidth="1"/>
    <col min="28" max="28" width="13.5" style="68" customWidth="1"/>
    <col min="29" max="29" width="11.5" style="68" bestFit="1" customWidth="1"/>
    <col min="30" max="30" width="12.5" style="68" customWidth="1"/>
    <col min="31" max="32" width="8.5" style="68"/>
    <col min="33" max="33" width="20.5" style="68" customWidth="1"/>
  </cols>
  <sheetData>
    <row r="1" spans="1:33" s="296" customFormat="1" ht="30" x14ac:dyDescent="0.15">
      <c r="A1" s="309" t="s">
        <v>21</v>
      </c>
      <c r="B1" s="310" t="s">
        <v>22</v>
      </c>
      <c r="C1" s="311" t="s">
        <v>23</v>
      </c>
      <c r="D1" s="311" t="s">
        <v>24</v>
      </c>
      <c r="E1" s="311" t="s">
        <v>1080</v>
      </c>
      <c r="F1" s="309" t="s">
        <v>25</v>
      </c>
      <c r="G1" s="309" t="s">
        <v>26</v>
      </c>
      <c r="H1" s="309" t="s">
        <v>27</v>
      </c>
      <c r="I1" s="309" t="s">
        <v>28</v>
      </c>
      <c r="J1" s="309" t="s">
        <v>29</v>
      </c>
      <c r="K1" s="312" t="s">
        <v>30</v>
      </c>
      <c r="L1" s="313" t="s">
        <v>31</v>
      </c>
      <c r="M1" s="345" t="s">
        <v>1142</v>
      </c>
      <c r="N1" s="345" t="s">
        <v>1144</v>
      </c>
      <c r="O1" s="345" t="s">
        <v>1161</v>
      </c>
      <c r="P1" s="311" t="s">
        <v>1164</v>
      </c>
      <c r="Q1" s="313" t="s">
        <v>33</v>
      </c>
      <c r="R1" s="323" t="s">
        <v>1136</v>
      </c>
      <c r="S1" s="313" t="s">
        <v>35</v>
      </c>
      <c r="T1" s="323" t="s">
        <v>1138</v>
      </c>
      <c r="U1" s="345" t="s">
        <v>1140</v>
      </c>
      <c r="V1" s="346" t="s">
        <v>1137</v>
      </c>
      <c r="W1" s="345" t="s">
        <v>1141</v>
      </c>
      <c r="X1" s="314" t="s">
        <v>1139</v>
      </c>
      <c r="Y1" s="330" t="s">
        <v>25</v>
      </c>
      <c r="Z1" s="330" t="s">
        <v>26</v>
      </c>
      <c r="AA1" s="311" t="s">
        <v>24</v>
      </c>
      <c r="AB1" s="313" t="s">
        <v>37</v>
      </c>
      <c r="AC1" s="314" t="s">
        <v>38</v>
      </c>
      <c r="AD1" s="315" t="s">
        <v>39</v>
      </c>
      <c r="AE1" s="316" t="s">
        <v>40</v>
      </c>
      <c r="AF1" s="311" t="s">
        <v>41</v>
      </c>
      <c r="AG1" s="309" t="s">
        <v>42</v>
      </c>
    </row>
    <row r="2" spans="1:33" s="106" customFormat="1" ht="15" x14ac:dyDescent="0.15">
      <c r="A2" s="101" t="s">
        <v>43</v>
      </c>
      <c r="B2" s="102">
        <v>260</v>
      </c>
      <c r="C2" s="103" t="s">
        <v>44</v>
      </c>
      <c r="D2" s="103" t="s">
        <v>45</v>
      </c>
      <c r="E2" s="237">
        <v>1</v>
      </c>
      <c r="F2" s="101" t="s">
        <v>46</v>
      </c>
      <c r="G2" s="101" t="s">
        <v>47</v>
      </c>
      <c r="H2" s="104">
        <v>44124.712500000001</v>
      </c>
      <c r="I2" s="101" t="s">
        <v>48</v>
      </c>
      <c r="J2" s="101">
        <v>10</v>
      </c>
      <c r="K2" s="105">
        <v>3.1</v>
      </c>
      <c r="L2" s="103"/>
      <c r="M2" s="103" t="s">
        <v>49</v>
      </c>
      <c r="N2" s="103" t="s">
        <v>49</v>
      </c>
      <c r="O2" s="103" t="s">
        <v>1163</v>
      </c>
      <c r="P2" s="237">
        <v>1</v>
      </c>
      <c r="Q2" s="103"/>
      <c r="R2" s="103">
        <f>IF(Q2&lt;&gt;"",1,0)</f>
        <v>0</v>
      </c>
      <c r="S2" s="103"/>
      <c r="T2" s="103">
        <f>IF(S1&lt;&gt;"",1,0)</f>
        <v>1</v>
      </c>
      <c r="U2" s="103">
        <v>1</v>
      </c>
      <c r="V2" s="103">
        <f>IF(U2&lt;&gt;"",1,0)</f>
        <v>1</v>
      </c>
      <c r="W2" s="324"/>
      <c r="X2" s="324">
        <f>IF(W2&lt;&gt;"",1,0)</f>
        <v>0</v>
      </c>
      <c r="Y2" s="331" t="s">
        <v>46</v>
      </c>
      <c r="Z2" s="331" t="s">
        <v>47</v>
      </c>
      <c r="AA2" s="103" t="s">
        <v>45</v>
      </c>
      <c r="AB2" s="103"/>
      <c r="AC2" s="103"/>
      <c r="AD2" s="103"/>
      <c r="AE2" s="103"/>
      <c r="AF2" s="103"/>
      <c r="AG2" s="101" t="s">
        <v>50</v>
      </c>
    </row>
    <row r="3" spans="1:33" s="106" customFormat="1" ht="15" x14ac:dyDescent="0.15">
      <c r="A3" s="101" t="s">
        <v>43</v>
      </c>
      <c r="B3" s="102">
        <v>260</v>
      </c>
      <c r="C3" s="103" t="s">
        <v>44</v>
      </c>
      <c r="D3" s="103" t="s">
        <v>45</v>
      </c>
      <c r="E3" s="237">
        <v>1</v>
      </c>
      <c r="F3" s="101" t="s">
        <v>46</v>
      </c>
      <c r="G3" s="101" t="s">
        <v>51</v>
      </c>
      <c r="H3" s="104">
        <v>44124.712500000001</v>
      </c>
      <c r="I3" s="101" t="s">
        <v>48</v>
      </c>
      <c r="J3" s="101">
        <v>10</v>
      </c>
      <c r="K3" s="105">
        <v>3.1</v>
      </c>
      <c r="L3" s="103"/>
      <c r="M3" s="103" t="s">
        <v>52</v>
      </c>
      <c r="N3" s="103" t="s">
        <v>1143</v>
      </c>
      <c r="O3" s="103" t="s">
        <v>1143</v>
      </c>
      <c r="P3" s="237">
        <v>1</v>
      </c>
      <c r="Q3" s="103"/>
      <c r="R3" s="103">
        <f t="shared" ref="R3:R66" si="0">IF(Q3&lt;&gt;"",1,0)</f>
        <v>0</v>
      </c>
      <c r="S3" s="103"/>
      <c r="T3" s="103">
        <f>IF(S2&lt;&gt;"",1,0)</f>
        <v>0</v>
      </c>
      <c r="U3" s="103">
        <v>1</v>
      </c>
      <c r="V3" s="103">
        <f>IF(U3&lt;&gt;"",1,0)</f>
        <v>1</v>
      </c>
      <c r="W3" s="324"/>
      <c r="X3" s="324">
        <f t="shared" ref="X3:X66" si="1">IF(W3&lt;&gt;"",1,0)</f>
        <v>0</v>
      </c>
      <c r="Y3" s="331" t="s">
        <v>46</v>
      </c>
      <c r="Z3" s="331" t="s">
        <v>51</v>
      </c>
      <c r="AA3" s="103" t="s">
        <v>45</v>
      </c>
      <c r="AB3" s="103"/>
      <c r="AC3" s="103"/>
      <c r="AD3" s="103"/>
      <c r="AE3" s="103" t="s">
        <v>1146</v>
      </c>
      <c r="AF3" s="103"/>
      <c r="AG3" s="101" t="s">
        <v>54</v>
      </c>
    </row>
    <row r="4" spans="1:33" s="106" customFormat="1" ht="30" x14ac:dyDescent="0.15">
      <c r="A4" s="101" t="s">
        <v>43</v>
      </c>
      <c r="B4" s="102">
        <v>260</v>
      </c>
      <c r="C4" s="103" t="s">
        <v>44</v>
      </c>
      <c r="D4" s="103" t="s">
        <v>45</v>
      </c>
      <c r="E4" s="237">
        <v>1</v>
      </c>
      <c r="F4" s="101" t="s">
        <v>46</v>
      </c>
      <c r="G4" s="101" t="s">
        <v>55</v>
      </c>
      <c r="H4" s="104">
        <v>44124.712500000001</v>
      </c>
      <c r="I4" s="101" t="s">
        <v>48</v>
      </c>
      <c r="J4" s="101">
        <v>10</v>
      </c>
      <c r="K4" s="105">
        <v>3.1</v>
      </c>
      <c r="L4" s="103"/>
      <c r="M4" s="103" t="s">
        <v>52</v>
      </c>
      <c r="N4" s="103" t="s">
        <v>1143</v>
      </c>
      <c r="O4" s="103" t="s">
        <v>1143</v>
      </c>
      <c r="P4" s="237">
        <v>1</v>
      </c>
      <c r="Q4" s="103"/>
      <c r="R4" s="103">
        <f t="shared" si="0"/>
        <v>0</v>
      </c>
      <c r="S4" s="103"/>
      <c r="T4" s="103">
        <f t="shared" ref="T4:T67" si="2">IF(S3&lt;&gt;"",1,0)</f>
        <v>0</v>
      </c>
      <c r="U4" s="103">
        <v>1</v>
      </c>
      <c r="V4" s="103">
        <f t="shared" ref="V4:V66" si="3">IF(U4&lt;&gt;"",1,0)</f>
        <v>1</v>
      </c>
      <c r="W4" s="324"/>
      <c r="X4" s="324">
        <f t="shared" si="1"/>
        <v>0</v>
      </c>
      <c r="Y4" s="331" t="s">
        <v>46</v>
      </c>
      <c r="Z4" s="331" t="s">
        <v>55</v>
      </c>
      <c r="AA4" s="103" t="s">
        <v>45</v>
      </c>
      <c r="AB4" s="103"/>
      <c r="AC4" s="103"/>
      <c r="AD4" s="103"/>
      <c r="AE4" s="103"/>
      <c r="AF4" s="103"/>
      <c r="AG4" s="101" t="s">
        <v>54</v>
      </c>
    </row>
    <row r="5" spans="1:33" s="106" customFormat="1" ht="15" x14ac:dyDescent="0.15">
      <c r="A5" s="101" t="s">
        <v>43</v>
      </c>
      <c r="B5" s="102">
        <v>260</v>
      </c>
      <c r="C5" s="103" t="s">
        <v>44</v>
      </c>
      <c r="D5" s="103" t="s">
        <v>45</v>
      </c>
      <c r="E5" s="237">
        <v>1</v>
      </c>
      <c r="F5" s="101" t="s">
        <v>56</v>
      </c>
      <c r="G5" s="107" t="s">
        <v>57</v>
      </c>
      <c r="H5" s="104">
        <v>44131.748611111114</v>
      </c>
      <c r="I5" s="101" t="s">
        <v>48</v>
      </c>
      <c r="J5" s="101">
        <v>10</v>
      </c>
      <c r="K5" s="105">
        <v>3.1</v>
      </c>
      <c r="L5" s="103"/>
      <c r="M5" s="103" t="s">
        <v>52</v>
      </c>
      <c r="N5" s="103" t="s">
        <v>1143</v>
      </c>
      <c r="O5" s="103" t="s">
        <v>1143</v>
      </c>
      <c r="P5" s="237">
        <v>1</v>
      </c>
      <c r="Q5" s="103"/>
      <c r="R5" s="103">
        <f t="shared" si="0"/>
        <v>0</v>
      </c>
      <c r="S5" s="103"/>
      <c r="T5" s="103">
        <f t="shared" si="2"/>
        <v>0</v>
      </c>
      <c r="U5" s="103">
        <v>1</v>
      </c>
      <c r="V5" s="103">
        <f t="shared" si="3"/>
        <v>1</v>
      </c>
      <c r="W5" s="324" t="s">
        <v>58</v>
      </c>
      <c r="X5" s="324">
        <f t="shared" si="1"/>
        <v>1</v>
      </c>
      <c r="Y5" s="331" t="s">
        <v>56</v>
      </c>
      <c r="Z5" s="339" t="s">
        <v>57</v>
      </c>
      <c r="AA5" s="103" t="s">
        <v>45</v>
      </c>
      <c r="AB5" s="103"/>
      <c r="AC5" s="103"/>
      <c r="AD5" s="103"/>
      <c r="AE5" s="103"/>
      <c r="AF5" s="103"/>
      <c r="AG5" s="101" t="s">
        <v>59</v>
      </c>
    </row>
    <row r="6" spans="1:33" s="106" customFormat="1" ht="15" x14ac:dyDescent="0.15">
      <c r="A6" s="101" t="s">
        <v>43</v>
      </c>
      <c r="B6" s="102">
        <v>260</v>
      </c>
      <c r="C6" s="103" t="s">
        <v>44</v>
      </c>
      <c r="D6" s="103" t="s">
        <v>45</v>
      </c>
      <c r="E6" s="237">
        <v>1</v>
      </c>
      <c r="F6" s="101" t="s">
        <v>56</v>
      </c>
      <c r="G6" s="107" t="s">
        <v>60</v>
      </c>
      <c r="H6" s="104">
        <v>44131.748611111114</v>
      </c>
      <c r="I6" s="101" t="s">
        <v>48</v>
      </c>
      <c r="J6" s="101">
        <v>10</v>
      </c>
      <c r="K6" s="105">
        <v>3.1</v>
      </c>
      <c r="L6" s="103"/>
      <c r="M6" s="103" t="s">
        <v>52</v>
      </c>
      <c r="N6" s="103" t="s">
        <v>1143</v>
      </c>
      <c r="O6" s="103" t="s">
        <v>1143</v>
      </c>
      <c r="P6" s="237">
        <v>1</v>
      </c>
      <c r="Q6" s="103"/>
      <c r="R6" s="103">
        <f t="shared" si="0"/>
        <v>0</v>
      </c>
      <c r="S6" s="103"/>
      <c r="T6" s="103">
        <f t="shared" si="2"/>
        <v>0</v>
      </c>
      <c r="U6" s="103">
        <v>1</v>
      </c>
      <c r="V6" s="103">
        <f t="shared" si="3"/>
        <v>1</v>
      </c>
      <c r="W6" s="324" t="s">
        <v>58</v>
      </c>
      <c r="X6" s="324">
        <f t="shared" si="1"/>
        <v>1</v>
      </c>
      <c r="Y6" s="331" t="s">
        <v>56</v>
      </c>
      <c r="Z6" s="339" t="s">
        <v>60</v>
      </c>
      <c r="AA6" s="103" t="s">
        <v>45</v>
      </c>
      <c r="AB6" s="103"/>
      <c r="AC6" s="103"/>
      <c r="AD6" s="103"/>
      <c r="AE6" s="103"/>
      <c r="AF6" s="103"/>
      <c r="AG6" s="101" t="s">
        <v>54</v>
      </c>
    </row>
    <row r="7" spans="1:33" s="106" customFormat="1" ht="15" x14ac:dyDescent="0.15">
      <c r="A7" s="101" t="s">
        <v>43</v>
      </c>
      <c r="B7" s="102">
        <v>260</v>
      </c>
      <c r="C7" s="103" t="s">
        <v>44</v>
      </c>
      <c r="D7" s="103" t="s">
        <v>45</v>
      </c>
      <c r="E7" s="237">
        <v>1</v>
      </c>
      <c r="F7" s="101" t="s">
        <v>61</v>
      </c>
      <c r="G7" s="101" t="s">
        <v>62</v>
      </c>
      <c r="H7" s="104">
        <v>44132.849305555559</v>
      </c>
      <c r="I7" s="101" t="s">
        <v>48</v>
      </c>
      <c r="J7" s="101">
        <v>9</v>
      </c>
      <c r="K7" s="105">
        <v>3.1</v>
      </c>
      <c r="L7" s="103"/>
      <c r="M7" s="103" t="s">
        <v>52</v>
      </c>
      <c r="N7" s="103" t="s">
        <v>1143</v>
      </c>
      <c r="O7" s="103" t="s">
        <v>1143</v>
      </c>
      <c r="P7" s="237">
        <v>1</v>
      </c>
      <c r="Q7" s="103"/>
      <c r="R7" s="103">
        <f t="shared" si="0"/>
        <v>0</v>
      </c>
      <c r="S7" s="103"/>
      <c r="T7" s="103">
        <f t="shared" si="2"/>
        <v>0</v>
      </c>
      <c r="U7" s="103">
        <v>1</v>
      </c>
      <c r="V7" s="103">
        <f t="shared" si="3"/>
        <v>1</v>
      </c>
      <c r="W7" s="324"/>
      <c r="X7" s="324">
        <f t="shared" si="1"/>
        <v>0</v>
      </c>
      <c r="Y7" s="331" t="s">
        <v>61</v>
      </c>
      <c r="Z7" s="331" t="s">
        <v>62</v>
      </c>
      <c r="AA7" s="103" t="s">
        <v>45</v>
      </c>
      <c r="AB7" s="103"/>
      <c r="AC7" s="103"/>
      <c r="AD7" s="103"/>
      <c r="AE7" s="103"/>
      <c r="AF7" s="103"/>
      <c r="AG7" s="101" t="s">
        <v>63</v>
      </c>
    </row>
    <row r="8" spans="1:33" s="106" customFormat="1" ht="15" x14ac:dyDescent="0.15">
      <c r="A8" s="101" t="s">
        <v>43</v>
      </c>
      <c r="B8" s="102">
        <v>260</v>
      </c>
      <c r="C8" s="103" t="s">
        <v>44</v>
      </c>
      <c r="D8" s="103" t="s">
        <v>45</v>
      </c>
      <c r="E8" s="237">
        <v>1</v>
      </c>
      <c r="F8" s="101" t="s">
        <v>61</v>
      </c>
      <c r="G8" s="101" t="s">
        <v>64</v>
      </c>
      <c r="H8" s="104">
        <v>44132.849305555559</v>
      </c>
      <c r="I8" s="101" t="s">
        <v>48</v>
      </c>
      <c r="J8" s="101">
        <v>9</v>
      </c>
      <c r="K8" s="105">
        <v>3.1</v>
      </c>
      <c r="L8" s="103"/>
      <c r="M8" s="103" t="s">
        <v>52</v>
      </c>
      <c r="N8" s="103" t="s">
        <v>1143</v>
      </c>
      <c r="O8" s="103" t="s">
        <v>1143</v>
      </c>
      <c r="P8" s="237">
        <v>1</v>
      </c>
      <c r="Q8" s="103"/>
      <c r="R8" s="103">
        <f t="shared" si="0"/>
        <v>0</v>
      </c>
      <c r="S8" s="103"/>
      <c r="T8" s="103">
        <f t="shared" si="2"/>
        <v>0</v>
      </c>
      <c r="U8" s="103">
        <v>1</v>
      </c>
      <c r="V8" s="103">
        <f t="shared" si="3"/>
        <v>1</v>
      </c>
      <c r="W8" s="324"/>
      <c r="X8" s="324">
        <f t="shared" si="1"/>
        <v>0</v>
      </c>
      <c r="Y8" s="331" t="s">
        <v>61</v>
      </c>
      <c r="Z8" s="331" t="s">
        <v>64</v>
      </c>
      <c r="AA8" s="103" t="s">
        <v>45</v>
      </c>
      <c r="AB8" s="103"/>
      <c r="AC8" s="103"/>
      <c r="AD8" s="103"/>
      <c r="AE8" s="103"/>
      <c r="AF8" s="103"/>
      <c r="AG8" s="101" t="s">
        <v>54</v>
      </c>
    </row>
    <row r="9" spans="1:33" s="106" customFormat="1" ht="30" x14ac:dyDescent="0.15">
      <c r="A9" s="101" t="s">
        <v>43</v>
      </c>
      <c r="B9" s="102">
        <v>260</v>
      </c>
      <c r="C9" s="103" t="s">
        <v>44</v>
      </c>
      <c r="D9" s="103" t="s">
        <v>45</v>
      </c>
      <c r="E9" s="237">
        <v>1</v>
      </c>
      <c r="F9" s="101" t="s">
        <v>61</v>
      </c>
      <c r="G9" s="101" t="s">
        <v>65</v>
      </c>
      <c r="H9" s="104">
        <v>44132.849305555559</v>
      </c>
      <c r="I9" s="101" t="s">
        <v>48</v>
      </c>
      <c r="J9" s="101">
        <v>9</v>
      </c>
      <c r="K9" s="105">
        <v>3.1</v>
      </c>
      <c r="L9" s="103"/>
      <c r="M9" s="103" t="s">
        <v>52</v>
      </c>
      <c r="N9" s="103" t="s">
        <v>1143</v>
      </c>
      <c r="O9" s="103" t="s">
        <v>1143</v>
      </c>
      <c r="P9" s="237">
        <v>1</v>
      </c>
      <c r="Q9" s="103"/>
      <c r="R9" s="103">
        <f t="shared" si="0"/>
        <v>0</v>
      </c>
      <c r="S9" s="103"/>
      <c r="T9" s="103">
        <f t="shared" si="2"/>
        <v>0</v>
      </c>
      <c r="U9" s="103">
        <v>1</v>
      </c>
      <c r="V9" s="103">
        <f t="shared" si="3"/>
        <v>1</v>
      </c>
      <c r="W9" s="324"/>
      <c r="X9" s="324">
        <f t="shared" si="1"/>
        <v>0</v>
      </c>
      <c r="Y9" s="331" t="s">
        <v>61</v>
      </c>
      <c r="Z9" s="331" t="s">
        <v>65</v>
      </c>
      <c r="AA9" s="103" t="s">
        <v>45</v>
      </c>
      <c r="AB9" s="103"/>
      <c r="AC9" s="103"/>
      <c r="AD9" s="103"/>
      <c r="AE9" s="103" t="s">
        <v>1147</v>
      </c>
      <c r="AF9" s="103"/>
      <c r="AG9" s="101" t="s">
        <v>54</v>
      </c>
    </row>
    <row r="10" spans="1:33" s="106" customFormat="1" ht="15" x14ac:dyDescent="0.15">
      <c r="A10" s="101" t="s">
        <v>43</v>
      </c>
      <c r="B10" s="102">
        <v>260</v>
      </c>
      <c r="C10" s="103" t="s">
        <v>44</v>
      </c>
      <c r="D10" s="103" t="s">
        <v>45</v>
      </c>
      <c r="E10" s="237">
        <v>1</v>
      </c>
      <c r="F10" s="101" t="s">
        <v>56</v>
      </c>
      <c r="G10" s="108" t="s">
        <v>67</v>
      </c>
      <c r="H10" s="104">
        <v>44146.540972222225</v>
      </c>
      <c r="I10" s="101" t="s">
        <v>48</v>
      </c>
      <c r="J10" s="101">
        <v>8</v>
      </c>
      <c r="K10" s="105">
        <v>3.1</v>
      </c>
      <c r="L10" s="103"/>
      <c r="M10" s="103" t="s">
        <v>68</v>
      </c>
      <c r="N10" s="103" t="s">
        <v>68</v>
      </c>
      <c r="O10" s="103" t="s">
        <v>1163</v>
      </c>
      <c r="P10" s="237">
        <v>1</v>
      </c>
      <c r="Q10" s="103"/>
      <c r="R10" s="103">
        <f t="shared" si="0"/>
        <v>0</v>
      </c>
      <c r="S10" s="103"/>
      <c r="T10" s="103">
        <f t="shared" si="2"/>
        <v>0</v>
      </c>
      <c r="U10" s="103"/>
      <c r="V10" s="103">
        <f t="shared" si="3"/>
        <v>0</v>
      </c>
      <c r="W10" s="324"/>
      <c r="X10" s="324">
        <f t="shared" si="1"/>
        <v>0</v>
      </c>
      <c r="Y10" s="331" t="s">
        <v>56</v>
      </c>
      <c r="Z10" s="334" t="s">
        <v>67</v>
      </c>
      <c r="AA10" s="103" t="s">
        <v>45</v>
      </c>
      <c r="AB10" s="103"/>
      <c r="AC10" s="103"/>
      <c r="AD10" s="103"/>
      <c r="AE10" s="103" t="s">
        <v>1146</v>
      </c>
      <c r="AF10" s="103"/>
      <c r="AG10" s="101" t="s">
        <v>69</v>
      </c>
    </row>
    <row r="11" spans="1:33" ht="45" x14ac:dyDescent="0.15">
      <c r="A11" s="66" t="s">
        <v>43</v>
      </c>
      <c r="B11" s="80">
        <v>260</v>
      </c>
      <c r="C11" s="68" t="s">
        <v>44</v>
      </c>
      <c r="D11" s="68" t="s">
        <v>70</v>
      </c>
      <c r="E11" s="237">
        <v>1</v>
      </c>
      <c r="F11" s="66" t="s">
        <v>71</v>
      </c>
      <c r="G11" s="110" t="s">
        <v>72</v>
      </c>
      <c r="H11" s="69">
        <v>44124.39166666667</v>
      </c>
      <c r="I11" s="66" t="s">
        <v>48</v>
      </c>
      <c r="J11" s="66">
        <v>10</v>
      </c>
      <c r="K11" s="98">
        <v>3.2</v>
      </c>
      <c r="M11" s="68" t="s">
        <v>52</v>
      </c>
      <c r="N11" s="68" t="s">
        <v>1143</v>
      </c>
      <c r="O11" s="68" t="s">
        <v>1143</v>
      </c>
      <c r="P11" s="237">
        <v>1</v>
      </c>
      <c r="R11" s="103">
        <f t="shared" si="0"/>
        <v>0</v>
      </c>
      <c r="T11" s="103">
        <f t="shared" si="2"/>
        <v>0</v>
      </c>
      <c r="U11" s="68">
        <v>1</v>
      </c>
      <c r="V11" s="103">
        <f t="shared" si="3"/>
        <v>1</v>
      </c>
      <c r="X11" s="324">
        <f t="shared" si="1"/>
        <v>0</v>
      </c>
      <c r="Y11" s="332" t="s">
        <v>71</v>
      </c>
      <c r="Z11" s="333" t="s">
        <v>72</v>
      </c>
      <c r="AA11" s="68" t="s">
        <v>70</v>
      </c>
      <c r="AG11" s="66" t="s">
        <v>54</v>
      </c>
    </row>
    <row r="12" spans="1:33" ht="30" x14ac:dyDescent="0.15">
      <c r="A12" s="66" t="s">
        <v>43</v>
      </c>
      <c r="B12" s="80">
        <v>260</v>
      </c>
      <c r="C12" s="68" t="s">
        <v>44</v>
      </c>
      <c r="D12" s="68" t="s">
        <v>70</v>
      </c>
      <c r="E12" s="237">
        <v>1</v>
      </c>
      <c r="F12" s="66" t="s">
        <v>71</v>
      </c>
      <c r="G12" s="110" t="s">
        <v>73</v>
      </c>
      <c r="H12" s="69">
        <v>44124.39166666667</v>
      </c>
      <c r="I12" s="66" t="s">
        <v>48</v>
      </c>
      <c r="J12" s="66">
        <v>10</v>
      </c>
      <c r="K12" s="98">
        <v>3.2</v>
      </c>
      <c r="M12" s="68" t="s">
        <v>52</v>
      </c>
      <c r="N12" s="68" t="s">
        <v>1143</v>
      </c>
      <c r="O12" s="68" t="s">
        <v>1143</v>
      </c>
      <c r="P12" s="237">
        <v>1</v>
      </c>
      <c r="R12" s="103">
        <f t="shared" si="0"/>
        <v>0</v>
      </c>
      <c r="T12" s="103">
        <f t="shared" si="2"/>
        <v>0</v>
      </c>
      <c r="U12" s="68">
        <v>1</v>
      </c>
      <c r="V12" s="103">
        <f t="shared" si="3"/>
        <v>1</v>
      </c>
      <c r="X12" s="324">
        <f t="shared" si="1"/>
        <v>0</v>
      </c>
      <c r="Y12" s="332" t="s">
        <v>71</v>
      </c>
      <c r="Z12" s="333" t="s">
        <v>73</v>
      </c>
      <c r="AA12" s="68" t="s">
        <v>70</v>
      </c>
      <c r="AC12" s="68" t="s">
        <v>74</v>
      </c>
      <c r="AG12" s="66" t="s">
        <v>54</v>
      </c>
    </row>
    <row r="13" spans="1:33" ht="45" x14ac:dyDescent="0.15">
      <c r="A13" s="66" t="s">
        <v>43</v>
      </c>
      <c r="B13" s="80">
        <v>260</v>
      </c>
      <c r="C13" s="68" t="s">
        <v>44</v>
      </c>
      <c r="D13" s="68" t="s">
        <v>70</v>
      </c>
      <c r="E13" s="237">
        <v>1</v>
      </c>
      <c r="F13" s="66" t="s">
        <v>71</v>
      </c>
      <c r="G13" s="110" t="s">
        <v>75</v>
      </c>
      <c r="H13" s="69">
        <v>44124.39166666667</v>
      </c>
      <c r="I13" s="66" t="s">
        <v>48</v>
      </c>
      <c r="J13" s="66">
        <v>10</v>
      </c>
      <c r="K13" s="98">
        <v>3.2</v>
      </c>
      <c r="M13" s="68" t="s">
        <v>52</v>
      </c>
      <c r="N13" s="68" t="s">
        <v>1143</v>
      </c>
      <c r="O13" s="68" t="s">
        <v>1143</v>
      </c>
      <c r="P13" s="237">
        <v>1</v>
      </c>
      <c r="R13" s="103">
        <f t="shared" si="0"/>
        <v>0</v>
      </c>
      <c r="T13" s="103">
        <f t="shared" si="2"/>
        <v>0</v>
      </c>
      <c r="U13" s="68">
        <v>1</v>
      </c>
      <c r="V13" s="103">
        <f t="shared" si="3"/>
        <v>1</v>
      </c>
      <c r="X13" s="324">
        <f t="shared" si="1"/>
        <v>0</v>
      </c>
      <c r="Y13" s="332" t="s">
        <v>71</v>
      </c>
      <c r="Z13" s="333" t="s">
        <v>75</v>
      </c>
      <c r="AA13" s="68" t="s">
        <v>70</v>
      </c>
      <c r="AG13" s="66" t="s">
        <v>54</v>
      </c>
    </row>
    <row r="14" spans="1:33" ht="30" x14ac:dyDescent="0.15">
      <c r="A14" s="66" t="s">
        <v>43</v>
      </c>
      <c r="B14" s="80">
        <v>260</v>
      </c>
      <c r="C14" s="68" t="s">
        <v>44</v>
      </c>
      <c r="D14" s="68" t="s">
        <v>70</v>
      </c>
      <c r="E14" s="237">
        <v>1</v>
      </c>
      <c r="F14" s="66" t="s">
        <v>71</v>
      </c>
      <c r="G14" s="110" t="s">
        <v>76</v>
      </c>
      <c r="H14" s="69">
        <v>44124.39166666667</v>
      </c>
      <c r="I14" s="66" t="s">
        <v>48</v>
      </c>
      <c r="J14" s="66">
        <v>10</v>
      </c>
      <c r="K14" s="98">
        <v>3.2</v>
      </c>
      <c r="M14" s="68" t="s">
        <v>52</v>
      </c>
      <c r="N14" s="68" t="s">
        <v>1143</v>
      </c>
      <c r="O14" s="68" t="s">
        <v>1143</v>
      </c>
      <c r="P14" s="237">
        <v>1</v>
      </c>
      <c r="R14" s="103">
        <f t="shared" si="0"/>
        <v>0</v>
      </c>
      <c r="T14" s="103">
        <f t="shared" si="2"/>
        <v>0</v>
      </c>
      <c r="U14" s="68">
        <v>1</v>
      </c>
      <c r="V14" s="103">
        <f t="shared" si="3"/>
        <v>1</v>
      </c>
      <c r="X14" s="324">
        <f t="shared" si="1"/>
        <v>0</v>
      </c>
      <c r="Y14" s="332" t="s">
        <v>71</v>
      </c>
      <c r="Z14" s="333" t="s">
        <v>76</v>
      </c>
      <c r="AA14" s="68" t="s">
        <v>70</v>
      </c>
      <c r="AG14" s="66" t="s">
        <v>54</v>
      </c>
    </row>
    <row r="15" spans="1:33" ht="15" x14ac:dyDescent="0.15">
      <c r="A15" s="66" t="s">
        <v>43</v>
      </c>
      <c r="B15" s="80">
        <v>260</v>
      </c>
      <c r="C15" s="68" t="s">
        <v>44</v>
      </c>
      <c r="D15" s="68" t="s">
        <v>70</v>
      </c>
      <c r="E15" s="237">
        <v>1</v>
      </c>
      <c r="F15" s="66" t="s">
        <v>71</v>
      </c>
      <c r="G15" s="110" t="s">
        <v>77</v>
      </c>
      <c r="H15" s="69">
        <v>44124.39166666667</v>
      </c>
      <c r="I15" s="66" t="s">
        <v>48</v>
      </c>
      <c r="J15" s="66">
        <v>10</v>
      </c>
      <c r="K15" s="98">
        <v>3.2</v>
      </c>
      <c r="M15" s="68" t="s">
        <v>1162</v>
      </c>
      <c r="N15" s="68" t="s">
        <v>1162</v>
      </c>
      <c r="O15" s="68" t="s">
        <v>1162</v>
      </c>
      <c r="P15" s="237">
        <v>1</v>
      </c>
      <c r="R15" s="103">
        <f t="shared" si="0"/>
        <v>0</v>
      </c>
      <c r="T15" s="103">
        <f t="shared" si="2"/>
        <v>0</v>
      </c>
      <c r="U15" s="68">
        <v>1</v>
      </c>
      <c r="V15" s="103">
        <f t="shared" si="3"/>
        <v>1</v>
      </c>
      <c r="X15" s="324">
        <f t="shared" si="1"/>
        <v>0</v>
      </c>
      <c r="Y15" s="332" t="s">
        <v>71</v>
      </c>
      <c r="Z15" s="333" t="s">
        <v>77</v>
      </c>
      <c r="AA15" s="68" t="s">
        <v>70</v>
      </c>
      <c r="AG15" s="66" t="s">
        <v>78</v>
      </c>
    </row>
    <row r="16" spans="1:33" ht="30" x14ac:dyDescent="0.15">
      <c r="A16" s="66" t="s">
        <v>43</v>
      </c>
      <c r="B16" s="80">
        <v>260</v>
      </c>
      <c r="C16" s="68" t="s">
        <v>44</v>
      </c>
      <c r="D16" s="68" t="s">
        <v>70</v>
      </c>
      <c r="E16" s="237">
        <v>1</v>
      </c>
      <c r="F16" s="66" t="s">
        <v>71</v>
      </c>
      <c r="G16" s="110" t="s">
        <v>79</v>
      </c>
      <c r="H16" s="69">
        <v>44124.392361111109</v>
      </c>
      <c r="I16" s="66" t="s">
        <v>48</v>
      </c>
      <c r="J16" s="66">
        <v>10</v>
      </c>
      <c r="K16" s="98">
        <v>3.2</v>
      </c>
      <c r="M16" s="68" t="s">
        <v>52</v>
      </c>
      <c r="N16" s="68" t="s">
        <v>1143</v>
      </c>
      <c r="O16" s="68" t="s">
        <v>1143</v>
      </c>
      <c r="P16" s="237">
        <v>1</v>
      </c>
      <c r="R16" s="103">
        <f t="shared" si="0"/>
        <v>0</v>
      </c>
      <c r="T16" s="103">
        <f t="shared" si="2"/>
        <v>0</v>
      </c>
      <c r="U16" s="68">
        <v>1</v>
      </c>
      <c r="V16" s="103">
        <f t="shared" si="3"/>
        <v>1</v>
      </c>
      <c r="X16" s="324">
        <f t="shared" si="1"/>
        <v>0</v>
      </c>
      <c r="Y16" s="332" t="s">
        <v>71</v>
      </c>
      <c r="Z16" s="333" t="s">
        <v>79</v>
      </c>
      <c r="AA16" s="68" t="s">
        <v>70</v>
      </c>
      <c r="AG16" s="66" t="s">
        <v>54</v>
      </c>
    </row>
    <row r="17" spans="1:33" ht="15" x14ac:dyDescent="0.15">
      <c r="A17" s="66" t="s">
        <v>43</v>
      </c>
      <c r="B17" s="80">
        <v>260</v>
      </c>
      <c r="C17" s="68" t="s">
        <v>44</v>
      </c>
      <c r="D17" s="68" t="s">
        <v>70</v>
      </c>
      <c r="E17" s="237">
        <v>1</v>
      </c>
      <c r="F17" s="66" t="s">
        <v>71</v>
      </c>
      <c r="G17" s="110" t="s">
        <v>80</v>
      </c>
      <c r="H17" s="69">
        <v>44124.392361111109</v>
      </c>
      <c r="I17" s="66" t="s">
        <v>48</v>
      </c>
      <c r="J17" s="66">
        <v>10</v>
      </c>
      <c r="K17" s="98">
        <v>3.2</v>
      </c>
      <c r="M17" s="68" t="s">
        <v>52</v>
      </c>
      <c r="N17" s="68" t="s">
        <v>1143</v>
      </c>
      <c r="O17" s="68" t="s">
        <v>1143</v>
      </c>
      <c r="P17" s="237">
        <v>1</v>
      </c>
      <c r="R17" s="103">
        <f t="shared" si="0"/>
        <v>0</v>
      </c>
      <c r="T17" s="103">
        <f t="shared" si="2"/>
        <v>0</v>
      </c>
      <c r="U17" s="68">
        <v>1</v>
      </c>
      <c r="V17" s="103">
        <f t="shared" si="3"/>
        <v>1</v>
      </c>
      <c r="X17" s="324">
        <f t="shared" si="1"/>
        <v>0</v>
      </c>
      <c r="Y17" s="332" t="s">
        <v>71</v>
      </c>
      <c r="Z17" s="333" t="s">
        <v>80</v>
      </c>
      <c r="AA17" s="68" t="s">
        <v>70</v>
      </c>
      <c r="AG17" s="66" t="s">
        <v>54</v>
      </c>
    </row>
    <row r="18" spans="1:33" ht="15" x14ac:dyDescent="0.15">
      <c r="A18" s="66" t="s">
        <v>43</v>
      </c>
      <c r="B18" s="80">
        <v>260</v>
      </c>
      <c r="C18" s="68" t="s">
        <v>44</v>
      </c>
      <c r="D18" s="68" t="s">
        <v>70</v>
      </c>
      <c r="E18" s="237">
        <v>1</v>
      </c>
      <c r="F18" s="66" t="s">
        <v>71</v>
      </c>
      <c r="G18" s="110" t="s">
        <v>81</v>
      </c>
      <c r="H18" s="69">
        <v>44124.392361111109</v>
      </c>
      <c r="I18" s="66" t="s">
        <v>48</v>
      </c>
      <c r="J18" s="66">
        <v>10</v>
      </c>
      <c r="K18" s="98">
        <v>3.2</v>
      </c>
      <c r="M18" s="68" t="s">
        <v>52</v>
      </c>
      <c r="N18" s="68" t="s">
        <v>1143</v>
      </c>
      <c r="O18" s="68" t="s">
        <v>1143</v>
      </c>
      <c r="P18" s="237">
        <v>1</v>
      </c>
      <c r="R18" s="103">
        <f t="shared" si="0"/>
        <v>0</v>
      </c>
      <c r="T18" s="103">
        <f t="shared" si="2"/>
        <v>0</v>
      </c>
      <c r="U18" s="68">
        <v>1</v>
      </c>
      <c r="V18" s="103">
        <f t="shared" si="3"/>
        <v>1</v>
      </c>
      <c r="X18" s="324">
        <f t="shared" si="1"/>
        <v>0</v>
      </c>
      <c r="Y18" s="332" t="s">
        <v>71</v>
      </c>
      <c r="Z18" s="333" t="s">
        <v>81</v>
      </c>
      <c r="AA18" s="68" t="s">
        <v>70</v>
      </c>
      <c r="AG18" s="66" t="s">
        <v>54</v>
      </c>
    </row>
    <row r="19" spans="1:33" ht="30" x14ac:dyDescent="0.15">
      <c r="A19" s="66" t="s">
        <v>43</v>
      </c>
      <c r="B19" s="80">
        <v>260</v>
      </c>
      <c r="C19" s="68" t="s">
        <v>44</v>
      </c>
      <c r="D19" s="68" t="s">
        <v>70</v>
      </c>
      <c r="E19" s="237">
        <v>1</v>
      </c>
      <c r="F19" s="66" t="s">
        <v>71</v>
      </c>
      <c r="G19" s="110" t="s">
        <v>82</v>
      </c>
      <c r="H19" s="69">
        <v>44124.392361111109</v>
      </c>
      <c r="I19" s="66" t="s">
        <v>48</v>
      </c>
      <c r="J19" s="66">
        <v>10</v>
      </c>
      <c r="K19" s="98">
        <v>3.2</v>
      </c>
      <c r="M19" s="68" t="s">
        <v>52</v>
      </c>
      <c r="N19" s="68" t="s">
        <v>1143</v>
      </c>
      <c r="O19" s="68" t="s">
        <v>1143</v>
      </c>
      <c r="P19" s="237">
        <v>1</v>
      </c>
      <c r="R19" s="103">
        <f t="shared" si="0"/>
        <v>0</v>
      </c>
      <c r="T19" s="103">
        <f t="shared" si="2"/>
        <v>0</v>
      </c>
      <c r="U19" s="68">
        <v>1</v>
      </c>
      <c r="V19" s="103">
        <f t="shared" si="3"/>
        <v>1</v>
      </c>
      <c r="X19" s="324">
        <f t="shared" si="1"/>
        <v>0</v>
      </c>
      <c r="Y19" s="332" t="s">
        <v>71</v>
      </c>
      <c r="Z19" s="333" t="s">
        <v>82</v>
      </c>
      <c r="AA19" s="68" t="s">
        <v>70</v>
      </c>
      <c r="AG19" s="66" t="s">
        <v>54</v>
      </c>
    </row>
    <row r="20" spans="1:33" ht="30" x14ac:dyDescent="0.15">
      <c r="A20" s="66" t="s">
        <v>43</v>
      </c>
      <c r="B20" s="80">
        <v>260</v>
      </c>
      <c r="C20" s="68" t="s">
        <v>44</v>
      </c>
      <c r="D20" s="68" t="s">
        <v>70</v>
      </c>
      <c r="E20" s="237">
        <v>1</v>
      </c>
      <c r="F20" s="66" t="s">
        <v>71</v>
      </c>
      <c r="G20" s="110" t="s">
        <v>83</v>
      </c>
      <c r="H20" s="69">
        <v>44124.392361111109</v>
      </c>
      <c r="I20" s="66" t="s">
        <v>48</v>
      </c>
      <c r="J20" s="66">
        <v>10</v>
      </c>
      <c r="K20" s="98">
        <v>3.2</v>
      </c>
      <c r="M20" s="68" t="s">
        <v>52</v>
      </c>
      <c r="N20" s="68" t="s">
        <v>1143</v>
      </c>
      <c r="O20" s="68" t="s">
        <v>1143</v>
      </c>
      <c r="P20" s="237">
        <v>1</v>
      </c>
      <c r="R20" s="103">
        <f t="shared" si="0"/>
        <v>0</v>
      </c>
      <c r="T20" s="103">
        <f t="shared" si="2"/>
        <v>0</v>
      </c>
      <c r="U20" s="68">
        <v>1</v>
      </c>
      <c r="V20" s="103">
        <f t="shared" si="3"/>
        <v>1</v>
      </c>
      <c r="X20" s="324">
        <f t="shared" si="1"/>
        <v>0</v>
      </c>
      <c r="Y20" s="332" t="s">
        <v>71</v>
      </c>
      <c r="Z20" s="333" t="s">
        <v>83</v>
      </c>
      <c r="AA20" s="68" t="s">
        <v>70</v>
      </c>
      <c r="AG20" s="66" t="s">
        <v>54</v>
      </c>
    </row>
    <row r="21" spans="1:33" ht="15" x14ac:dyDescent="0.15">
      <c r="A21" s="66" t="s">
        <v>43</v>
      </c>
      <c r="B21" s="80">
        <v>260</v>
      </c>
      <c r="C21" s="68" t="s">
        <v>44</v>
      </c>
      <c r="D21" s="68" t="s">
        <v>70</v>
      </c>
      <c r="E21" s="237">
        <v>1</v>
      </c>
      <c r="F21" s="66" t="s">
        <v>71</v>
      </c>
      <c r="G21" s="110" t="s">
        <v>84</v>
      </c>
      <c r="H21" s="69">
        <v>44124.392361111109</v>
      </c>
      <c r="I21" s="66" t="s">
        <v>48</v>
      </c>
      <c r="J21" s="66">
        <v>10</v>
      </c>
      <c r="K21" s="98">
        <v>3.2</v>
      </c>
      <c r="M21" s="68" t="s">
        <v>52</v>
      </c>
      <c r="N21" s="68" t="s">
        <v>1143</v>
      </c>
      <c r="O21" s="68" t="s">
        <v>1143</v>
      </c>
      <c r="P21" s="237">
        <v>1</v>
      </c>
      <c r="R21" s="103">
        <f t="shared" si="0"/>
        <v>0</v>
      </c>
      <c r="T21" s="103">
        <f t="shared" si="2"/>
        <v>0</v>
      </c>
      <c r="U21" s="68">
        <v>1</v>
      </c>
      <c r="V21" s="103">
        <f t="shared" si="3"/>
        <v>1</v>
      </c>
      <c r="X21" s="324">
        <f t="shared" si="1"/>
        <v>0</v>
      </c>
      <c r="Y21" s="332" t="s">
        <v>71</v>
      </c>
      <c r="Z21" s="333" t="s">
        <v>84</v>
      </c>
      <c r="AA21" s="68" t="s">
        <v>70</v>
      </c>
      <c r="AG21" s="66" t="s">
        <v>54</v>
      </c>
    </row>
    <row r="22" spans="1:33" ht="45" x14ac:dyDescent="0.15">
      <c r="A22" s="66" t="s">
        <v>43</v>
      </c>
      <c r="B22" s="80">
        <v>260</v>
      </c>
      <c r="C22" s="68" t="s">
        <v>44</v>
      </c>
      <c r="D22" s="68" t="s">
        <v>70</v>
      </c>
      <c r="E22" s="237">
        <v>1</v>
      </c>
      <c r="F22" s="66" t="s">
        <v>71</v>
      </c>
      <c r="G22" s="110" t="s">
        <v>85</v>
      </c>
      <c r="H22" s="69">
        <v>44124.392361111109</v>
      </c>
      <c r="I22" s="66" t="s">
        <v>48</v>
      </c>
      <c r="J22" s="66">
        <v>10</v>
      </c>
      <c r="K22" s="98">
        <v>3.2</v>
      </c>
      <c r="M22" s="68" t="s">
        <v>52</v>
      </c>
      <c r="N22" s="68" t="s">
        <v>1143</v>
      </c>
      <c r="O22" s="68" t="s">
        <v>1143</v>
      </c>
      <c r="P22" s="237">
        <v>1</v>
      </c>
      <c r="R22" s="103">
        <f t="shared" si="0"/>
        <v>0</v>
      </c>
      <c r="T22" s="103">
        <f t="shared" si="2"/>
        <v>0</v>
      </c>
      <c r="U22" s="68">
        <v>1</v>
      </c>
      <c r="V22" s="103">
        <f t="shared" si="3"/>
        <v>1</v>
      </c>
      <c r="X22" s="324">
        <f t="shared" si="1"/>
        <v>0</v>
      </c>
      <c r="Y22" s="332" t="s">
        <v>71</v>
      </c>
      <c r="Z22" s="333" t="s">
        <v>85</v>
      </c>
      <c r="AA22" s="68" t="s">
        <v>70</v>
      </c>
      <c r="AG22" s="66" t="s">
        <v>54</v>
      </c>
    </row>
    <row r="23" spans="1:33" ht="15" x14ac:dyDescent="0.15">
      <c r="A23" s="66" t="s">
        <v>43</v>
      </c>
      <c r="B23" s="80">
        <v>260</v>
      </c>
      <c r="C23" s="68" t="s">
        <v>44</v>
      </c>
      <c r="D23" s="68" t="s">
        <v>70</v>
      </c>
      <c r="E23" s="237">
        <v>1</v>
      </c>
      <c r="F23" s="66" t="s">
        <v>71</v>
      </c>
      <c r="G23" s="110" t="s">
        <v>86</v>
      </c>
      <c r="H23" s="69">
        <v>44124.392361111109</v>
      </c>
      <c r="I23" s="66" t="s">
        <v>48</v>
      </c>
      <c r="J23" s="66">
        <v>10</v>
      </c>
      <c r="K23" s="98">
        <v>3.2</v>
      </c>
      <c r="M23" s="68" t="s">
        <v>52</v>
      </c>
      <c r="N23" s="68" t="s">
        <v>1143</v>
      </c>
      <c r="O23" s="68" t="s">
        <v>1143</v>
      </c>
      <c r="P23" s="237">
        <v>1</v>
      </c>
      <c r="R23" s="103">
        <f t="shared" si="0"/>
        <v>0</v>
      </c>
      <c r="T23" s="103">
        <f t="shared" si="2"/>
        <v>0</v>
      </c>
      <c r="U23" s="68">
        <v>1</v>
      </c>
      <c r="V23" s="103">
        <f t="shared" si="3"/>
        <v>1</v>
      </c>
      <c r="X23" s="324">
        <f t="shared" si="1"/>
        <v>0</v>
      </c>
      <c r="Y23" s="332" t="s">
        <v>71</v>
      </c>
      <c r="Z23" s="333" t="s">
        <v>86</v>
      </c>
      <c r="AA23" s="68" t="s">
        <v>70</v>
      </c>
      <c r="AG23" s="66" t="s">
        <v>54</v>
      </c>
    </row>
    <row r="24" spans="1:33" ht="15" x14ac:dyDescent="0.15">
      <c r="A24" s="66" t="s">
        <v>43</v>
      </c>
      <c r="B24" s="80">
        <v>260</v>
      </c>
      <c r="C24" s="68" t="s">
        <v>44</v>
      </c>
      <c r="D24" s="68" t="s">
        <v>70</v>
      </c>
      <c r="E24" s="237">
        <v>1</v>
      </c>
      <c r="F24" s="66" t="s">
        <v>71</v>
      </c>
      <c r="G24" s="110" t="s">
        <v>87</v>
      </c>
      <c r="H24" s="69">
        <v>44124.392361111109</v>
      </c>
      <c r="I24" s="66" t="s">
        <v>48</v>
      </c>
      <c r="J24" s="66">
        <v>10</v>
      </c>
      <c r="K24" s="98">
        <v>3.2</v>
      </c>
      <c r="M24" s="68" t="s">
        <v>52</v>
      </c>
      <c r="N24" s="68" t="s">
        <v>1143</v>
      </c>
      <c r="O24" s="68" t="s">
        <v>1143</v>
      </c>
      <c r="P24" s="237">
        <v>1</v>
      </c>
      <c r="R24" s="103">
        <f t="shared" si="0"/>
        <v>0</v>
      </c>
      <c r="T24" s="103">
        <f t="shared" si="2"/>
        <v>0</v>
      </c>
      <c r="U24" s="68">
        <v>1</v>
      </c>
      <c r="V24" s="103">
        <f t="shared" si="3"/>
        <v>1</v>
      </c>
      <c r="X24" s="324">
        <f t="shared" si="1"/>
        <v>0</v>
      </c>
      <c r="Y24" s="332" t="s">
        <v>71</v>
      </c>
      <c r="Z24" s="333" t="s">
        <v>87</v>
      </c>
      <c r="AA24" s="68" t="s">
        <v>70</v>
      </c>
      <c r="AG24" s="66" t="s">
        <v>78</v>
      </c>
    </row>
    <row r="25" spans="1:33" ht="30" x14ac:dyDescent="0.15">
      <c r="A25" s="66" t="s">
        <v>43</v>
      </c>
      <c r="B25" s="80">
        <v>260</v>
      </c>
      <c r="C25" s="68" t="s">
        <v>44</v>
      </c>
      <c r="D25" s="68" t="s">
        <v>70</v>
      </c>
      <c r="E25" s="237">
        <v>1</v>
      </c>
      <c r="F25" s="66" t="s">
        <v>71</v>
      </c>
      <c r="G25" s="110" t="s">
        <v>88</v>
      </c>
      <c r="H25" s="69">
        <v>44124.393055555556</v>
      </c>
      <c r="I25" s="66" t="s">
        <v>48</v>
      </c>
      <c r="J25" s="66">
        <v>10</v>
      </c>
      <c r="K25" s="98">
        <v>3.2</v>
      </c>
      <c r="M25" s="68" t="s">
        <v>52</v>
      </c>
      <c r="N25" s="68" t="s">
        <v>1143</v>
      </c>
      <c r="O25" s="68" t="s">
        <v>1143</v>
      </c>
      <c r="P25" s="237">
        <v>1</v>
      </c>
      <c r="R25" s="103">
        <f t="shared" si="0"/>
        <v>0</v>
      </c>
      <c r="T25" s="103">
        <f t="shared" si="2"/>
        <v>0</v>
      </c>
      <c r="U25" s="68">
        <v>1</v>
      </c>
      <c r="V25" s="103">
        <f t="shared" si="3"/>
        <v>1</v>
      </c>
      <c r="X25" s="324">
        <f t="shared" si="1"/>
        <v>0</v>
      </c>
      <c r="Y25" s="332" t="s">
        <v>71</v>
      </c>
      <c r="Z25" s="333" t="s">
        <v>88</v>
      </c>
      <c r="AA25" s="68" t="s">
        <v>70</v>
      </c>
      <c r="AG25" s="66" t="s">
        <v>54</v>
      </c>
    </row>
    <row r="26" spans="1:33" ht="45" x14ac:dyDescent="0.15">
      <c r="A26" s="66" t="s">
        <v>43</v>
      </c>
      <c r="B26" s="80">
        <v>260</v>
      </c>
      <c r="C26" s="68" t="s">
        <v>44</v>
      </c>
      <c r="D26" s="68" t="s">
        <v>70</v>
      </c>
      <c r="E26" s="237">
        <v>1</v>
      </c>
      <c r="F26" s="66" t="s">
        <v>71</v>
      </c>
      <c r="G26" s="110" t="s">
        <v>89</v>
      </c>
      <c r="H26" s="69">
        <v>44124.393055555556</v>
      </c>
      <c r="I26" s="66" t="s">
        <v>48</v>
      </c>
      <c r="J26" s="66">
        <v>10</v>
      </c>
      <c r="K26" s="98">
        <v>3.2</v>
      </c>
      <c r="M26" s="68" t="s">
        <v>52</v>
      </c>
      <c r="N26" s="68" t="s">
        <v>1143</v>
      </c>
      <c r="O26" s="68" t="s">
        <v>1143</v>
      </c>
      <c r="P26" s="237">
        <v>1</v>
      </c>
      <c r="R26" s="103">
        <f t="shared" si="0"/>
        <v>0</v>
      </c>
      <c r="T26" s="103">
        <f t="shared" si="2"/>
        <v>0</v>
      </c>
      <c r="U26" s="68">
        <v>1</v>
      </c>
      <c r="V26" s="103">
        <f t="shared" si="3"/>
        <v>1</v>
      </c>
      <c r="X26" s="324">
        <f t="shared" si="1"/>
        <v>0</v>
      </c>
      <c r="Y26" s="332" t="s">
        <v>71</v>
      </c>
      <c r="Z26" s="333" t="s">
        <v>89</v>
      </c>
      <c r="AA26" s="68" t="s">
        <v>70</v>
      </c>
      <c r="AG26" s="66" t="s">
        <v>54</v>
      </c>
    </row>
    <row r="27" spans="1:33" ht="45" x14ac:dyDescent="0.15">
      <c r="A27" s="66" t="s">
        <v>43</v>
      </c>
      <c r="B27" s="80">
        <v>260</v>
      </c>
      <c r="C27" s="68" t="s">
        <v>44</v>
      </c>
      <c r="D27" s="68" t="s">
        <v>70</v>
      </c>
      <c r="E27" s="237">
        <v>1</v>
      </c>
      <c r="F27" s="66" t="s">
        <v>71</v>
      </c>
      <c r="G27" s="110" t="s">
        <v>90</v>
      </c>
      <c r="H27" s="69">
        <v>44124.393055555556</v>
      </c>
      <c r="I27" s="66" t="s">
        <v>48</v>
      </c>
      <c r="J27" s="66">
        <v>10</v>
      </c>
      <c r="K27" s="98">
        <v>3.2</v>
      </c>
      <c r="M27" s="68" t="s">
        <v>52</v>
      </c>
      <c r="N27" s="68" t="s">
        <v>1143</v>
      </c>
      <c r="O27" s="68" t="s">
        <v>1143</v>
      </c>
      <c r="P27" s="237">
        <v>1</v>
      </c>
      <c r="R27" s="103">
        <f t="shared" si="0"/>
        <v>0</v>
      </c>
      <c r="T27" s="103">
        <f t="shared" si="2"/>
        <v>0</v>
      </c>
      <c r="U27" s="68">
        <v>1</v>
      </c>
      <c r="V27" s="103">
        <f t="shared" si="3"/>
        <v>1</v>
      </c>
      <c r="X27" s="324">
        <f t="shared" si="1"/>
        <v>0</v>
      </c>
      <c r="Y27" s="332" t="s">
        <v>71</v>
      </c>
      <c r="Z27" s="333" t="s">
        <v>90</v>
      </c>
      <c r="AA27" s="68" t="s">
        <v>70</v>
      </c>
      <c r="AG27" s="66" t="s">
        <v>54</v>
      </c>
    </row>
    <row r="28" spans="1:33" ht="30" x14ac:dyDescent="0.15">
      <c r="A28" s="66" t="s">
        <v>43</v>
      </c>
      <c r="B28" s="80">
        <v>260</v>
      </c>
      <c r="C28" s="68" t="s">
        <v>44</v>
      </c>
      <c r="D28" s="68" t="s">
        <v>70</v>
      </c>
      <c r="E28" s="237">
        <v>1</v>
      </c>
      <c r="F28" s="66" t="s">
        <v>71</v>
      </c>
      <c r="G28" s="110" t="s">
        <v>91</v>
      </c>
      <c r="H28" s="69">
        <v>44124.393055555556</v>
      </c>
      <c r="I28" s="66" t="s">
        <v>48</v>
      </c>
      <c r="J28" s="66">
        <v>10</v>
      </c>
      <c r="K28" s="98">
        <v>3.2</v>
      </c>
      <c r="M28" s="68" t="s">
        <v>52</v>
      </c>
      <c r="N28" s="68" t="s">
        <v>1143</v>
      </c>
      <c r="O28" s="68" t="s">
        <v>1143</v>
      </c>
      <c r="P28" s="237">
        <v>1</v>
      </c>
      <c r="R28" s="103">
        <f t="shared" si="0"/>
        <v>0</v>
      </c>
      <c r="T28" s="103">
        <f t="shared" si="2"/>
        <v>0</v>
      </c>
      <c r="U28" s="68">
        <v>1</v>
      </c>
      <c r="V28" s="103">
        <f t="shared" si="3"/>
        <v>1</v>
      </c>
      <c r="X28" s="324">
        <f t="shared" si="1"/>
        <v>0</v>
      </c>
      <c r="Y28" s="332" t="s">
        <v>71</v>
      </c>
      <c r="Z28" s="333" t="s">
        <v>91</v>
      </c>
      <c r="AA28" s="68" t="s">
        <v>70</v>
      </c>
      <c r="AG28" s="66" t="s">
        <v>92</v>
      </c>
    </row>
    <row r="29" spans="1:33" ht="15" x14ac:dyDescent="0.15">
      <c r="A29" s="66" t="s">
        <v>43</v>
      </c>
      <c r="B29" s="80">
        <v>260</v>
      </c>
      <c r="C29" s="68" t="s">
        <v>44</v>
      </c>
      <c r="D29" s="68" t="s">
        <v>70</v>
      </c>
      <c r="E29" s="237">
        <v>1</v>
      </c>
      <c r="F29" s="66" t="s">
        <v>93</v>
      </c>
      <c r="G29" s="66" t="s">
        <v>94</v>
      </c>
      <c r="H29" s="69">
        <v>44124.597222222219</v>
      </c>
      <c r="I29" s="66" t="s">
        <v>48</v>
      </c>
      <c r="J29" s="66">
        <v>10</v>
      </c>
      <c r="K29" s="98">
        <v>3.2</v>
      </c>
      <c r="M29" s="68" t="s">
        <v>52</v>
      </c>
      <c r="N29" s="68" t="s">
        <v>1143</v>
      </c>
      <c r="O29" s="68" t="s">
        <v>1143</v>
      </c>
      <c r="P29" s="237">
        <v>1</v>
      </c>
      <c r="R29" s="103">
        <f t="shared" si="0"/>
        <v>0</v>
      </c>
      <c r="T29" s="103">
        <f t="shared" si="2"/>
        <v>0</v>
      </c>
      <c r="U29" s="68">
        <v>1</v>
      </c>
      <c r="V29" s="103">
        <f t="shared" si="3"/>
        <v>1</v>
      </c>
      <c r="W29" s="325" t="s">
        <v>58</v>
      </c>
      <c r="X29" s="324">
        <f t="shared" si="1"/>
        <v>1</v>
      </c>
      <c r="Y29" s="332" t="s">
        <v>93</v>
      </c>
      <c r="Z29" s="332" t="s">
        <v>94</v>
      </c>
      <c r="AA29" s="68" t="s">
        <v>70</v>
      </c>
      <c r="AG29" s="66" t="s">
        <v>59</v>
      </c>
    </row>
    <row r="30" spans="1:33" ht="30" x14ac:dyDescent="0.15">
      <c r="A30" s="66" t="s">
        <v>43</v>
      </c>
      <c r="B30" s="80">
        <v>260</v>
      </c>
      <c r="C30" s="68" t="s">
        <v>44</v>
      </c>
      <c r="D30" s="68" t="s">
        <v>70</v>
      </c>
      <c r="E30" s="237">
        <v>1</v>
      </c>
      <c r="F30" s="66" t="s">
        <v>93</v>
      </c>
      <c r="G30" s="66" t="s">
        <v>95</v>
      </c>
      <c r="H30" s="69">
        <v>44124.597222222219</v>
      </c>
      <c r="I30" s="66" t="s">
        <v>48</v>
      </c>
      <c r="J30" s="66">
        <v>10</v>
      </c>
      <c r="K30" s="98">
        <v>3.2</v>
      </c>
      <c r="M30" s="68" t="s">
        <v>52</v>
      </c>
      <c r="N30" s="68" t="s">
        <v>1143</v>
      </c>
      <c r="O30" s="68" t="s">
        <v>1143</v>
      </c>
      <c r="P30" s="237">
        <v>1</v>
      </c>
      <c r="R30" s="103">
        <f t="shared" si="0"/>
        <v>0</v>
      </c>
      <c r="T30" s="103">
        <f t="shared" si="2"/>
        <v>0</v>
      </c>
      <c r="U30" s="68">
        <v>1</v>
      </c>
      <c r="V30" s="103">
        <f t="shared" si="3"/>
        <v>1</v>
      </c>
      <c r="W30" s="325" t="s">
        <v>305</v>
      </c>
      <c r="X30" s="324">
        <f t="shared" si="1"/>
        <v>1</v>
      </c>
      <c r="Y30" s="332" t="s">
        <v>93</v>
      </c>
      <c r="Z30" s="332" t="s">
        <v>95</v>
      </c>
      <c r="AA30" s="68" t="s">
        <v>70</v>
      </c>
      <c r="AG30" s="66" t="s">
        <v>54</v>
      </c>
    </row>
    <row r="31" spans="1:33" ht="30" x14ac:dyDescent="0.15">
      <c r="A31" s="66" t="s">
        <v>43</v>
      </c>
      <c r="B31" s="80">
        <v>260</v>
      </c>
      <c r="C31" s="68" t="s">
        <v>44</v>
      </c>
      <c r="D31" s="68" t="s">
        <v>70</v>
      </c>
      <c r="E31" s="237">
        <v>1</v>
      </c>
      <c r="F31" s="66" t="s">
        <v>93</v>
      </c>
      <c r="G31" s="66" t="s">
        <v>96</v>
      </c>
      <c r="H31" s="69">
        <v>44124.597222222219</v>
      </c>
      <c r="I31" s="66" t="s">
        <v>48</v>
      </c>
      <c r="J31" s="66">
        <v>10</v>
      </c>
      <c r="K31" s="98">
        <v>3.2</v>
      </c>
      <c r="M31" s="68" t="s">
        <v>52</v>
      </c>
      <c r="N31" s="68" t="s">
        <v>1143</v>
      </c>
      <c r="O31" s="68" t="s">
        <v>1143</v>
      </c>
      <c r="P31" s="237">
        <v>1</v>
      </c>
      <c r="R31" s="103">
        <f t="shared" si="0"/>
        <v>0</v>
      </c>
      <c r="T31" s="103">
        <f t="shared" si="2"/>
        <v>0</v>
      </c>
      <c r="U31" s="68">
        <v>1</v>
      </c>
      <c r="V31" s="103">
        <f t="shared" si="3"/>
        <v>1</v>
      </c>
      <c r="X31" s="324">
        <f t="shared" si="1"/>
        <v>0</v>
      </c>
      <c r="Y31" s="332" t="s">
        <v>93</v>
      </c>
      <c r="Z31" s="332" t="s">
        <v>96</v>
      </c>
      <c r="AA31" s="68" t="s">
        <v>70</v>
      </c>
      <c r="AG31" s="66" t="s">
        <v>54</v>
      </c>
    </row>
    <row r="32" spans="1:33" ht="45" x14ac:dyDescent="0.15">
      <c r="A32" s="66" t="s">
        <v>43</v>
      </c>
      <c r="B32" s="80">
        <v>260</v>
      </c>
      <c r="C32" s="68" t="s">
        <v>44</v>
      </c>
      <c r="D32" s="68" t="s">
        <v>70</v>
      </c>
      <c r="E32" s="237">
        <v>1</v>
      </c>
      <c r="F32" s="66" t="s">
        <v>93</v>
      </c>
      <c r="G32" s="66" t="s">
        <v>97</v>
      </c>
      <c r="H32" s="69">
        <v>44124.597222222219</v>
      </c>
      <c r="I32" s="66" t="s">
        <v>48</v>
      </c>
      <c r="J32" s="66">
        <v>10</v>
      </c>
      <c r="K32" s="98">
        <v>3.2</v>
      </c>
      <c r="M32" s="68" t="s">
        <v>52</v>
      </c>
      <c r="N32" s="68" t="s">
        <v>1143</v>
      </c>
      <c r="O32" s="68" t="s">
        <v>1143</v>
      </c>
      <c r="P32" s="237">
        <v>1</v>
      </c>
      <c r="R32" s="103">
        <f t="shared" si="0"/>
        <v>0</v>
      </c>
      <c r="T32" s="103">
        <f t="shared" si="2"/>
        <v>0</v>
      </c>
      <c r="U32" s="68">
        <v>1</v>
      </c>
      <c r="V32" s="103">
        <f t="shared" si="3"/>
        <v>1</v>
      </c>
      <c r="X32" s="324">
        <f t="shared" si="1"/>
        <v>0</v>
      </c>
      <c r="Y32" s="332" t="s">
        <v>93</v>
      </c>
      <c r="Z32" s="332" t="s">
        <v>97</v>
      </c>
      <c r="AA32" s="68" t="s">
        <v>70</v>
      </c>
      <c r="AG32" s="66" t="s">
        <v>54</v>
      </c>
    </row>
    <row r="33" spans="1:33" ht="15" x14ac:dyDescent="0.15">
      <c r="A33" s="66" t="s">
        <v>43</v>
      </c>
      <c r="B33" s="80">
        <v>260</v>
      </c>
      <c r="C33" s="68" t="s">
        <v>44</v>
      </c>
      <c r="D33" s="68" t="s">
        <v>70</v>
      </c>
      <c r="E33" s="237">
        <v>1</v>
      </c>
      <c r="F33" s="66" t="s">
        <v>93</v>
      </c>
      <c r="G33" s="66" t="s">
        <v>98</v>
      </c>
      <c r="H33" s="69">
        <v>44124.597222222219</v>
      </c>
      <c r="I33" s="66" t="s">
        <v>48</v>
      </c>
      <c r="J33" s="66">
        <v>10</v>
      </c>
      <c r="K33" s="98">
        <v>3.2</v>
      </c>
      <c r="M33" s="68" t="s">
        <v>52</v>
      </c>
      <c r="N33" s="68" t="s">
        <v>1143</v>
      </c>
      <c r="O33" s="68" t="s">
        <v>1143</v>
      </c>
      <c r="P33" s="237">
        <v>1</v>
      </c>
      <c r="R33" s="103">
        <f t="shared" si="0"/>
        <v>0</v>
      </c>
      <c r="T33" s="103">
        <f t="shared" si="2"/>
        <v>0</v>
      </c>
      <c r="U33" s="68">
        <v>1</v>
      </c>
      <c r="V33" s="103">
        <f t="shared" si="3"/>
        <v>1</v>
      </c>
      <c r="W33" s="325" t="s">
        <v>58</v>
      </c>
      <c r="X33" s="324">
        <f t="shared" si="1"/>
        <v>1</v>
      </c>
      <c r="Y33" s="332" t="s">
        <v>93</v>
      </c>
      <c r="Z33" s="332" t="s">
        <v>98</v>
      </c>
      <c r="AA33" s="68" t="s">
        <v>70</v>
      </c>
      <c r="AG33" s="66" t="s">
        <v>59</v>
      </c>
    </row>
    <row r="34" spans="1:33" ht="30" x14ac:dyDescent="0.15">
      <c r="A34" s="66" t="s">
        <v>43</v>
      </c>
      <c r="B34" s="80">
        <v>260</v>
      </c>
      <c r="C34" s="68" t="s">
        <v>44</v>
      </c>
      <c r="D34" s="68" t="s">
        <v>70</v>
      </c>
      <c r="E34" s="237">
        <v>1</v>
      </c>
      <c r="F34" s="66" t="s">
        <v>93</v>
      </c>
      <c r="G34" s="66" t="s">
        <v>99</v>
      </c>
      <c r="H34" s="69">
        <v>44124.597222222219</v>
      </c>
      <c r="I34" s="66" t="s">
        <v>48</v>
      </c>
      <c r="J34" s="66">
        <v>10</v>
      </c>
      <c r="K34" s="98">
        <v>3.2</v>
      </c>
      <c r="M34" s="68" t="s">
        <v>52</v>
      </c>
      <c r="N34" s="68" t="s">
        <v>1143</v>
      </c>
      <c r="O34" s="68" t="s">
        <v>1143</v>
      </c>
      <c r="P34" s="237">
        <v>1</v>
      </c>
      <c r="R34" s="103">
        <f t="shared" si="0"/>
        <v>0</v>
      </c>
      <c r="T34" s="103">
        <f t="shared" si="2"/>
        <v>0</v>
      </c>
      <c r="U34" s="68">
        <v>1</v>
      </c>
      <c r="V34" s="103">
        <f t="shared" si="3"/>
        <v>1</v>
      </c>
      <c r="W34" s="325" t="s">
        <v>305</v>
      </c>
      <c r="X34" s="324">
        <f t="shared" si="1"/>
        <v>1</v>
      </c>
      <c r="Y34" s="332" t="s">
        <v>93</v>
      </c>
      <c r="Z34" s="332" t="s">
        <v>99</v>
      </c>
      <c r="AA34" s="68" t="s">
        <v>70</v>
      </c>
      <c r="AG34" s="66" t="s">
        <v>54</v>
      </c>
    </row>
    <row r="35" spans="1:33" ht="60" x14ac:dyDescent="0.15">
      <c r="A35" s="66" t="s">
        <v>43</v>
      </c>
      <c r="B35" s="80">
        <v>260</v>
      </c>
      <c r="C35" s="68" t="s">
        <v>44</v>
      </c>
      <c r="D35" s="68" t="s">
        <v>70</v>
      </c>
      <c r="E35" s="237">
        <v>1</v>
      </c>
      <c r="F35" s="66" t="s">
        <v>93</v>
      </c>
      <c r="G35" s="66" t="s">
        <v>100</v>
      </c>
      <c r="H35" s="69">
        <v>44124.597222222219</v>
      </c>
      <c r="I35" s="66" t="s">
        <v>48</v>
      </c>
      <c r="J35" s="66">
        <v>10</v>
      </c>
      <c r="K35" s="98">
        <v>3.2</v>
      </c>
      <c r="M35" s="68" t="s">
        <v>52</v>
      </c>
      <c r="N35" s="68" t="s">
        <v>1143</v>
      </c>
      <c r="O35" s="68" t="s">
        <v>1143</v>
      </c>
      <c r="P35" s="237">
        <v>1</v>
      </c>
      <c r="R35" s="103">
        <f t="shared" si="0"/>
        <v>0</v>
      </c>
      <c r="T35" s="103">
        <f t="shared" si="2"/>
        <v>0</v>
      </c>
      <c r="U35" s="68">
        <v>1</v>
      </c>
      <c r="V35" s="103">
        <f t="shared" si="3"/>
        <v>1</v>
      </c>
      <c r="X35" s="324">
        <f t="shared" si="1"/>
        <v>0</v>
      </c>
      <c r="Y35" s="332" t="s">
        <v>93</v>
      </c>
      <c r="Z35" s="332" t="s">
        <v>100</v>
      </c>
      <c r="AA35" s="68" t="s">
        <v>70</v>
      </c>
      <c r="AG35" s="66" t="s">
        <v>54</v>
      </c>
    </row>
    <row r="36" spans="1:33" ht="30" x14ac:dyDescent="0.15">
      <c r="A36" s="66" t="s">
        <v>43</v>
      </c>
      <c r="B36" s="80">
        <v>260</v>
      </c>
      <c r="C36" s="68" t="s">
        <v>44</v>
      </c>
      <c r="D36" s="68" t="s">
        <v>70</v>
      </c>
      <c r="E36" s="237">
        <v>1</v>
      </c>
      <c r="F36" s="66" t="s">
        <v>93</v>
      </c>
      <c r="G36" s="66" t="s">
        <v>101</v>
      </c>
      <c r="H36" s="66" t="s">
        <v>102</v>
      </c>
      <c r="I36" s="66" t="s">
        <v>102</v>
      </c>
      <c r="J36" s="66" t="s">
        <v>102</v>
      </c>
      <c r="K36" s="98">
        <v>3.2</v>
      </c>
      <c r="M36" s="68" t="s">
        <v>52</v>
      </c>
      <c r="N36" s="68" t="s">
        <v>1143</v>
      </c>
      <c r="O36" s="68" t="s">
        <v>1143</v>
      </c>
      <c r="P36" s="237">
        <v>1</v>
      </c>
      <c r="R36" s="103">
        <f t="shared" si="0"/>
        <v>0</v>
      </c>
      <c r="T36" s="103">
        <f t="shared" si="2"/>
        <v>0</v>
      </c>
      <c r="U36" s="68">
        <v>1</v>
      </c>
      <c r="V36" s="103">
        <f t="shared" si="3"/>
        <v>1</v>
      </c>
      <c r="X36" s="324">
        <f t="shared" si="1"/>
        <v>0</v>
      </c>
      <c r="Y36" s="332" t="s">
        <v>93</v>
      </c>
      <c r="Z36" s="332" t="s">
        <v>101</v>
      </c>
      <c r="AA36" s="68" t="s">
        <v>70</v>
      </c>
      <c r="AG36" s="66" t="s">
        <v>54</v>
      </c>
    </row>
    <row r="37" spans="1:33" ht="30" x14ac:dyDescent="0.15">
      <c r="A37" s="66" t="s">
        <v>43</v>
      </c>
      <c r="B37" s="80">
        <v>260</v>
      </c>
      <c r="C37" s="68" t="s">
        <v>44</v>
      </c>
      <c r="D37" s="68" t="s">
        <v>70</v>
      </c>
      <c r="E37" s="237">
        <v>1</v>
      </c>
      <c r="F37" s="66" t="s">
        <v>93</v>
      </c>
      <c r="G37" s="66" t="s">
        <v>103</v>
      </c>
      <c r="H37" s="66" t="s">
        <v>102</v>
      </c>
      <c r="I37" s="66" t="s">
        <v>102</v>
      </c>
      <c r="J37" s="66" t="s">
        <v>102</v>
      </c>
      <c r="K37" s="98">
        <v>3.2</v>
      </c>
      <c r="M37" s="68" t="s">
        <v>52</v>
      </c>
      <c r="N37" s="68" t="s">
        <v>1143</v>
      </c>
      <c r="O37" s="68" t="s">
        <v>1143</v>
      </c>
      <c r="P37" s="237">
        <v>1</v>
      </c>
      <c r="R37" s="103">
        <f t="shared" si="0"/>
        <v>0</v>
      </c>
      <c r="T37" s="103">
        <f t="shared" si="2"/>
        <v>0</v>
      </c>
      <c r="U37" s="68">
        <v>1</v>
      </c>
      <c r="V37" s="103">
        <f t="shared" si="3"/>
        <v>1</v>
      </c>
      <c r="W37" s="325" t="s">
        <v>637</v>
      </c>
      <c r="X37" s="324">
        <f t="shared" si="1"/>
        <v>1</v>
      </c>
      <c r="Y37" s="332" t="s">
        <v>93</v>
      </c>
      <c r="Z37" s="332" t="s">
        <v>103</v>
      </c>
      <c r="AA37" s="68" t="s">
        <v>70</v>
      </c>
      <c r="AG37" s="66" t="s">
        <v>54</v>
      </c>
    </row>
    <row r="38" spans="1:33" ht="15" x14ac:dyDescent="0.15">
      <c r="A38" s="66" t="s">
        <v>43</v>
      </c>
      <c r="B38" s="80">
        <v>260</v>
      </c>
      <c r="C38" s="68" t="s">
        <v>44</v>
      </c>
      <c r="D38" s="68" t="s">
        <v>70</v>
      </c>
      <c r="E38" s="237">
        <v>1</v>
      </c>
      <c r="F38" s="66" t="s">
        <v>93</v>
      </c>
      <c r="G38" s="66" t="s">
        <v>104</v>
      </c>
      <c r="H38" s="69">
        <v>44124.597222222219</v>
      </c>
      <c r="I38" s="66" t="s">
        <v>48</v>
      </c>
      <c r="J38" s="66">
        <v>10</v>
      </c>
      <c r="K38" s="98">
        <v>3.2</v>
      </c>
      <c r="M38" s="68" t="s">
        <v>52</v>
      </c>
      <c r="N38" s="68" t="s">
        <v>1143</v>
      </c>
      <c r="O38" s="68" t="s">
        <v>1143</v>
      </c>
      <c r="P38" s="237">
        <v>1</v>
      </c>
      <c r="R38" s="103">
        <f t="shared" si="0"/>
        <v>0</v>
      </c>
      <c r="T38" s="103">
        <f t="shared" si="2"/>
        <v>0</v>
      </c>
      <c r="U38" s="68">
        <v>1</v>
      </c>
      <c r="V38" s="103">
        <f t="shared" si="3"/>
        <v>1</v>
      </c>
      <c r="W38" s="325" t="s">
        <v>637</v>
      </c>
      <c r="X38" s="324">
        <f t="shared" si="1"/>
        <v>1</v>
      </c>
      <c r="Y38" s="332" t="s">
        <v>93</v>
      </c>
      <c r="Z38" s="332" t="s">
        <v>104</v>
      </c>
      <c r="AA38" s="68" t="s">
        <v>70</v>
      </c>
      <c r="AG38" s="66" t="s">
        <v>78</v>
      </c>
    </row>
    <row r="39" spans="1:33" ht="45" x14ac:dyDescent="0.15">
      <c r="A39" s="66" t="s">
        <v>43</v>
      </c>
      <c r="B39" s="80">
        <v>260</v>
      </c>
      <c r="C39" s="68" t="s">
        <v>44</v>
      </c>
      <c r="D39" s="68" t="s">
        <v>70</v>
      </c>
      <c r="E39" s="237">
        <v>1</v>
      </c>
      <c r="F39" s="66" t="s">
        <v>93</v>
      </c>
      <c r="G39" s="66" t="s">
        <v>105</v>
      </c>
      <c r="H39" s="69">
        <v>44124.597916666666</v>
      </c>
      <c r="I39" s="66" t="s">
        <v>48</v>
      </c>
      <c r="J39" s="66">
        <v>10</v>
      </c>
      <c r="K39" s="98">
        <v>3.2</v>
      </c>
      <c r="M39" s="68" t="s">
        <v>52</v>
      </c>
      <c r="N39" s="68" t="s">
        <v>1143</v>
      </c>
      <c r="O39" s="68" t="s">
        <v>1143</v>
      </c>
      <c r="P39" s="237">
        <v>1</v>
      </c>
      <c r="R39" s="103">
        <f t="shared" si="0"/>
        <v>0</v>
      </c>
      <c r="T39" s="103">
        <f t="shared" si="2"/>
        <v>0</v>
      </c>
      <c r="U39" s="68">
        <v>1</v>
      </c>
      <c r="V39" s="103">
        <f t="shared" si="3"/>
        <v>1</v>
      </c>
      <c r="W39" s="325" t="s">
        <v>637</v>
      </c>
      <c r="X39" s="324">
        <f t="shared" si="1"/>
        <v>1</v>
      </c>
      <c r="Y39" s="332" t="s">
        <v>93</v>
      </c>
      <c r="Z39" s="332" t="s">
        <v>105</v>
      </c>
      <c r="AA39" s="68" t="s">
        <v>70</v>
      </c>
      <c r="AG39" s="66" t="s">
        <v>54</v>
      </c>
    </row>
    <row r="40" spans="1:33" ht="15" x14ac:dyDescent="0.15">
      <c r="A40" s="66" t="s">
        <v>43</v>
      </c>
      <c r="B40" s="80">
        <v>260</v>
      </c>
      <c r="C40" s="68" t="s">
        <v>44</v>
      </c>
      <c r="D40" s="68" t="s">
        <v>70</v>
      </c>
      <c r="E40" s="237">
        <v>1</v>
      </c>
      <c r="F40" s="66" t="s">
        <v>93</v>
      </c>
      <c r="G40" s="66" t="s">
        <v>106</v>
      </c>
      <c r="H40" s="69">
        <v>44124.597916666666</v>
      </c>
      <c r="I40" s="66" t="s">
        <v>48</v>
      </c>
      <c r="J40" s="66">
        <v>10</v>
      </c>
      <c r="K40" s="98">
        <v>3.2</v>
      </c>
      <c r="M40" s="68" t="s">
        <v>52</v>
      </c>
      <c r="N40" s="68" t="s">
        <v>1143</v>
      </c>
      <c r="O40" s="68" t="s">
        <v>1143</v>
      </c>
      <c r="P40" s="237">
        <v>1</v>
      </c>
      <c r="R40" s="103">
        <f t="shared" si="0"/>
        <v>0</v>
      </c>
      <c r="T40" s="103">
        <f t="shared" si="2"/>
        <v>0</v>
      </c>
      <c r="U40" s="68">
        <v>1</v>
      </c>
      <c r="V40" s="103">
        <f t="shared" si="3"/>
        <v>1</v>
      </c>
      <c r="W40" s="325" t="s">
        <v>58</v>
      </c>
      <c r="X40" s="324">
        <f t="shared" si="1"/>
        <v>1</v>
      </c>
      <c r="Y40" s="332" t="s">
        <v>93</v>
      </c>
      <c r="Z40" s="332" t="s">
        <v>106</v>
      </c>
      <c r="AA40" s="68" t="s">
        <v>70</v>
      </c>
      <c r="AG40" s="66" t="s">
        <v>63</v>
      </c>
    </row>
    <row r="41" spans="1:33" ht="45" x14ac:dyDescent="0.15">
      <c r="A41" s="66" t="s">
        <v>43</v>
      </c>
      <c r="B41" s="80">
        <v>260</v>
      </c>
      <c r="C41" s="68" t="s">
        <v>44</v>
      </c>
      <c r="D41" s="68" t="s">
        <v>70</v>
      </c>
      <c r="E41" s="237">
        <v>1</v>
      </c>
      <c r="F41" s="66" t="s">
        <v>71</v>
      </c>
      <c r="G41" s="110" t="s">
        <v>107</v>
      </c>
      <c r="H41" s="69">
        <v>44125.386805555558</v>
      </c>
      <c r="I41" s="66" t="s">
        <v>48</v>
      </c>
      <c r="J41" s="66">
        <v>10</v>
      </c>
      <c r="K41" s="98">
        <v>3.2</v>
      </c>
      <c r="M41" s="68" t="s">
        <v>108</v>
      </c>
      <c r="N41" s="68" t="s">
        <v>108</v>
      </c>
      <c r="O41" s="68" t="s">
        <v>108</v>
      </c>
      <c r="P41" s="237">
        <v>1</v>
      </c>
      <c r="R41" s="103">
        <f t="shared" si="0"/>
        <v>0</v>
      </c>
      <c r="T41" s="103">
        <f t="shared" si="2"/>
        <v>0</v>
      </c>
      <c r="U41" s="68">
        <v>2</v>
      </c>
      <c r="V41" s="103">
        <f t="shared" si="3"/>
        <v>1</v>
      </c>
      <c r="X41" s="324">
        <f t="shared" si="1"/>
        <v>0</v>
      </c>
      <c r="Y41" s="332" t="s">
        <v>71</v>
      </c>
      <c r="Z41" s="333" t="s">
        <v>107</v>
      </c>
      <c r="AA41" s="68" t="s">
        <v>70</v>
      </c>
      <c r="AE41" s="68" t="s">
        <v>109</v>
      </c>
      <c r="AG41" s="66" t="s">
        <v>110</v>
      </c>
    </row>
    <row r="42" spans="1:33" ht="45" x14ac:dyDescent="0.15">
      <c r="A42" s="66" t="s">
        <v>43</v>
      </c>
      <c r="B42" s="80">
        <v>260</v>
      </c>
      <c r="C42" s="68" t="s">
        <v>44</v>
      </c>
      <c r="D42" s="68" t="s">
        <v>70</v>
      </c>
      <c r="E42" s="237">
        <v>1</v>
      </c>
      <c r="F42" s="66" t="s">
        <v>71</v>
      </c>
      <c r="G42" s="110" t="s">
        <v>111</v>
      </c>
      <c r="H42" s="69">
        <v>44125.386805555558</v>
      </c>
      <c r="I42" s="66" t="s">
        <v>48</v>
      </c>
      <c r="J42" s="66">
        <v>10</v>
      </c>
      <c r="K42" s="98">
        <v>3.2</v>
      </c>
      <c r="M42" s="68" t="s">
        <v>638</v>
      </c>
      <c r="N42" s="68" t="s">
        <v>638</v>
      </c>
      <c r="O42" s="68" t="s">
        <v>1163</v>
      </c>
      <c r="P42" s="237">
        <v>1</v>
      </c>
      <c r="R42" s="103">
        <f t="shared" si="0"/>
        <v>0</v>
      </c>
      <c r="T42" s="103">
        <f t="shared" si="2"/>
        <v>0</v>
      </c>
      <c r="U42" s="68">
        <v>2</v>
      </c>
      <c r="V42" s="103">
        <f t="shared" si="3"/>
        <v>1</v>
      </c>
      <c r="X42" s="324">
        <f t="shared" si="1"/>
        <v>0</v>
      </c>
      <c r="Y42" s="332" t="s">
        <v>71</v>
      </c>
      <c r="Z42" s="333" t="s">
        <v>111</v>
      </c>
      <c r="AA42" s="68" t="s">
        <v>70</v>
      </c>
      <c r="AC42" s="68" t="s">
        <v>112</v>
      </c>
      <c r="AG42" s="66" t="s">
        <v>113</v>
      </c>
    </row>
    <row r="43" spans="1:33" ht="15" x14ac:dyDescent="0.15">
      <c r="A43" s="66" t="s">
        <v>43</v>
      </c>
      <c r="B43" s="80">
        <v>260</v>
      </c>
      <c r="C43" s="68" t="s">
        <v>44</v>
      </c>
      <c r="D43" s="68" t="s">
        <v>70</v>
      </c>
      <c r="E43" s="237">
        <v>1</v>
      </c>
      <c r="F43" s="66" t="s">
        <v>71</v>
      </c>
      <c r="G43" s="110" t="s">
        <v>114</v>
      </c>
      <c r="H43" s="69">
        <v>44125.386805555558</v>
      </c>
      <c r="I43" s="66" t="s">
        <v>48</v>
      </c>
      <c r="J43" s="66">
        <v>10</v>
      </c>
      <c r="K43" s="98">
        <v>3.2</v>
      </c>
      <c r="M43" s="68" t="s">
        <v>108</v>
      </c>
      <c r="N43" s="68" t="s">
        <v>108</v>
      </c>
      <c r="O43" s="68" t="s">
        <v>108</v>
      </c>
      <c r="P43" s="237">
        <v>1</v>
      </c>
      <c r="R43" s="103">
        <f t="shared" si="0"/>
        <v>0</v>
      </c>
      <c r="T43" s="103">
        <f t="shared" si="2"/>
        <v>0</v>
      </c>
      <c r="U43" s="68">
        <v>2</v>
      </c>
      <c r="V43" s="103">
        <f t="shared" si="3"/>
        <v>1</v>
      </c>
      <c r="X43" s="324">
        <f t="shared" si="1"/>
        <v>0</v>
      </c>
      <c r="Y43" s="332" t="s">
        <v>71</v>
      </c>
      <c r="Z43" s="333" t="s">
        <v>114</v>
      </c>
      <c r="AA43" s="68" t="s">
        <v>70</v>
      </c>
      <c r="AG43" s="66" t="s">
        <v>92</v>
      </c>
    </row>
    <row r="44" spans="1:33" ht="15" x14ac:dyDescent="0.15">
      <c r="A44" s="66" t="s">
        <v>43</v>
      </c>
      <c r="B44" s="80">
        <v>260</v>
      </c>
      <c r="C44" s="68" t="s">
        <v>44</v>
      </c>
      <c r="D44" s="68" t="s">
        <v>70</v>
      </c>
      <c r="E44" s="237">
        <v>1</v>
      </c>
      <c r="F44" s="66" t="s">
        <v>71</v>
      </c>
      <c r="G44" s="110" t="s">
        <v>115</v>
      </c>
      <c r="H44" s="69">
        <v>44125.386805555558</v>
      </c>
      <c r="I44" s="66" t="s">
        <v>48</v>
      </c>
      <c r="J44" s="66">
        <v>10</v>
      </c>
      <c r="K44" s="98">
        <v>3.2</v>
      </c>
      <c r="M44" s="68" t="s">
        <v>108</v>
      </c>
      <c r="N44" s="68" t="s">
        <v>108</v>
      </c>
      <c r="O44" s="68" t="s">
        <v>108</v>
      </c>
      <c r="P44" s="237">
        <v>1</v>
      </c>
      <c r="R44" s="103">
        <f t="shared" si="0"/>
        <v>0</v>
      </c>
      <c r="T44" s="103">
        <f t="shared" si="2"/>
        <v>0</v>
      </c>
      <c r="U44" s="68">
        <v>2</v>
      </c>
      <c r="V44" s="103">
        <f t="shared" si="3"/>
        <v>1</v>
      </c>
      <c r="X44" s="324">
        <f t="shared" si="1"/>
        <v>0</v>
      </c>
      <c r="Y44" s="332" t="s">
        <v>71</v>
      </c>
      <c r="Z44" s="333" t="s">
        <v>115</v>
      </c>
      <c r="AA44" s="68" t="s">
        <v>70</v>
      </c>
      <c r="AG44" s="66" t="s">
        <v>92</v>
      </c>
    </row>
    <row r="45" spans="1:33" ht="15" x14ac:dyDescent="0.15">
      <c r="A45" s="66" t="s">
        <v>43</v>
      </c>
      <c r="B45" s="80">
        <v>260</v>
      </c>
      <c r="C45" s="68" t="s">
        <v>44</v>
      </c>
      <c r="D45" s="68" t="s">
        <v>70</v>
      </c>
      <c r="E45" s="237">
        <v>1</v>
      </c>
      <c r="F45" s="66" t="s">
        <v>93</v>
      </c>
      <c r="G45" s="66" t="s">
        <v>116</v>
      </c>
      <c r="H45" s="69">
        <v>44125.479861111111</v>
      </c>
      <c r="I45" s="66" t="s">
        <v>48</v>
      </c>
      <c r="J45" s="66">
        <v>10</v>
      </c>
      <c r="K45" s="98">
        <v>3.2</v>
      </c>
      <c r="M45" s="68" t="s">
        <v>108</v>
      </c>
      <c r="N45" s="68" t="s">
        <v>108</v>
      </c>
      <c r="O45" s="68" t="s">
        <v>108</v>
      </c>
      <c r="P45" s="237">
        <v>1</v>
      </c>
      <c r="R45" s="103">
        <f t="shared" si="0"/>
        <v>0</v>
      </c>
      <c r="T45" s="103">
        <f t="shared" si="2"/>
        <v>0</v>
      </c>
      <c r="U45" s="68">
        <v>2</v>
      </c>
      <c r="V45" s="103">
        <f t="shared" si="3"/>
        <v>1</v>
      </c>
      <c r="W45" s="325" t="s">
        <v>58</v>
      </c>
      <c r="X45" s="324">
        <f t="shared" si="1"/>
        <v>1</v>
      </c>
      <c r="Y45" s="332" t="s">
        <v>93</v>
      </c>
      <c r="Z45" s="332" t="s">
        <v>116</v>
      </c>
      <c r="AA45" s="68" t="s">
        <v>70</v>
      </c>
      <c r="AG45" s="66" t="s">
        <v>59</v>
      </c>
    </row>
    <row r="46" spans="1:33" ht="45" x14ac:dyDescent="0.15">
      <c r="A46" s="66" t="s">
        <v>43</v>
      </c>
      <c r="B46" s="80">
        <v>260</v>
      </c>
      <c r="C46" s="68" t="s">
        <v>44</v>
      </c>
      <c r="D46" s="68" t="s">
        <v>70</v>
      </c>
      <c r="E46" s="237">
        <v>1</v>
      </c>
      <c r="F46" s="66" t="s">
        <v>93</v>
      </c>
      <c r="G46" s="66" t="s">
        <v>117</v>
      </c>
      <c r="H46" s="69">
        <v>44125.479861111111</v>
      </c>
      <c r="I46" s="66" t="s">
        <v>48</v>
      </c>
      <c r="J46" s="66">
        <v>10</v>
      </c>
      <c r="K46" s="98">
        <v>3.2</v>
      </c>
      <c r="M46" s="68" t="s">
        <v>638</v>
      </c>
      <c r="N46" s="68" t="s">
        <v>638</v>
      </c>
      <c r="O46" s="68" t="s">
        <v>1163</v>
      </c>
      <c r="P46" s="237">
        <v>1</v>
      </c>
      <c r="R46" s="103">
        <f t="shared" si="0"/>
        <v>0</v>
      </c>
      <c r="T46" s="103">
        <f t="shared" si="2"/>
        <v>0</v>
      </c>
      <c r="U46" s="68">
        <v>2</v>
      </c>
      <c r="V46" s="103">
        <f t="shared" si="3"/>
        <v>1</v>
      </c>
      <c r="W46" s="325" t="s">
        <v>637</v>
      </c>
      <c r="X46" s="324">
        <f t="shared" si="1"/>
        <v>1</v>
      </c>
      <c r="Y46" s="332" t="s">
        <v>93</v>
      </c>
      <c r="Z46" s="332" t="s">
        <v>117</v>
      </c>
      <c r="AA46" s="68" t="s">
        <v>70</v>
      </c>
      <c r="AG46" s="66" t="s">
        <v>69</v>
      </c>
    </row>
    <row r="47" spans="1:33" ht="45" x14ac:dyDescent="0.15">
      <c r="A47" s="66" t="s">
        <v>43</v>
      </c>
      <c r="B47" s="80">
        <v>260</v>
      </c>
      <c r="C47" s="68" t="s">
        <v>44</v>
      </c>
      <c r="D47" s="68" t="s">
        <v>70</v>
      </c>
      <c r="E47" s="237">
        <v>1</v>
      </c>
      <c r="F47" s="66" t="s">
        <v>93</v>
      </c>
      <c r="G47" s="66" t="s">
        <v>118</v>
      </c>
      <c r="H47" s="69">
        <v>44125.479861111111</v>
      </c>
      <c r="I47" s="66" t="s">
        <v>48</v>
      </c>
      <c r="J47" s="66">
        <v>10</v>
      </c>
      <c r="K47" s="98">
        <v>3.2</v>
      </c>
      <c r="M47" s="68" t="s">
        <v>108</v>
      </c>
      <c r="N47" s="68" t="s">
        <v>108</v>
      </c>
      <c r="O47" s="68" t="s">
        <v>108</v>
      </c>
      <c r="P47" s="237">
        <v>1</v>
      </c>
      <c r="R47" s="103">
        <f t="shared" si="0"/>
        <v>0</v>
      </c>
      <c r="T47" s="103">
        <f t="shared" si="2"/>
        <v>0</v>
      </c>
      <c r="U47" s="68">
        <v>2</v>
      </c>
      <c r="V47" s="103">
        <f t="shared" si="3"/>
        <v>1</v>
      </c>
      <c r="X47" s="324">
        <f t="shared" si="1"/>
        <v>0</v>
      </c>
      <c r="Y47" s="332" t="s">
        <v>93</v>
      </c>
      <c r="Z47" s="332" t="s">
        <v>118</v>
      </c>
      <c r="AA47" s="68" t="s">
        <v>70</v>
      </c>
      <c r="AG47" s="66" t="s">
        <v>69</v>
      </c>
    </row>
    <row r="48" spans="1:33" ht="15" x14ac:dyDescent="0.15">
      <c r="A48" s="66" t="s">
        <v>43</v>
      </c>
      <c r="B48" s="80">
        <v>260</v>
      </c>
      <c r="C48" s="68" t="s">
        <v>44</v>
      </c>
      <c r="D48" s="68" t="s">
        <v>70</v>
      </c>
      <c r="E48" s="237">
        <v>1</v>
      </c>
      <c r="F48" s="66" t="s">
        <v>93</v>
      </c>
      <c r="G48" s="66" t="s">
        <v>119</v>
      </c>
      <c r="H48" s="69">
        <v>44125.479861111111</v>
      </c>
      <c r="I48" s="66" t="s">
        <v>48</v>
      </c>
      <c r="J48" s="66">
        <v>10</v>
      </c>
      <c r="K48" s="98">
        <v>3.2</v>
      </c>
      <c r="M48" s="68" t="s">
        <v>108</v>
      </c>
      <c r="N48" s="68" t="s">
        <v>108</v>
      </c>
      <c r="O48" s="68" t="s">
        <v>108</v>
      </c>
      <c r="P48" s="237">
        <v>1</v>
      </c>
      <c r="R48" s="103">
        <f t="shared" si="0"/>
        <v>0</v>
      </c>
      <c r="T48" s="103">
        <f t="shared" si="2"/>
        <v>0</v>
      </c>
      <c r="U48" s="68">
        <v>2</v>
      </c>
      <c r="V48" s="103">
        <f t="shared" si="3"/>
        <v>1</v>
      </c>
      <c r="W48" s="325" t="s">
        <v>331</v>
      </c>
      <c r="X48" s="324">
        <f t="shared" si="1"/>
        <v>1</v>
      </c>
      <c r="Y48" s="332" t="s">
        <v>93</v>
      </c>
      <c r="Z48" s="332" t="s">
        <v>119</v>
      </c>
      <c r="AA48" s="68" t="s">
        <v>70</v>
      </c>
      <c r="AC48" s="68" t="s">
        <v>120</v>
      </c>
      <c r="AG48" s="66" t="s">
        <v>121</v>
      </c>
    </row>
    <row r="49" spans="1:33" ht="15" x14ac:dyDescent="0.15">
      <c r="A49" s="66" t="s">
        <v>43</v>
      </c>
      <c r="B49" s="80">
        <v>260</v>
      </c>
      <c r="C49" s="68" t="s">
        <v>44</v>
      </c>
      <c r="D49" s="68" t="s">
        <v>70</v>
      </c>
      <c r="E49" s="237">
        <v>1</v>
      </c>
      <c r="F49" s="66" t="s">
        <v>71</v>
      </c>
      <c r="G49" s="110" t="s">
        <v>122</v>
      </c>
      <c r="H49" s="69">
        <v>44125.56527777778</v>
      </c>
      <c r="I49" s="66" t="s">
        <v>48</v>
      </c>
      <c r="J49" s="66">
        <v>10</v>
      </c>
      <c r="K49" s="98">
        <v>3.2</v>
      </c>
      <c r="M49" s="68" t="s">
        <v>49</v>
      </c>
      <c r="N49" s="68" t="s">
        <v>49</v>
      </c>
      <c r="O49" s="68" t="s">
        <v>1163</v>
      </c>
      <c r="P49" s="237">
        <v>1</v>
      </c>
      <c r="R49" s="103">
        <f t="shared" si="0"/>
        <v>0</v>
      </c>
      <c r="T49" s="103">
        <f t="shared" si="2"/>
        <v>0</v>
      </c>
      <c r="U49" s="68">
        <v>2</v>
      </c>
      <c r="V49" s="103">
        <f t="shared" si="3"/>
        <v>1</v>
      </c>
      <c r="W49" s="325" t="s">
        <v>58</v>
      </c>
      <c r="X49" s="324">
        <f t="shared" si="1"/>
        <v>1</v>
      </c>
      <c r="Y49" s="332" t="s">
        <v>71</v>
      </c>
      <c r="Z49" s="333" t="s">
        <v>122</v>
      </c>
      <c r="AA49" s="68" t="s">
        <v>70</v>
      </c>
      <c r="AE49" s="68" t="s">
        <v>1148</v>
      </c>
      <c r="AG49" s="66" t="s">
        <v>63</v>
      </c>
    </row>
    <row r="50" spans="1:33" ht="15" x14ac:dyDescent="0.15">
      <c r="A50" s="66" t="s">
        <v>43</v>
      </c>
      <c r="B50" s="80">
        <v>260</v>
      </c>
      <c r="C50" s="68" t="s">
        <v>44</v>
      </c>
      <c r="D50" s="68" t="s">
        <v>70</v>
      </c>
      <c r="E50" s="237">
        <v>1</v>
      </c>
      <c r="F50" s="66" t="s">
        <v>71</v>
      </c>
      <c r="G50" s="110" t="s">
        <v>124</v>
      </c>
      <c r="H50" s="69">
        <v>44125.56527777778</v>
      </c>
      <c r="I50" s="66" t="s">
        <v>48</v>
      </c>
      <c r="J50" s="66">
        <v>10</v>
      </c>
      <c r="K50" s="98">
        <v>3.2</v>
      </c>
      <c r="M50" s="68" t="s">
        <v>49</v>
      </c>
      <c r="N50" s="68" t="s">
        <v>49</v>
      </c>
      <c r="O50" s="68" t="s">
        <v>1163</v>
      </c>
      <c r="P50" s="237">
        <v>1</v>
      </c>
      <c r="R50" s="103">
        <f t="shared" si="0"/>
        <v>0</v>
      </c>
      <c r="T50" s="103">
        <f t="shared" si="2"/>
        <v>0</v>
      </c>
      <c r="U50" s="68">
        <v>2</v>
      </c>
      <c r="V50" s="103">
        <f t="shared" si="3"/>
        <v>1</v>
      </c>
      <c r="W50" s="325" t="s">
        <v>637</v>
      </c>
      <c r="X50" s="324">
        <f t="shared" si="1"/>
        <v>1</v>
      </c>
      <c r="Y50" s="332" t="s">
        <v>71</v>
      </c>
      <c r="Z50" s="333" t="s">
        <v>124</v>
      </c>
      <c r="AA50" s="68" t="s">
        <v>70</v>
      </c>
      <c r="AG50" s="66" t="s">
        <v>59</v>
      </c>
    </row>
    <row r="51" spans="1:33" ht="15" x14ac:dyDescent="0.15">
      <c r="A51" s="66" t="s">
        <v>43</v>
      </c>
      <c r="B51" s="80">
        <v>260</v>
      </c>
      <c r="C51" s="68" t="s">
        <v>44</v>
      </c>
      <c r="D51" s="68" t="s">
        <v>70</v>
      </c>
      <c r="E51" s="237">
        <v>1</v>
      </c>
      <c r="F51" s="66" t="s">
        <v>71</v>
      </c>
      <c r="G51" s="110" t="s">
        <v>125</v>
      </c>
      <c r="H51" s="69">
        <v>44125.56527777778</v>
      </c>
      <c r="I51" s="66" t="s">
        <v>48</v>
      </c>
      <c r="J51" s="66">
        <v>10</v>
      </c>
      <c r="K51" s="98">
        <v>3.2</v>
      </c>
      <c r="M51" s="68" t="s">
        <v>68</v>
      </c>
      <c r="N51" s="68" t="s">
        <v>68</v>
      </c>
      <c r="O51" s="68" t="s">
        <v>1163</v>
      </c>
      <c r="P51" s="237">
        <v>1</v>
      </c>
      <c r="R51" s="103">
        <f t="shared" si="0"/>
        <v>0</v>
      </c>
      <c r="T51" s="103">
        <f t="shared" si="2"/>
        <v>0</v>
      </c>
      <c r="U51" s="68">
        <v>2</v>
      </c>
      <c r="V51" s="103">
        <f t="shared" si="3"/>
        <v>1</v>
      </c>
      <c r="W51" s="325" t="s">
        <v>637</v>
      </c>
      <c r="X51" s="324">
        <f t="shared" si="1"/>
        <v>1</v>
      </c>
      <c r="Y51" s="332" t="s">
        <v>71</v>
      </c>
      <c r="Z51" s="333" t="s">
        <v>125</v>
      </c>
      <c r="AA51" s="68" t="s">
        <v>70</v>
      </c>
      <c r="AE51" s="68" t="s">
        <v>1149</v>
      </c>
      <c r="AG51" s="66" t="s">
        <v>69</v>
      </c>
    </row>
    <row r="52" spans="1:33" ht="15" x14ac:dyDescent="0.15">
      <c r="A52" s="66" t="s">
        <v>43</v>
      </c>
      <c r="B52" s="80">
        <v>260</v>
      </c>
      <c r="C52" s="68" t="s">
        <v>44</v>
      </c>
      <c r="D52" s="68" t="s">
        <v>70</v>
      </c>
      <c r="E52" s="237">
        <v>1</v>
      </c>
      <c r="F52" s="66" t="s">
        <v>71</v>
      </c>
      <c r="G52" s="110" t="s">
        <v>127</v>
      </c>
      <c r="H52" s="69">
        <v>44125.56527777778</v>
      </c>
      <c r="I52" s="66" t="s">
        <v>48</v>
      </c>
      <c r="J52" s="66">
        <v>10</v>
      </c>
      <c r="K52" s="98">
        <v>3.2</v>
      </c>
      <c r="M52" s="68" t="s">
        <v>49</v>
      </c>
      <c r="N52" s="68" t="s">
        <v>49</v>
      </c>
      <c r="O52" s="68" t="s">
        <v>1163</v>
      </c>
      <c r="P52" s="237">
        <v>1</v>
      </c>
      <c r="R52" s="103">
        <f t="shared" si="0"/>
        <v>0</v>
      </c>
      <c r="T52" s="103">
        <f t="shared" si="2"/>
        <v>0</v>
      </c>
      <c r="U52" s="68">
        <v>2</v>
      </c>
      <c r="V52" s="103">
        <f t="shared" si="3"/>
        <v>1</v>
      </c>
      <c r="W52" s="325" t="s">
        <v>637</v>
      </c>
      <c r="X52" s="324">
        <f t="shared" si="1"/>
        <v>1</v>
      </c>
      <c r="Y52" s="332" t="s">
        <v>71</v>
      </c>
      <c r="Z52" s="333" t="s">
        <v>127</v>
      </c>
      <c r="AA52" s="68" t="s">
        <v>70</v>
      </c>
      <c r="AG52" s="66" t="s">
        <v>128</v>
      </c>
    </row>
    <row r="53" spans="1:33" ht="15" x14ac:dyDescent="0.15">
      <c r="A53" s="66" t="s">
        <v>43</v>
      </c>
      <c r="B53" s="80">
        <v>260</v>
      </c>
      <c r="C53" s="68" t="s">
        <v>44</v>
      </c>
      <c r="D53" s="68" t="s">
        <v>70</v>
      </c>
      <c r="E53" s="237">
        <v>1</v>
      </c>
      <c r="F53" s="66" t="s">
        <v>93</v>
      </c>
      <c r="G53" s="66" t="s">
        <v>129</v>
      </c>
      <c r="H53" s="69">
        <v>44136.854166666664</v>
      </c>
      <c r="I53" s="66" t="s">
        <v>48</v>
      </c>
      <c r="J53" s="66">
        <v>10</v>
      </c>
      <c r="K53" s="98">
        <v>3.2</v>
      </c>
      <c r="M53" s="68" t="s">
        <v>68</v>
      </c>
      <c r="N53" s="68" t="s">
        <v>68</v>
      </c>
      <c r="O53" s="68" t="s">
        <v>1163</v>
      </c>
      <c r="P53" s="237">
        <v>1</v>
      </c>
      <c r="R53" s="103">
        <f t="shared" si="0"/>
        <v>0</v>
      </c>
      <c r="T53" s="103">
        <f t="shared" si="2"/>
        <v>0</v>
      </c>
      <c r="V53" s="103">
        <f t="shared" si="3"/>
        <v>0</v>
      </c>
      <c r="X53" s="324">
        <f t="shared" si="1"/>
        <v>0</v>
      </c>
      <c r="Y53" s="332" t="s">
        <v>93</v>
      </c>
      <c r="Z53" s="332" t="s">
        <v>129</v>
      </c>
      <c r="AA53" s="68" t="s">
        <v>70</v>
      </c>
      <c r="AG53" s="66" t="s">
        <v>69</v>
      </c>
    </row>
    <row r="54" spans="1:33" ht="15" x14ac:dyDescent="0.15">
      <c r="A54" s="66" t="s">
        <v>43</v>
      </c>
      <c r="B54" s="80">
        <v>260</v>
      </c>
      <c r="C54" s="68" t="s">
        <v>44</v>
      </c>
      <c r="D54" s="68" t="s">
        <v>70</v>
      </c>
      <c r="E54" s="237">
        <v>1</v>
      </c>
      <c r="F54" s="66" t="s">
        <v>130</v>
      </c>
      <c r="G54" s="108" t="s">
        <v>131</v>
      </c>
      <c r="H54" s="69">
        <v>44137.469444444447</v>
      </c>
      <c r="I54" s="66" t="s">
        <v>48</v>
      </c>
      <c r="J54" s="66">
        <v>10</v>
      </c>
      <c r="K54" s="98">
        <v>3.2</v>
      </c>
      <c r="M54" s="68" t="s">
        <v>68</v>
      </c>
      <c r="N54" s="68" t="s">
        <v>68</v>
      </c>
      <c r="O54" s="68" t="s">
        <v>1163</v>
      </c>
      <c r="P54" s="237">
        <v>1</v>
      </c>
      <c r="R54" s="103">
        <f t="shared" si="0"/>
        <v>0</v>
      </c>
      <c r="T54" s="103">
        <f t="shared" si="2"/>
        <v>0</v>
      </c>
      <c r="V54" s="103">
        <f t="shared" si="3"/>
        <v>0</v>
      </c>
      <c r="X54" s="324">
        <f t="shared" si="1"/>
        <v>0</v>
      </c>
      <c r="Y54" s="332" t="s">
        <v>130</v>
      </c>
      <c r="Z54" s="334" t="s">
        <v>131</v>
      </c>
      <c r="AA54" s="68" t="s">
        <v>70</v>
      </c>
      <c r="AG54" s="66" t="s">
        <v>132</v>
      </c>
    </row>
    <row r="55" spans="1:33" ht="15" x14ac:dyDescent="0.15">
      <c r="A55" s="66" t="s">
        <v>43</v>
      </c>
      <c r="B55" s="80">
        <v>260</v>
      </c>
      <c r="C55" s="68" t="s">
        <v>44</v>
      </c>
      <c r="D55" s="68" t="s">
        <v>70</v>
      </c>
      <c r="E55" s="237">
        <v>1</v>
      </c>
      <c r="F55" s="66" t="s">
        <v>130</v>
      </c>
      <c r="G55" s="108" t="s">
        <v>133</v>
      </c>
      <c r="H55" s="69">
        <v>44137.469444444447</v>
      </c>
      <c r="I55" s="66" t="s">
        <v>48</v>
      </c>
      <c r="J55" s="66">
        <v>10</v>
      </c>
      <c r="K55" s="98">
        <v>3.2</v>
      </c>
      <c r="M55" s="68" t="s">
        <v>68</v>
      </c>
      <c r="N55" s="68" t="s">
        <v>68</v>
      </c>
      <c r="O55" s="68" t="s">
        <v>1163</v>
      </c>
      <c r="P55" s="237">
        <v>1</v>
      </c>
      <c r="R55" s="103">
        <f t="shared" si="0"/>
        <v>0</v>
      </c>
      <c r="T55" s="103">
        <f t="shared" si="2"/>
        <v>0</v>
      </c>
      <c r="V55" s="103">
        <f t="shared" si="3"/>
        <v>0</v>
      </c>
      <c r="X55" s="324">
        <f t="shared" si="1"/>
        <v>0</v>
      </c>
      <c r="Y55" s="332" t="s">
        <v>130</v>
      </c>
      <c r="Z55" s="334" t="s">
        <v>133</v>
      </c>
      <c r="AA55" s="68" t="s">
        <v>70</v>
      </c>
      <c r="AG55" s="66" t="s">
        <v>69</v>
      </c>
    </row>
    <row r="56" spans="1:33" ht="15" x14ac:dyDescent="0.15">
      <c r="A56" s="66" t="s">
        <v>43</v>
      </c>
      <c r="B56" s="80">
        <v>260</v>
      </c>
      <c r="C56" s="68" t="s">
        <v>44</v>
      </c>
      <c r="D56" s="68" t="s">
        <v>70</v>
      </c>
      <c r="E56" s="237">
        <v>1</v>
      </c>
      <c r="F56" s="66" t="s">
        <v>130</v>
      </c>
      <c r="G56" s="108" t="s">
        <v>134</v>
      </c>
      <c r="H56" s="69">
        <v>44137.469444444447</v>
      </c>
      <c r="I56" s="66" t="s">
        <v>48</v>
      </c>
      <c r="J56" s="66">
        <v>10</v>
      </c>
      <c r="K56" s="98">
        <v>3.2</v>
      </c>
      <c r="M56" s="68" t="s">
        <v>52</v>
      </c>
      <c r="N56" s="68" t="s">
        <v>1143</v>
      </c>
      <c r="O56" s="68" t="s">
        <v>1143</v>
      </c>
      <c r="P56" s="237">
        <v>1</v>
      </c>
      <c r="R56" s="103">
        <f t="shared" si="0"/>
        <v>0</v>
      </c>
      <c r="T56" s="103">
        <f t="shared" si="2"/>
        <v>0</v>
      </c>
      <c r="V56" s="103">
        <f t="shared" si="3"/>
        <v>0</v>
      </c>
      <c r="X56" s="324">
        <f t="shared" si="1"/>
        <v>0</v>
      </c>
      <c r="Y56" s="332" t="s">
        <v>130</v>
      </c>
      <c r="Z56" s="334" t="s">
        <v>134</v>
      </c>
      <c r="AA56" s="68" t="s">
        <v>70</v>
      </c>
      <c r="AE56" s="68" t="s">
        <v>1146</v>
      </c>
      <c r="AG56" s="66" t="s">
        <v>59</v>
      </c>
    </row>
    <row r="57" spans="1:33" ht="15" x14ac:dyDescent="0.15">
      <c r="A57" s="66" t="s">
        <v>43</v>
      </c>
      <c r="B57" s="80">
        <v>260</v>
      </c>
      <c r="C57" s="68" t="s">
        <v>44</v>
      </c>
      <c r="D57" s="68" t="s">
        <v>70</v>
      </c>
      <c r="E57" s="237">
        <v>1</v>
      </c>
      <c r="F57" s="66" t="s">
        <v>130</v>
      </c>
      <c r="G57" s="108" t="s">
        <v>135</v>
      </c>
      <c r="H57" s="69">
        <v>44137.469444444447</v>
      </c>
      <c r="I57" s="66" t="s">
        <v>48</v>
      </c>
      <c r="J57" s="66">
        <v>10</v>
      </c>
      <c r="K57" s="98">
        <v>3.2</v>
      </c>
      <c r="M57" s="68" t="s">
        <v>52</v>
      </c>
      <c r="N57" s="68" t="s">
        <v>1143</v>
      </c>
      <c r="O57" s="68" t="s">
        <v>1143</v>
      </c>
      <c r="P57" s="237">
        <v>1</v>
      </c>
      <c r="R57" s="103">
        <f t="shared" si="0"/>
        <v>0</v>
      </c>
      <c r="T57" s="103">
        <f t="shared" si="2"/>
        <v>0</v>
      </c>
      <c r="V57" s="103">
        <f t="shared" si="3"/>
        <v>0</v>
      </c>
      <c r="X57" s="324">
        <f t="shared" si="1"/>
        <v>0</v>
      </c>
      <c r="Y57" s="332" t="s">
        <v>130</v>
      </c>
      <c r="Z57" s="334" t="s">
        <v>135</v>
      </c>
      <c r="AA57" s="68" t="s">
        <v>70</v>
      </c>
      <c r="AG57" s="66" t="s">
        <v>54</v>
      </c>
    </row>
    <row r="58" spans="1:33" ht="30" x14ac:dyDescent="0.15">
      <c r="A58" s="66" t="s">
        <v>43</v>
      </c>
      <c r="B58" s="80">
        <v>260</v>
      </c>
      <c r="C58" s="68" t="s">
        <v>44</v>
      </c>
      <c r="D58" s="68" t="s">
        <v>70</v>
      </c>
      <c r="E58" s="237">
        <v>1</v>
      </c>
      <c r="F58" s="66" t="s">
        <v>130</v>
      </c>
      <c r="G58" s="108" t="s">
        <v>136</v>
      </c>
      <c r="H58" s="69">
        <v>44137.469444444447</v>
      </c>
      <c r="I58" s="66" t="s">
        <v>48</v>
      </c>
      <c r="J58" s="66">
        <v>10</v>
      </c>
      <c r="K58" s="98">
        <v>3.2</v>
      </c>
      <c r="M58" s="68" t="s">
        <v>52</v>
      </c>
      <c r="N58" s="68" t="s">
        <v>1143</v>
      </c>
      <c r="O58" s="68" t="s">
        <v>1143</v>
      </c>
      <c r="P58" s="237">
        <v>1</v>
      </c>
      <c r="R58" s="103">
        <f t="shared" si="0"/>
        <v>0</v>
      </c>
      <c r="T58" s="103">
        <f t="shared" si="2"/>
        <v>0</v>
      </c>
      <c r="V58" s="103">
        <f t="shared" si="3"/>
        <v>0</v>
      </c>
      <c r="X58" s="324">
        <f t="shared" si="1"/>
        <v>0</v>
      </c>
      <c r="Y58" s="332" t="s">
        <v>130</v>
      </c>
      <c r="Z58" s="334" t="s">
        <v>136</v>
      </c>
      <c r="AA58" s="68" t="s">
        <v>70</v>
      </c>
      <c r="AG58" s="66" t="s">
        <v>54</v>
      </c>
    </row>
    <row r="59" spans="1:33" ht="30" x14ac:dyDescent="0.15">
      <c r="A59" s="66" t="s">
        <v>43</v>
      </c>
      <c r="B59" s="80">
        <v>260</v>
      </c>
      <c r="C59" s="68" t="s">
        <v>44</v>
      </c>
      <c r="D59" s="68" t="s">
        <v>70</v>
      </c>
      <c r="E59" s="237">
        <v>1</v>
      </c>
      <c r="F59" s="66" t="s">
        <v>130</v>
      </c>
      <c r="G59" s="108" t="s">
        <v>137</v>
      </c>
      <c r="H59" s="69">
        <v>44137.469444444447</v>
      </c>
      <c r="I59" s="66" t="s">
        <v>48</v>
      </c>
      <c r="J59" s="66">
        <v>10</v>
      </c>
      <c r="K59" s="98">
        <v>3.2</v>
      </c>
      <c r="M59" s="68" t="s">
        <v>52</v>
      </c>
      <c r="N59" s="68" t="s">
        <v>1143</v>
      </c>
      <c r="O59" s="68" t="s">
        <v>1143</v>
      </c>
      <c r="P59" s="237">
        <v>1</v>
      </c>
      <c r="R59" s="103">
        <f t="shared" si="0"/>
        <v>0</v>
      </c>
      <c r="T59" s="103">
        <f t="shared" si="2"/>
        <v>0</v>
      </c>
      <c r="V59" s="103">
        <f t="shared" si="3"/>
        <v>0</v>
      </c>
      <c r="X59" s="324">
        <f t="shared" si="1"/>
        <v>0</v>
      </c>
      <c r="Y59" s="332" t="s">
        <v>130</v>
      </c>
      <c r="Z59" s="334" t="s">
        <v>137</v>
      </c>
      <c r="AA59" s="68" t="s">
        <v>70</v>
      </c>
      <c r="AG59" s="66" t="s">
        <v>54</v>
      </c>
    </row>
    <row r="60" spans="1:33" ht="45" x14ac:dyDescent="0.15">
      <c r="A60" s="66" t="s">
        <v>43</v>
      </c>
      <c r="B60" s="80">
        <v>260</v>
      </c>
      <c r="C60" s="68" t="s">
        <v>44</v>
      </c>
      <c r="D60" s="68" t="s">
        <v>70</v>
      </c>
      <c r="E60" s="237">
        <v>1</v>
      </c>
      <c r="F60" s="66" t="s">
        <v>130</v>
      </c>
      <c r="G60" s="108" t="s">
        <v>138</v>
      </c>
      <c r="H60" s="69">
        <v>44137.469444444447</v>
      </c>
      <c r="I60" s="66" t="s">
        <v>48</v>
      </c>
      <c r="J60" s="66">
        <v>10</v>
      </c>
      <c r="K60" s="98">
        <v>3.2</v>
      </c>
      <c r="M60" s="68" t="s">
        <v>52</v>
      </c>
      <c r="N60" s="68" t="s">
        <v>1143</v>
      </c>
      <c r="O60" s="68" t="s">
        <v>1143</v>
      </c>
      <c r="P60" s="237">
        <v>1</v>
      </c>
      <c r="R60" s="103">
        <f t="shared" si="0"/>
        <v>0</v>
      </c>
      <c r="T60" s="103">
        <f t="shared" si="2"/>
        <v>0</v>
      </c>
      <c r="V60" s="103">
        <f t="shared" si="3"/>
        <v>0</v>
      </c>
      <c r="X60" s="324">
        <f t="shared" si="1"/>
        <v>0</v>
      </c>
      <c r="Y60" s="332" t="s">
        <v>130</v>
      </c>
      <c r="Z60" s="334" t="s">
        <v>138</v>
      </c>
      <c r="AA60" s="68" t="s">
        <v>70</v>
      </c>
      <c r="AG60" s="66" t="s">
        <v>54</v>
      </c>
    </row>
    <row r="61" spans="1:33" ht="15" x14ac:dyDescent="0.15">
      <c r="A61" s="66" t="s">
        <v>43</v>
      </c>
      <c r="B61" s="80">
        <v>260</v>
      </c>
      <c r="C61" s="68" t="s">
        <v>44</v>
      </c>
      <c r="D61" s="68" t="s">
        <v>70</v>
      </c>
      <c r="E61" s="237">
        <v>1</v>
      </c>
      <c r="F61" s="66" t="s">
        <v>130</v>
      </c>
      <c r="G61" s="108" t="s">
        <v>139</v>
      </c>
      <c r="H61" s="69">
        <v>44137.469444444447</v>
      </c>
      <c r="I61" s="66" t="s">
        <v>48</v>
      </c>
      <c r="J61" s="66">
        <v>10</v>
      </c>
      <c r="K61" s="98">
        <v>3.2</v>
      </c>
      <c r="M61" s="68" t="s">
        <v>1162</v>
      </c>
      <c r="N61" s="68" t="s">
        <v>1162</v>
      </c>
      <c r="O61" s="68" t="s">
        <v>1162</v>
      </c>
      <c r="P61" s="237">
        <v>1</v>
      </c>
      <c r="R61" s="103">
        <f t="shared" si="0"/>
        <v>0</v>
      </c>
      <c r="T61" s="103">
        <f t="shared" si="2"/>
        <v>0</v>
      </c>
      <c r="V61" s="103">
        <f t="shared" si="3"/>
        <v>0</v>
      </c>
      <c r="X61" s="324">
        <f t="shared" si="1"/>
        <v>0</v>
      </c>
      <c r="Y61" s="332" t="s">
        <v>130</v>
      </c>
      <c r="Z61" s="334" t="s">
        <v>139</v>
      </c>
      <c r="AA61" s="68" t="s">
        <v>70</v>
      </c>
      <c r="AG61" s="66" t="s">
        <v>78</v>
      </c>
    </row>
    <row r="62" spans="1:33" ht="30" x14ac:dyDescent="0.15">
      <c r="A62" s="66" t="s">
        <v>43</v>
      </c>
      <c r="B62" s="80">
        <v>260</v>
      </c>
      <c r="C62" s="68" t="s">
        <v>44</v>
      </c>
      <c r="D62" s="68" t="s">
        <v>70</v>
      </c>
      <c r="E62" s="237">
        <v>1</v>
      </c>
      <c r="F62" s="66" t="s">
        <v>130</v>
      </c>
      <c r="G62" s="108" t="s">
        <v>140</v>
      </c>
      <c r="H62" s="69">
        <v>44137.470138888886</v>
      </c>
      <c r="I62" s="66" t="s">
        <v>48</v>
      </c>
      <c r="J62" s="66">
        <v>10</v>
      </c>
      <c r="K62" s="98">
        <v>3.2</v>
      </c>
      <c r="M62" s="68" t="s">
        <v>52</v>
      </c>
      <c r="N62" s="68" t="s">
        <v>1143</v>
      </c>
      <c r="O62" s="68" t="s">
        <v>1143</v>
      </c>
      <c r="P62" s="237">
        <v>1</v>
      </c>
      <c r="R62" s="103">
        <f t="shared" si="0"/>
        <v>0</v>
      </c>
      <c r="T62" s="103">
        <f t="shared" si="2"/>
        <v>0</v>
      </c>
      <c r="V62" s="103">
        <f t="shared" si="3"/>
        <v>0</v>
      </c>
      <c r="X62" s="324">
        <f t="shared" si="1"/>
        <v>0</v>
      </c>
      <c r="Y62" s="332" t="s">
        <v>130</v>
      </c>
      <c r="Z62" s="334" t="s">
        <v>140</v>
      </c>
      <c r="AA62" s="68" t="s">
        <v>70</v>
      </c>
      <c r="AG62" s="66" t="s">
        <v>54</v>
      </c>
    </row>
    <row r="63" spans="1:33" ht="30" x14ac:dyDescent="0.15">
      <c r="A63" s="66" t="s">
        <v>43</v>
      </c>
      <c r="B63" s="80">
        <v>260</v>
      </c>
      <c r="C63" s="68" t="s">
        <v>44</v>
      </c>
      <c r="D63" s="68" t="s">
        <v>70</v>
      </c>
      <c r="E63" s="237">
        <v>1</v>
      </c>
      <c r="F63" s="66" t="s">
        <v>130</v>
      </c>
      <c r="G63" s="108" t="s">
        <v>141</v>
      </c>
      <c r="H63" s="69">
        <v>44137.470138888886</v>
      </c>
      <c r="I63" s="66" t="s">
        <v>48</v>
      </c>
      <c r="J63" s="66">
        <v>10</v>
      </c>
      <c r="K63" s="98">
        <v>3.2</v>
      </c>
      <c r="M63" s="68" t="s">
        <v>52</v>
      </c>
      <c r="N63" s="68" t="s">
        <v>1143</v>
      </c>
      <c r="O63" s="68" t="s">
        <v>1143</v>
      </c>
      <c r="P63" s="237">
        <v>1</v>
      </c>
      <c r="R63" s="103">
        <f t="shared" si="0"/>
        <v>0</v>
      </c>
      <c r="T63" s="103">
        <f t="shared" si="2"/>
        <v>0</v>
      </c>
      <c r="V63" s="103">
        <f t="shared" si="3"/>
        <v>0</v>
      </c>
      <c r="X63" s="324">
        <f t="shared" si="1"/>
        <v>0</v>
      </c>
      <c r="Y63" s="332" t="s">
        <v>130</v>
      </c>
      <c r="Z63" s="334" t="s">
        <v>141</v>
      </c>
      <c r="AA63" s="68" t="s">
        <v>70</v>
      </c>
      <c r="AG63" s="66" t="s">
        <v>54</v>
      </c>
    </row>
    <row r="64" spans="1:33" ht="30" x14ac:dyDescent="0.15">
      <c r="A64" s="66" t="s">
        <v>43</v>
      </c>
      <c r="B64" s="80">
        <v>260</v>
      </c>
      <c r="C64" s="68" t="s">
        <v>44</v>
      </c>
      <c r="D64" s="68" t="s">
        <v>70</v>
      </c>
      <c r="E64" s="237">
        <v>1</v>
      </c>
      <c r="F64" s="66" t="s">
        <v>130</v>
      </c>
      <c r="G64" s="108" t="s">
        <v>142</v>
      </c>
      <c r="H64" s="69">
        <v>44137.470138888886</v>
      </c>
      <c r="I64" s="66" t="s">
        <v>48</v>
      </c>
      <c r="J64" s="66">
        <v>10</v>
      </c>
      <c r="K64" s="98">
        <v>3.2</v>
      </c>
      <c r="M64" s="68" t="s">
        <v>52</v>
      </c>
      <c r="N64" s="68" t="s">
        <v>1143</v>
      </c>
      <c r="O64" s="68" t="s">
        <v>1143</v>
      </c>
      <c r="P64" s="237">
        <v>1</v>
      </c>
      <c r="R64" s="103">
        <f t="shared" si="0"/>
        <v>0</v>
      </c>
      <c r="T64" s="103">
        <f t="shared" si="2"/>
        <v>0</v>
      </c>
      <c r="V64" s="103">
        <f t="shared" si="3"/>
        <v>0</v>
      </c>
      <c r="X64" s="324">
        <f t="shared" si="1"/>
        <v>0</v>
      </c>
      <c r="Y64" s="332" t="s">
        <v>130</v>
      </c>
      <c r="Z64" s="334" t="s">
        <v>142</v>
      </c>
      <c r="AA64" s="68" t="s">
        <v>70</v>
      </c>
      <c r="AG64" s="66" t="s">
        <v>54</v>
      </c>
    </row>
    <row r="65" spans="1:33" ht="60" x14ac:dyDescent="0.15">
      <c r="A65" s="66" t="s">
        <v>43</v>
      </c>
      <c r="B65" s="80">
        <v>260</v>
      </c>
      <c r="C65" s="68" t="s">
        <v>44</v>
      </c>
      <c r="D65" s="68" t="s">
        <v>70</v>
      </c>
      <c r="E65" s="237">
        <v>1</v>
      </c>
      <c r="F65" s="66" t="s">
        <v>130</v>
      </c>
      <c r="G65" s="108" t="s">
        <v>143</v>
      </c>
      <c r="H65" s="69">
        <v>44137.470138888886</v>
      </c>
      <c r="I65" s="66" t="s">
        <v>48</v>
      </c>
      <c r="J65" s="66">
        <v>10</v>
      </c>
      <c r="K65" s="98">
        <v>3.2</v>
      </c>
      <c r="M65" s="68" t="s">
        <v>52</v>
      </c>
      <c r="N65" s="68" t="s">
        <v>1143</v>
      </c>
      <c r="O65" s="68" t="s">
        <v>1143</v>
      </c>
      <c r="P65" s="237">
        <v>1</v>
      </c>
      <c r="R65" s="103">
        <f t="shared" si="0"/>
        <v>0</v>
      </c>
      <c r="T65" s="103">
        <f t="shared" si="2"/>
        <v>0</v>
      </c>
      <c r="V65" s="103">
        <f t="shared" si="3"/>
        <v>0</v>
      </c>
      <c r="W65" s="325" t="s">
        <v>637</v>
      </c>
      <c r="X65" s="324">
        <f t="shared" si="1"/>
        <v>1</v>
      </c>
      <c r="Y65" s="332" t="s">
        <v>130</v>
      </c>
      <c r="Z65" s="334" t="s">
        <v>143</v>
      </c>
      <c r="AA65" s="68" t="s">
        <v>70</v>
      </c>
      <c r="AG65" s="66" t="s">
        <v>54</v>
      </c>
    </row>
    <row r="66" spans="1:33" ht="15" x14ac:dyDescent="0.15">
      <c r="A66" s="66" t="s">
        <v>43</v>
      </c>
      <c r="B66" s="80">
        <v>260</v>
      </c>
      <c r="C66" s="68" t="s">
        <v>44</v>
      </c>
      <c r="D66" s="68" t="s">
        <v>70</v>
      </c>
      <c r="E66" s="237">
        <v>1</v>
      </c>
      <c r="F66" s="66" t="s">
        <v>130</v>
      </c>
      <c r="G66" s="108" t="s">
        <v>144</v>
      </c>
      <c r="H66" s="69">
        <v>44137.470138888886</v>
      </c>
      <c r="I66" s="66" t="s">
        <v>48</v>
      </c>
      <c r="J66" s="66">
        <v>10</v>
      </c>
      <c r="K66" s="98">
        <v>3.2</v>
      </c>
      <c r="M66" s="68" t="s">
        <v>52</v>
      </c>
      <c r="N66" s="68" t="s">
        <v>1143</v>
      </c>
      <c r="O66" s="68" t="s">
        <v>1143</v>
      </c>
      <c r="P66" s="237">
        <v>1</v>
      </c>
      <c r="R66" s="103">
        <f t="shared" si="0"/>
        <v>0</v>
      </c>
      <c r="T66" s="103">
        <f t="shared" si="2"/>
        <v>0</v>
      </c>
      <c r="V66" s="103">
        <f t="shared" si="3"/>
        <v>0</v>
      </c>
      <c r="X66" s="324">
        <f t="shared" si="1"/>
        <v>0</v>
      </c>
      <c r="Y66" s="332" t="s">
        <v>130</v>
      </c>
      <c r="Z66" s="334" t="s">
        <v>144</v>
      </c>
      <c r="AA66" s="68" t="s">
        <v>70</v>
      </c>
      <c r="AG66" s="66" t="s">
        <v>54</v>
      </c>
    </row>
    <row r="67" spans="1:33" ht="15" x14ac:dyDescent="0.15">
      <c r="A67" s="66" t="s">
        <v>43</v>
      </c>
      <c r="B67" s="80">
        <v>260</v>
      </c>
      <c r="C67" s="68" t="s">
        <v>44</v>
      </c>
      <c r="D67" s="68" t="s">
        <v>70</v>
      </c>
      <c r="E67" s="237">
        <v>1</v>
      </c>
      <c r="F67" s="66" t="s">
        <v>130</v>
      </c>
      <c r="G67" s="108" t="s">
        <v>145</v>
      </c>
      <c r="H67" s="69">
        <v>44137.470833333333</v>
      </c>
      <c r="I67" s="66" t="s">
        <v>48</v>
      </c>
      <c r="J67" s="66">
        <v>10</v>
      </c>
      <c r="K67" s="98">
        <v>3.2</v>
      </c>
      <c r="M67" s="68" t="s">
        <v>52</v>
      </c>
      <c r="N67" s="68" t="s">
        <v>1143</v>
      </c>
      <c r="O67" s="68" t="s">
        <v>1143</v>
      </c>
      <c r="P67" s="237">
        <v>1</v>
      </c>
      <c r="R67" s="103">
        <f t="shared" ref="R67:R130" si="4">IF(Q67&lt;&gt;"",1,0)</f>
        <v>0</v>
      </c>
      <c r="T67" s="103">
        <f t="shared" si="2"/>
        <v>0</v>
      </c>
      <c r="V67" s="103">
        <f t="shared" ref="V67:V130" si="5">IF(U67&lt;&gt;"",1,0)</f>
        <v>0</v>
      </c>
      <c r="X67" s="324">
        <f t="shared" ref="X67:X130" si="6">IF(W67&lt;&gt;"",1,0)</f>
        <v>0</v>
      </c>
      <c r="Y67" s="332" t="s">
        <v>130</v>
      </c>
      <c r="Z67" s="334" t="s">
        <v>145</v>
      </c>
      <c r="AA67" s="68" t="s">
        <v>70</v>
      </c>
      <c r="AG67" s="66" t="s">
        <v>54</v>
      </c>
    </row>
    <row r="68" spans="1:33" ht="45" x14ac:dyDescent="0.15">
      <c r="A68" s="66" t="s">
        <v>43</v>
      </c>
      <c r="B68" s="80">
        <v>260</v>
      </c>
      <c r="C68" s="68" t="s">
        <v>44</v>
      </c>
      <c r="D68" s="68" t="s">
        <v>70</v>
      </c>
      <c r="E68" s="237">
        <v>1</v>
      </c>
      <c r="F68" s="66" t="s">
        <v>130</v>
      </c>
      <c r="G68" s="108" t="s">
        <v>146</v>
      </c>
      <c r="H68" s="69">
        <v>44137.470833333333</v>
      </c>
      <c r="I68" s="66" t="s">
        <v>48</v>
      </c>
      <c r="J68" s="66">
        <v>10</v>
      </c>
      <c r="K68" s="98">
        <v>3.2</v>
      </c>
      <c r="M68" s="68" t="s">
        <v>52</v>
      </c>
      <c r="N68" s="68" t="s">
        <v>1143</v>
      </c>
      <c r="O68" s="68" t="s">
        <v>1143</v>
      </c>
      <c r="P68" s="237">
        <v>1</v>
      </c>
      <c r="R68" s="103">
        <f t="shared" si="4"/>
        <v>0</v>
      </c>
      <c r="T68" s="103">
        <f t="shared" ref="T68:T131" si="7">IF(S67&lt;&gt;"",1,0)</f>
        <v>0</v>
      </c>
      <c r="V68" s="103">
        <f t="shared" si="5"/>
        <v>0</v>
      </c>
      <c r="X68" s="324">
        <f t="shared" si="6"/>
        <v>0</v>
      </c>
      <c r="Y68" s="332" t="s">
        <v>130</v>
      </c>
      <c r="Z68" s="334" t="s">
        <v>146</v>
      </c>
      <c r="AA68" s="68" t="s">
        <v>70</v>
      </c>
      <c r="AG68" s="66" t="s">
        <v>54</v>
      </c>
    </row>
    <row r="69" spans="1:33" ht="30" x14ac:dyDescent="0.15">
      <c r="A69" s="66" t="s">
        <v>43</v>
      </c>
      <c r="B69" s="80">
        <v>260</v>
      </c>
      <c r="C69" s="68" t="s">
        <v>44</v>
      </c>
      <c r="D69" s="68" t="s">
        <v>70</v>
      </c>
      <c r="E69" s="237">
        <v>1</v>
      </c>
      <c r="F69" s="66" t="s">
        <v>130</v>
      </c>
      <c r="G69" s="108" t="s">
        <v>147</v>
      </c>
      <c r="H69" s="69">
        <v>44137.470833333333</v>
      </c>
      <c r="I69" s="66" t="s">
        <v>48</v>
      </c>
      <c r="J69" s="66">
        <v>10</v>
      </c>
      <c r="K69" s="98">
        <v>3.2</v>
      </c>
      <c r="M69" s="68" t="s">
        <v>52</v>
      </c>
      <c r="N69" s="68" t="s">
        <v>1143</v>
      </c>
      <c r="O69" s="68" t="s">
        <v>1143</v>
      </c>
      <c r="P69" s="237">
        <v>1</v>
      </c>
      <c r="R69" s="103">
        <f t="shared" si="4"/>
        <v>0</v>
      </c>
      <c r="T69" s="103">
        <f t="shared" si="7"/>
        <v>0</v>
      </c>
      <c r="V69" s="103">
        <f t="shared" si="5"/>
        <v>0</v>
      </c>
      <c r="X69" s="324">
        <f t="shared" si="6"/>
        <v>0</v>
      </c>
      <c r="Y69" s="332" t="s">
        <v>130</v>
      </c>
      <c r="Z69" s="334" t="s">
        <v>147</v>
      </c>
      <c r="AA69" s="68" t="s">
        <v>70</v>
      </c>
      <c r="AC69" s="68" t="s">
        <v>74</v>
      </c>
      <c r="AG69" s="66" t="s">
        <v>148</v>
      </c>
    </row>
    <row r="70" spans="1:33" ht="15" x14ac:dyDescent="0.15">
      <c r="A70" s="66" t="s">
        <v>43</v>
      </c>
      <c r="B70" s="80">
        <v>260</v>
      </c>
      <c r="C70" s="68" t="s">
        <v>44</v>
      </c>
      <c r="D70" s="68" t="s">
        <v>70</v>
      </c>
      <c r="E70" s="237">
        <v>1</v>
      </c>
      <c r="F70" s="66" t="s">
        <v>130</v>
      </c>
      <c r="G70" s="108" t="s">
        <v>149</v>
      </c>
      <c r="H70" s="69">
        <v>44137.470833333333</v>
      </c>
      <c r="I70" s="66" t="s">
        <v>48</v>
      </c>
      <c r="J70" s="66">
        <v>10</v>
      </c>
      <c r="K70" s="98">
        <v>3.2</v>
      </c>
      <c r="M70" s="68" t="s">
        <v>52</v>
      </c>
      <c r="N70" s="68" t="s">
        <v>1143</v>
      </c>
      <c r="O70" s="68" t="s">
        <v>1143</v>
      </c>
      <c r="P70" s="237">
        <v>1</v>
      </c>
      <c r="R70" s="103">
        <f t="shared" si="4"/>
        <v>0</v>
      </c>
      <c r="T70" s="103">
        <f t="shared" si="7"/>
        <v>0</v>
      </c>
      <c r="V70" s="103">
        <f t="shared" si="5"/>
        <v>0</v>
      </c>
      <c r="X70" s="324">
        <f t="shared" si="6"/>
        <v>0</v>
      </c>
      <c r="Y70" s="332" t="s">
        <v>130</v>
      </c>
      <c r="Z70" s="334" t="s">
        <v>149</v>
      </c>
      <c r="AA70" s="68" t="s">
        <v>70</v>
      </c>
      <c r="AG70" s="66" t="s">
        <v>148</v>
      </c>
    </row>
    <row r="71" spans="1:33" ht="30" x14ac:dyDescent="0.15">
      <c r="A71" s="66" t="s">
        <v>43</v>
      </c>
      <c r="B71" s="80">
        <v>260</v>
      </c>
      <c r="C71" s="68" t="s">
        <v>44</v>
      </c>
      <c r="D71" s="68" t="s">
        <v>70</v>
      </c>
      <c r="E71" s="237">
        <v>1</v>
      </c>
      <c r="F71" s="66" t="s">
        <v>130</v>
      </c>
      <c r="G71" s="108" t="s">
        <v>150</v>
      </c>
      <c r="H71" s="69">
        <v>44137.470833333333</v>
      </c>
      <c r="I71" s="66" t="s">
        <v>48</v>
      </c>
      <c r="J71" s="66">
        <v>10</v>
      </c>
      <c r="K71" s="98">
        <v>3.2</v>
      </c>
      <c r="M71" s="68" t="s">
        <v>52</v>
      </c>
      <c r="N71" s="68" t="s">
        <v>1143</v>
      </c>
      <c r="O71" s="68" t="s">
        <v>1143</v>
      </c>
      <c r="P71" s="237">
        <v>1</v>
      </c>
      <c r="R71" s="103">
        <f t="shared" si="4"/>
        <v>0</v>
      </c>
      <c r="T71" s="103">
        <f t="shared" si="7"/>
        <v>0</v>
      </c>
      <c r="V71" s="103">
        <f t="shared" si="5"/>
        <v>0</v>
      </c>
      <c r="X71" s="324">
        <f t="shared" si="6"/>
        <v>0</v>
      </c>
      <c r="Y71" s="332" t="s">
        <v>130</v>
      </c>
      <c r="Z71" s="334" t="s">
        <v>150</v>
      </c>
      <c r="AA71" s="68" t="s">
        <v>70</v>
      </c>
      <c r="AG71" s="66" t="s">
        <v>54</v>
      </c>
    </row>
    <row r="72" spans="1:33" ht="45" x14ac:dyDescent="0.15">
      <c r="A72" s="66" t="s">
        <v>43</v>
      </c>
      <c r="B72" s="80">
        <v>260</v>
      </c>
      <c r="C72" s="68" t="s">
        <v>44</v>
      </c>
      <c r="D72" s="68" t="s">
        <v>70</v>
      </c>
      <c r="E72" s="237">
        <v>1</v>
      </c>
      <c r="F72" s="66" t="s">
        <v>130</v>
      </c>
      <c r="G72" s="108" t="s">
        <v>151</v>
      </c>
      <c r="H72" s="69">
        <v>44137.470833333333</v>
      </c>
      <c r="I72" s="66" t="s">
        <v>48</v>
      </c>
      <c r="J72" s="66">
        <v>10</v>
      </c>
      <c r="K72" s="98">
        <v>3.2</v>
      </c>
      <c r="M72" s="68" t="s">
        <v>52</v>
      </c>
      <c r="N72" s="68" t="s">
        <v>1143</v>
      </c>
      <c r="O72" s="68" t="s">
        <v>1143</v>
      </c>
      <c r="P72" s="237">
        <v>1</v>
      </c>
      <c r="R72" s="103">
        <f t="shared" si="4"/>
        <v>0</v>
      </c>
      <c r="T72" s="103">
        <f t="shared" si="7"/>
        <v>0</v>
      </c>
      <c r="V72" s="103">
        <f t="shared" si="5"/>
        <v>0</v>
      </c>
      <c r="X72" s="324">
        <f t="shared" si="6"/>
        <v>0</v>
      </c>
      <c r="Y72" s="332" t="s">
        <v>130</v>
      </c>
      <c r="Z72" s="334" t="s">
        <v>151</v>
      </c>
      <c r="AA72" s="68" t="s">
        <v>70</v>
      </c>
      <c r="AC72" s="68" t="s">
        <v>74</v>
      </c>
      <c r="AG72" s="66" t="s">
        <v>54</v>
      </c>
    </row>
    <row r="73" spans="1:33" ht="15" x14ac:dyDescent="0.15">
      <c r="A73" s="66" t="s">
        <v>43</v>
      </c>
      <c r="B73" s="80">
        <v>260</v>
      </c>
      <c r="C73" s="68" t="s">
        <v>44</v>
      </c>
      <c r="D73" s="68" t="s">
        <v>70</v>
      </c>
      <c r="E73" s="237">
        <v>1</v>
      </c>
      <c r="F73" s="66" t="s">
        <v>130</v>
      </c>
      <c r="G73" s="108" t="s">
        <v>152</v>
      </c>
      <c r="H73" s="69">
        <v>44137.470833333333</v>
      </c>
      <c r="I73" s="66" t="s">
        <v>48</v>
      </c>
      <c r="J73" s="66">
        <v>10</v>
      </c>
      <c r="K73" s="98">
        <v>3.2</v>
      </c>
      <c r="M73" s="68" t="s">
        <v>52</v>
      </c>
      <c r="N73" s="68" t="s">
        <v>1143</v>
      </c>
      <c r="O73" s="68" t="s">
        <v>1143</v>
      </c>
      <c r="P73" s="237">
        <v>1</v>
      </c>
      <c r="R73" s="103">
        <f t="shared" si="4"/>
        <v>0</v>
      </c>
      <c r="T73" s="103">
        <f t="shared" si="7"/>
        <v>0</v>
      </c>
      <c r="V73" s="103">
        <f t="shared" si="5"/>
        <v>0</v>
      </c>
      <c r="X73" s="324">
        <f t="shared" si="6"/>
        <v>0</v>
      </c>
      <c r="Y73" s="332" t="s">
        <v>130</v>
      </c>
      <c r="Z73" s="334" t="s">
        <v>152</v>
      </c>
      <c r="AA73" s="68" t="s">
        <v>70</v>
      </c>
      <c r="AC73" s="68" t="s">
        <v>74</v>
      </c>
      <c r="AG73" s="66" t="s">
        <v>148</v>
      </c>
    </row>
    <row r="74" spans="1:33" ht="15" x14ac:dyDescent="0.15">
      <c r="A74" s="66" t="s">
        <v>43</v>
      </c>
      <c r="B74" s="80">
        <v>260</v>
      </c>
      <c r="C74" s="68" t="s">
        <v>44</v>
      </c>
      <c r="D74" s="103" t="s">
        <v>153</v>
      </c>
      <c r="E74" s="237">
        <v>1</v>
      </c>
      <c r="F74" s="110" t="s">
        <v>154</v>
      </c>
      <c r="G74" s="110" t="s">
        <v>155</v>
      </c>
      <c r="H74" s="69">
        <v>44128.783333333333</v>
      </c>
      <c r="I74" s="66" t="s">
        <v>48</v>
      </c>
      <c r="J74" s="66">
        <v>10</v>
      </c>
      <c r="K74" s="98">
        <v>3.3</v>
      </c>
      <c r="M74" s="68" t="s">
        <v>1162</v>
      </c>
      <c r="N74" s="68" t="s">
        <v>1162</v>
      </c>
      <c r="O74" s="68" t="s">
        <v>1162</v>
      </c>
      <c r="P74" s="237">
        <v>1</v>
      </c>
      <c r="R74" s="103">
        <f t="shared" si="4"/>
        <v>0</v>
      </c>
      <c r="T74" s="103">
        <f t="shared" si="7"/>
        <v>0</v>
      </c>
      <c r="V74" s="103">
        <f t="shared" si="5"/>
        <v>0</v>
      </c>
      <c r="X74" s="324">
        <f t="shared" si="6"/>
        <v>0</v>
      </c>
      <c r="Y74" s="333" t="s">
        <v>154</v>
      </c>
      <c r="Z74" s="333" t="s">
        <v>155</v>
      </c>
      <c r="AA74" s="103" t="s">
        <v>153</v>
      </c>
      <c r="AG74" s="66" t="s">
        <v>78</v>
      </c>
    </row>
    <row r="75" spans="1:33" ht="30" x14ac:dyDescent="0.15">
      <c r="A75" s="66" t="s">
        <v>43</v>
      </c>
      <c r="B75" s="80">
        <v>260</v>
      </c>
      <c r="C75" s="68" t="s">
        <v>44</v>
      </c>
      <c r="D75" s="103" t="s">
        <v>153</v>
      </c>
      <c r="E75" s="237">
        <v>1</v>
      </c>
      <c r="F75" s="110" t="s">
        <v>154</v>
      </c>
      <c r="G75" s="110" t="s">
        <v>156</v>
      </c>
      <c r="H75" s="69">
        <v>44128.786111111112</v>
      </c>
      <c r="I75" s="66" t="s">
        <v>48</v>
      </c>
      <c r="J75" s="66">
        <v>10</v>
      </c>
      <c r="K75" s="98">
        <v>3.3</v>
      </c>
      <c r="M75" s="68" t="s">
        <v>52</v>
      </c>
      <c r="N75" s="68" t="s">
        <v>1143</v>
      </c>
      <c r="O75" s="68" t="s">
        <v>1143</v>
      </c>
      <c r="P75" s="237">
        <v>1</v>
      </c>
      <c r="R75" s="103">
        <f t="shared" si="4"/>
        <v>0</v>
      </c>
      <c r="T75" s="103">
        <f t="shared" si="7"/>
        <v>0</v>
      </c>
      <c r="V75" s="103">
        <f t="shared" si="5"/>
        <v>0</v>
      </c>
      <c r="X75" s="324">
        <f t="shared" si="6"/>
        <v>0</v>
      </c>
      <c r="Y75" s="333" t="s">
        <v>154</v>
      </c>
      <c r="Z75" s="333" t="s">
        <v>156</v>
      </c>
      <c r="AA75" s="103" t="s">
        <v>153</v>
      </c>
      <c r="AG75" s="66" t="s">
        <v>54</v>
      </c>
    </row>
    <row r="76" spans="1:33" ht="30" x14ac:dyDescent="0.15">
      <c r="A76" s="66" t="s">
        <v>43</v>
      </c>
      <c r="B76" s="80">
        <v>260</v>
      </c>
      <c r="C76" s="68" t="s">
        <v>44</v>
      </c>
      <c r="D76" s="103" t="s">
        <v>153</v>
      </c>
      <c r="E76" s="237">
        <v>1</v>
      </c>
      <c r="F76" s="110" t="s">
        <v>154</v>
      </c>
      <c r="G76" s="110" t="s">
        <v>157</v>
      </c>
      <c r="H76" s="69">
        <v>44128.786111111112</v>
      </c>
      <c r="I76" s="66" t="s">
        <v>48</v>
      </c>
      <c r="J76" s="66">
        <v>10</v>
      </c>
      <c r="K76" s="98">
        <v>3.3</v>
      </c>
      <c r="M76" s="68" t="s">
        <v>52</v>
      </c>
      <c r="N76" s="68" t="s">
        <v>1143</v>
      </c>
      <c r="O76" s="68" t="s">
        <v>1143</v>
      </c>
      <c r="P76" s="237">
        <v>1</v>
      </c>
      <c r="R76" s="103">
        <f t="shared" si="4"/>
        <v>0</v>
      </c>
      <c r="T76" s="103">
        <f t="shared" si="7"/>
        <v>0</v>
      </c>
      <c r="V76" s="103">
        <f t="shared" si="5"/>
        <v>0</v>
      </c>
      <c r="X76" s="324">
        <f t="shared" si="6"/>
        <v>0</v>
      </c>
      <c r="Y76" s="333" t="s">
        <v>154</v>
      </c>
      <c r="Z76" s="333" t="s">
        <v>157</v>
      </c>
      <c r="AA76" s="103" t="s">
        <v>153</v>
      </c>
      <c r="AG76" s="66" t="s">
        <v>54</v>
      </c>
    </row>
    <row r="77" spans="1:33" ht="60" x14ac:dyDescent="0.15">
      <c r="A77" s="66" t="s">
        <v>43</v>
      </c>
      <c r="B77" s="80">
        <v>260</v>
      </c>
      <c r="C77" s="68" t="s">
        <v>44</v>
      </c>
      <c r="D77" s="103" t="s">
        <v>153</v>
      </c>
      <c r="E77" s="237">
        <v>1</v>
      </c>
      <c r="F77" s="110" t="s">
        <v>154</v>
      </c>
      <c r="G77" s="110" t="s">
        <v>158</v>
      </c>
      <c r="H77" s="69">
        <v>44128.786111111112</v>
      </c>
      <c r="I77" s="66" t="s">
        <v>48</v>
      </c>
      <c r="J77" s="66">
        <v>10</v>
      </c>
      <c r="K77" s="98">
        <v>3.3</v>
      </c>
      <c r="M77" s="68" t="s">
        <v>52</v>
      </c>
      <c r="N77" s="68" t="s">
        <v>1143</v>
      </c>
      <c r="O77" s="68" t="s">
        <v>1143</v>
      </c>
      <c r="P77" s="237">
        <v>1</v>
      </c>
      <c r="R77" s="103">
        <f t="shared" si="4"/>
        <v>0</v>
      </c>
      <c r="T77" s="103">
        <f t="shared" si="7"/>
        <v>0</v>
      </c>
      <c r="V77" s="103">
        <f t="shared" si="5"/>
        <v>0</v>
      </c>
      <c r="X77" s="324">
        <f t="shared" si="6"/>
        <v>0</v>
      </c>
      <c r="Y77" s="333" t="s">
        <v>154</v>
      </c>
      <c r="Z77" s="333" t="s">
        <v>158</v>
      </c>
      <c r="AA77" s="103" t="s">
        <v>153</v>
      </c>
      <c r="AG77" s="66" t="s">
        <v>54</v>
      </c>
    </row>
    <row r="78" spans="1:33" ht="45" x14ac:dyDescent="0.15">
      <c r="A78" s="66" t="s">
        <v>43</v>
      </c>
      <c r="B78" s="80">
        <v>260</v>
      </c>
      <c r="C78" s="68" t="s">
        <v>44</v>
      </c>
      <c r="D78" s="103" t="s">
        <v>153</v>
      </c>
      <c r="E78" s="237">
        <v>1</v>
      </c>
      <c r="F78" s="110" t="s">
        <v>154</v>
      </c>
      <c r="G78" s="110" t="s">
        <v>159</v>
      </c>
      <c r="H78" s="69">
        <v>44128.786111111112</v>
      </c>
      <c r="I78" s="66" t="s">
        <v>48</v>
      </c>
      <c r="J78" s="66">
        <v>10</v>
      </c>
      <c r="K78" s="98">
        <v>3.3</v>
      </c>
      <c r="M78" s="68" t="s">
        <v>52</v>
      </c>
      <c r="N78" s="68" t="s">
        <v>1143</v>
      </c>
      <c r="O78" s="68" t="s">
        <v>1143</v>
      </c>
      <c r="P78" s="237">
        <v>1</v>
      </c>
      <c r="R78" s="103">
        <f t="shared" si="4"/>
        <v>0</v>
      </c>
      <c r="T78" s="103">
        <f t="shared" si="7"/>
        <v>0</v>
      </c>
      <c r="V78" s="103">
        <f t="shared" si="5"/>
        <v>0</v>
      </c>
      <c r="X78" s="324">
        <f t="shared" si="6"/>
        <v>0</v>
      </c>
      <c r="Y78" s="333" t="s">
        <v>154</v>
      </c>
      <c r="Z78" s="333" t="s">
        <v>159</v>
      </c>
      <c r="AA78" s="103" t="s">
        <v>153</v>
      </c>
      <c r="AG78" s="66" t="s">
        <v>54</v>
      </c>
    </row>
    <row r="79" spans="1:33" ht="15" x14ac:dyDescent="0.15">
      <c r="A79" s="66" t="s">
        <v>43</v>
      </c>
      <c r="B79" s="80">
        <v>260</v>
      </c>
      <c r="C79" s="68" t="s">
        <v>44</v>
      </c>
      <c r="D79" s="103" t="s">
        <v>153</v>
      </c>
      <c r="E79" s="237">
        <v>1</v>
      </c>
      <c r="F79" s="110" t="s">
        <v>154</v>
      </c>
      <c r="G79" s="110" t="s">
        <v>160</v>
      </c>
      <c r="H79" s="69">
        <v>44128.786111111112</v>
      </c>
      <c r="I79" s="66" t="s">
        <v>48</v>
      </c>
      <c r="J79" s="66">
        <v>10</v>
      </c>
      <c r="K79" s="98">
        <v>3.3</v>
      </c>
      <c r="M79" s="68" t="s">
        <v>1162</v>
      </c>
      <c r="N79" s="68" t="s">
        <v>1162</v>
      </c>
      <c r="O79" s="68" t="s">
        <v>1162</v>
      </c>
      <c r="P79" s="237">
        <v>1</v>
      </c>
      <c r="R79" s="103">
        <f t="shared" si="4"/>
        <v>0</v>
      </c>
      <c r="T79" s="103">
        <f t="shared" si="7"/>
        <v>0</v>
      </c>
      <c r="V79" s="103">
        <f t="shared" si="5"/>
        <v>0</v>
      </c>
      <c r="X79" s="324">
        <f t="shared" si="6"/>
        <v>0</v>
      </c>
      <c r="Y79" s="333" t="s">
        <v>154</v>
      </c>
      <c r="Z79" s="333" t="s">
        <v>160</v>
      </c>
      <c r="AA79" s="103" t="s">
        <v>153</v>
      </c>
      <c r="AG79" s="66" t="s">
        <v>78</v>
      </c>
    </row>
    <row r="80" spans="1:33" ht="15" x14ac:dyDescent="0.15">
      <c r="A80" s="66" t="s">
        <v>43</v>
      </c>
      <c r="B80" s="80">
        <v>260</v>
      </c>
      <c r="C80" s="68" t="s">
        <v>44</v>
      </c>
      <c r="D80" s="68" t="s">
        <v>161</v>
      </c>
      <c r="E80" s="237">
        <v>1</v>
      </c>
      <c r="F80" s="66" t="s">
        <v>162</v>
      </c>
      <c r="G80" s="66" t="s">
        <v>163</v>
      </c>
      <c r="H80" s="69">
        <v>44124.394444444442</v>
      </c>
      <c r="I80" s="66" t="s">
        <v>48</v>
      </c>
      <c r="J80" s="66">
        <v>10</v>
      </c>
      <c r="K80" s="98">
        <v>3.4</v>
      </c>
      <c r="M80" s="68" t="s">
        <v>52</v>
      </c>
      <c r="N80" s="68" t="s">
        <v>1143</v>
      </c>
      <c r="O80" s="68" t="s">
        <v>1143</v>
      </c>
      <c r="P80" s="237">
        <v>1</v>
      </c>
      <c r="R80" s="103">
        <f t="shared" si="4"/>
        <v>0</v>
      </c>
      <c r="T80" s="103">
        <f t="shared" si="7"/>
        <v>0</v>
      </c>
      <c r="U80" s="68">
        <v>1</v>
      </c>
      <c r="V80" s="103">
        <f t="shared" si="5"/>
        <v>1</v>
      </c>
      <c r="W80" s="325" t="s">
        <v>331</v>
      </c>
      <c r="X80" s="324">
        <f t="shared" si="6"/>
        <v>1</v>
      </c>
      <c r="Y80" s="332" t="s">
        <v>162</v>
      </c>
      <c r="Z80" s="332" t="s">
        <v>163</v>
      </c>
      <c r="AA80" s="68" t="s">
        <v>161</v>
      </c>
      <c r="AC80" s="68" t="s">
        <v>120</v>
      </c>
      <c r="AG80" s="66" t="s">
        <v>148</v>
      </c>
    </row>
    <row r="81" spans="1:33" ht="15" x14ac:dyDescent="0.15">
      <c r="A81" s="66" t="s">
        <v>43</v>
      </c>
      <c r="B81" s="80">
        <v>260</v>
      </c>
      <c r="C81" s="68" t="s">
        <v>44</v>
      </c>
      <c r="D81" s="68" t="s">
        <v>161</v>
      </c>
      <c r="E81" s="237">
        <v>1</v>
      </c>
      <c r="F81" s="66" t="s">
        <v>162</v>
      </c>
      <c r="G81" s="66" t="s">
        <v>164</v>
      </c>
      <c r="H81" s="69">
        <v>44124.394444444442</v>
      </c>
      <c r="I81" s="66" t="s">
        <v>48</v>
      </c>
      <c r="J81" s="66">
        <v>10</v>
      </c>
      <c r="K81" s="98">
        <v>3.4</v>
      </c>
      <c r="M81" s="68" t="s">
        <v>52</v>
      </c>
      <c r="N81" s="68" t="s">
        <v>1143</v>
      </c>
      <c r="O81" s="68" t="s">
        <v>1143</v>
      </c>
      <c r="P81" s="237">
        <v>1</v>
      </c>
      <c r="R81" s="103">
        <f t="shared" si="4"/>
        <v>0</v>
      </c>
      <c r="T81" s="103">
        <f t="shared" si="7"/>
        <v>0</v>
      </c>
      <c r="U81" s="68">
        <v>1</v>
      </c>
      <c r="V81" s="103">
        <f t="shared" si="5"/>
        <v>1</v>
      </c>
      <c r="W81" s="325" t="s">
        <v>331</v>
      </c>
      <c r="X81" s="324">
        <f t="shared" si="6"/>
        <v>1</v>
      </c>
      <c r="Y81" s="332" t="s">
        <v>162</v>
      </c>
      <c r="Z81" s="332" t="s">
        <v>164</v>
      </c>
      <c r="AA81" s="68" t="s">
        <v>161</v>
      </c>
      <c r="AC81" s="68" t="s">
        <v>74</v>
      </c>
      <c r="AG81" s="66" t="s">
        <v>148</v>
      </c>
    </row>
    <row r="82" spans="1:33" ht="15" x14ac:dyDescent="0.15">
      <c r="A82" s="66" t="s">
        <v>43</v>
      </c>
      <c r="B82" s="80">
        <v>260</v>
      </c>
      <c r="C82" s="68" t="s">
        <v>44</v>
      </c>
      <c r="D82" s="68" t="s">
        <v>161</v>
      </c>
      <c r="E82" s="237">
        <v>1</v>
      </c>
      <c r="F82" s="66" t="s">
        <v>162</v>
      </c>
      <c r="G82" s="66" t="s">
        <v>165</v>
      </c>
      <c r="H82" s="69">
        <v>44124.394444444442</v>
      </c>
      <c r="I82" s="66" t="s">
        <v>48</v>
      </c>
      <c r="J82" s="66">
        <v>10</v>
      </c>
      <c r="K82" s="98">
        <v>3.4</v>
      </c>
      <c r="M82" s="68" t="s">
        <v>166</v>
      </c>
      <c r="N82" s="68" t="s">
        <v>1162</v>
      </c>
      <c r="O82" s="68" t="s">
        <v>1162</v>
      </c>
      <c r="P82" s="237">
        <v>1</v>
      </c>
      <c r="R82" s="103">
        <f t="shared" si="4"/>
        <v>0</v>
      </c>
      <c r="T82" s="103">
        <f t="shared" si="7"/>
        <v>0</v>
      </c>
      <c r="U82" s="68">
        <v>1</v>
      </c>
      <c r="V82" s="103">
        <f t="shared" si="5"/>
        <v>1</v>
      </c>
      <c r="W82" s="325" t="s">
        <v>331</v>
      </c>
      <c r="X82" s="324">
        <f t="shared" si="6"/>
        <v>1</v>
      </c>
      <c r="Y82" s="332" t="s">
        <v>162</v>
      </c>
      <c r="Z82" s="332" t="s">
        <v>165</v>
      </c>
      <c r="AA82" s="68" t="s">
        <v>161</v>
      </c>
      <c r="AC82" s="68" t="s">
        <v>120</v>
      </c>
      <c r="AE82" s="68" t="s">
        <v>167</v>
      </c>
      <c r="AG82" s="66" t="s">
        <v>148</v>
      </c>
    </row>
    <row r="83" spans="1:33" ht="30" x14ac:dyDescent="0.15">
      <c r="A83" s="66" t="s">
        <v>43</v>
      </c>
      <c r="B83" s="80">
        <v>260</v>
      </c>
      <c r="C83" s="68" t="s">
        <v>44</v>
      </c>
      <c r="D83" s="68" t="s">
        <v>161</v>
      </c>
      <c r="E83" s="237">
        <v>1</v>
      </c>
      <c r="F83" s="66" t="s">
        <v>162</v>
      </c>
      <c r="G83" s="66" t="s">
        <v>168</v>
      </c>
      <c r="H83" s="69">
        <v>44124.456250000003</v>
      </c>
      <c r="I83" s="66" t="s">
        <v>48</v>
      </c>
      <c r="J83" s="66">
        <v>10</v>
      </c>
      <c r="K83" s="98">
        <v>3.4</v>
      </c>
      <c r="M83" s="68" t="s">
        <v>52</v>
      </c>
      <c r="N83" s="68" t="s">
        <v>1143</v>
      </c>
      <c r="O83" s="68" t="s">
        <v>1143</v>
      </c>
      <c r="P83" s="237">
        <v>1</v>
      </c>
      <c r="R83" s="103">
        <f t="shared" si="4"/>
        <v>0</v>
      </c>
      <c r="T83" s="103">
        <f t="shared" si="7"/>
        <v>0</v>
      </c>
      <c r="U83" s="68">
        <v>1</v>
      </c>
      <c r="V83" s="103">
        <f t="shared" si="5"/>
        <v>1</v>
      </c>
      <c r="X83" s="324">
        <f t="shared" si="6"/>
        <v>0</v>
      </c>
      <c r="Y83" s="332" t="s">
        <v>162</v>
      </c>
      <c r="Z83" s="332" t="s">
        <v>168</v>
      </c>
      <c r="AA83" s="68" t="s">
        <v>161</v>
      </c>
      <c r="AE83" s="68" t="s">
        <v>169</v>
      </c>
      <c r="AG83" s="66" t="s">
        <v>54</v>
      </c>
    </row>
    <row r="84" spans="1:33" ht="45" x14ac:dyDescent="0.15">
      <c r="A84" s="66" t="s">
        <v>43</v>
      </c>
      <c r="B84" s="80">
        <v>260</v>
      </c>
      <c r="C84" s="68" t="s">
        <v>44</v>
      </c>
      <c r="D84" s="68" t="s">
        <v>161</v>
      </c>
      <c r="E84" s="237">
        <v>1</v>
      </c>
      <c r="F84" s="66" t="s">
        <v>162</v>
      </c>
      <c r="G84" s="66" t="s">
        <v>170</v>
      </c>
      <c r="H84" s="69">
        <v>44124.456250000003</v>
      </c>
      <c r="I84" s="66" t="s">
        <v>48</v>
      </c>
      <c r="J84" s="66">
        <v>10</v>
      </c>
      <c r="K84" s="98">
        <v>3.4</v>
      </c>
      <c r="M84" s="68" t="s">
        <v>52</v>
      </c>
      <c r="N84" s="68" t="s">
        <v>1143</v>
      </c>
      <c r="O84" s="68" t="s">
        <v>1143</v>
      </c>
      <c r="P84" s="237">
        <v>1</v>
      </c>
      <c r="R84" s="103">
        <f t="shared" si="4"/>
        <v>0</v>
      </c>
      <c r="T84" s="103">
        <f t="shared" si="7"/>
        <v>0</v>
      </c>
      <c r="U84" s="68">
        <v>1</v>
      </c>
      <c r="V84" s="103">
        <f t="shared" si="5"/>
        <v>1</v>
      </c>
      <c r="X84" s="324">
        <f t="shared" si="6"/>
        <v>0</v>
      </c>
      <c r="Y84" s="332" t="s">
        <v>162</v>
      </c>
      <c r="Z84" s="332" t="s">
        <v>170</v>
      </c>
      <c r="AA84" s="68" t="s">
        <v>161</v>
      </c>
      <c r="AG84" s="66" t="s">
        <v>54</v>
      </c>
    </row>
    <row r="85" spans="1:33" ht="30" x14ac:dyDescent="0.15">
      <c r="A85" s="66" t="s">
        <v>43</v>
      </c>
      <c r="B85" s="80">
        <v>260</v>
      </c>
      <c r="C85" s="68" t="s">
        <v>44</v>
      </c>
      <c r="D85" s="68" t="s">
        <v>161</v>
      </c>
      <c r="E85" s="237">
        <v>1</v>
      </c>
      <c r="F85" s="66" t="s">
        <v>162</v>
      </c>
      <c r="G85" s="66" t="s">
        <v>171</v>
      </c>
      <c r="H85" s="69">
        <v>44124.456250000003</v>
      </c>
      <c r="I85" s="66" t="s">
        <v>48</v>
      </c>
      <c r="J85" s="66">
        <v>10</v>
      </c>
      <c r="K85" s="98">
        <v>3.4</v>
      </c>
      <c r="M85" s="68" t="s">
        <v>52</v>
      </c>
      <c r="N85" s="68" t="s">
        <v>1143</v>
      </c>
      <c r="O85" s="68" t="s">
        <v>1143</v>
      </c>
      <c r="P85" s="237">
        <v>1</v>
      </c>
      <c r="R85" s="103">
        <f t="shared" si="4"/>
        <v>0</v>
      </c>
      <c r="T85" s="103">
        <f t="shared" si="7"/>
        <v>0</v>
      </c>
      <c r="U85" s="68">
        <v>1</v>
      </c>
      <c r="V85" s="103">
        <f t="shared" si="5"/>
        <v>1</v>
      </c>
      <c r="X85" s="324">
        <f t="shared" si="6"/>
        <v>0</v>
      </c>
      <c r="Y85" s="332" t="s">
        <v>162</v>
      </c>
      <c r="Z85" s="332" t="s">
        <v>171</v>
      </c>
      <c r="AA85" s="68" t="s">
        <v>161</v>
      </c>
      <c r="AG85" s="66" t="s">
        <v>54</v>
      </c>
    </row>
    <row r="86" spans="1:33" ht="45" x14ac:dyDescent="0.15">
      <c r="A86" s="66" t="s">
        <v>43</v>
      </c>
      <c r="B86" s="80">
        <v>260</v>
      </c>
      <c r="C86" s="68" t="s">
        <v>44</v>
      </c>
      <c r="D86" s="68" t="s">
        <v>161</v>
      </c>
      <c r="E86" s="237">
        <v>1</v>
      </c>
      <c r="F86" s="66" t="s">
        <v>162</v>
      </c>
      <c r="G86" s="66" t="s">
        <v>172</v>
      </c>
      <c r="H86" s="69">
        <v>44124.456250000003</v>
      </c>
      <c r="I86" s="66" t="s">
        <v>48</v>
      </c>
      <c r="J86" s="66">
        <v>10</v>
      </c>
      <c r="K86" s="98">
        <v>3.4</v>
      </c>
      <c r="M86" s="68" t="s">
        <v>52</v>
      </c>
      <c r="N86" s="68" t="s">
        <v>1143</v>
      </c>
      <c r="O86" s="68" t="s">
        <v>1143</v>
      </c>
      <c r="P86" s="237">
        <v>1</v>
      </c>
      <c r="R86" s="103">
        <f t="shared" si="4"/>
        <v>0</v>
      </c>
      <c r="T86" s="103">
        <f t="shared" si="7"/>
        <v>0</v>
      </c>
      <c r="U86" s="68">
        <v>1</v>
      </c>
      <c r="V86" s="103">
        <f t="shared" si="5"/>
        <v>1</v>
      </c>
      <c r="X86" s="324">
        <f t="shared" si="6"/>
        <v>0</v>
      </c>
      <c r="Y86" s="332" t="s">
        <v>162</v>
      </c>
      <c r="Z86" s="332" t="s">
        <v>172</v>
      </c>
      <c r="AA86" s="68" t="s">
        <v>161</v>
      </c>
      <c r="AG86" s="66" t="s">
        <v>54</v>
      </c>
    </row>
    <row r="87" spans="1:33" ht="15" x14ac:dyDescent="0.15">
      <c r="A87" s="66" t="s">
        <v>43</v>
      </c>
      <c r="B87" s="80">
        <v>260</v>
      </c>
      <c r="C87" s="68" t="s">
        <v>44</v>
      </c>
      <c r="D87" s="68" t="s">
        <v>161</v>
      </c>
      <c r="E87" s="237">
        <v>1</v>
      </c>
      <c r="F87" s="66" t="s">
        <v>162</v>
      </c>
      <c r="G87" s="66" t="s">
        <v>173</v>
      </c>
      <c r="H87" s="69">
        <v>44124.456250000003</v>
      </c>
      <c r="I87" s="66" t="s">
        <v>48</v>
      </c>
      <c r="J87" s="66">
        <v>10</v>
      </c>
      <c r="K87" s="98">
        <v>3.4</v>
      </c>
      <c r="M87" s="68" t="s">
        <v>1162</v>
      </c>
      <c r="N87" s="68" t="s">
        <v>1162</v>
      </c>
      <c r="O87" s="68" t="s">
        <v>1162</v>
      </c>
      <c r="P87" s="237">
        <v>1</v>
      </c>
      <c r="R87" s="103">
        <f t="shared" si="4"/>
        <v>0</v>
      </c>
      <c r="T87" s="103">
        <f t="shared" si="7"/>
        <v>0</v>
      </c>
      <c r="U87" s="68">
        <v>1</v>
      </c>
      <c r="V87" s="103">
        <f t="shared" si="5"/>
        <v>1</v>
      </c>
      <c r="X87" s="324">
        <f t="shared" si="6"/>
        <v>0</v>
      </c>
      <c r="Y87" s="332" t="s">
        <v>162</v>
      </c>
      <c r="Z87" s="332" t="s">
        <v>173</v>
      </c>
      <c r="AA87" s="68" t="s">
        <v>161</v>
      </c>
      <c r="AG87" s="66" t="s">
        <v>78</v>
      </c>
    </row>
    <row r="88" spans="1:33" ht="30" x14ac:dyDescent="0.15">
      <c r="A88" s="66" t="s">
        <v>43</v>
      </c>
      <c r="B88" s="80">
        <v>260</v>
      </c>
      <c r="C88" s="68" t="s">
        <v>44</v>
      </c>
      <c r="D88" s="68" t="s">
        <v>161</v>
      </c>
      <c r="E88" s="237">
        <v>1</v>
      </c>
      <c r="F88" s="66" t="s">
        <v>162</v>
      </c>
      <c r="G88" s="66" t="s">
        <v>174</v>
      </c>
      <c r="H88" s="69">
        <v>44124.461111111108</v>
      </c>
      <c r="I88" s="66" t="s">
        <v>48</v>
      </c>
      <c r="J88" s="66">
        <v>10</v>
      </c>
      <c r="K88" s="98">
        <v>3.4</v>
      </c>
      <c r="M88" s="68" t="s">
        <v>52</v>
      </c>
      <c r="N88" s="68" t="s">
        <v>1143</v>
      </c>
      <c r="O88" s="68" t="s">
        <v>1143</v>
      </c>
      <c r="P88" s="237">
        <v>1</v>
      </c>
      <c r="R88" s="103">
        <f t="shared" si="4"/>
        <v>0</v>
      </c>
      <c r="T88" s="103">
        <f t="shared" si="7"/>
        <v>0</v>
      </c>
      <c r="U88" s="68">
        <v>1</v>
      </c>
      <c r="V88" s="103">
        <f t="shared" si="5"/>
        <v>1</v>
      </c>
      <c r="X88" s="324">
        <f t="shared" si="6"/>
        <v>0</v>
      </c>
      <c r="Y88" s="332" t="s">
        <v>162</v>
      </c>
      <c r="Z88" s="332" t="s">
        <v>174</v>
      </c>
      <c r="AA88" s="68" t="s">
        <v>161</v>
      </c>
      <c r="AG88" s="66" t="s">
        <v>54</v>
      </c>
    </row>
    <row r="89" spans="1:33" ht="45" x14ac:dyDescent="0.15">
      <c r="A89" s="66" t="s">
        <v>43</v>
      </c>
      <c r="B89" s="80">
        <v>260</v>
      </c>
      <c r="C89" s="68" t="s">
        <v>44</v>
      </c>
      <c r="D89" s="68" t="s">
        <v>161</v>
      </c>
      <c r="E89" s="237">
        <v>1</v>
      </c>
      <c r="F89" s="66" t="s">
        <v>162</v>
      </c>
      <c r="G89" s="66" t="s">
        <v>175</v>
      </c>
      <c r="H89" s="69">
        <v>44124.461111111108</v>
      </c>
      <c r="I89" s="66" t="s">
        <v>48</v>
      </c>
      <c r="J89" s="66">
        <v>10</v>
      </c>
      <c r="K89" s="98">
        <v>3.4</v>
      </c>
      <c r="M89" s="68" t="s">
        <v>52</v>
      </c>
      <c r="N89" s="68" t="s">
        <v>1143</v>
      </c>
      <c r="O89" s="68" t="s">
        <v>1143</v>
      </c>
      <c r="P89" s="237">
        <v>1</v>
      </c>
      <c r="R89" s="103">
        <f t="shared" si="4"/>
        <v>0</v>
      </c>
      <c r="T89" s="103">
        <f t="shared" si="7"/>
        <v>0</v>
      </c>
      <c r="U89" s="68">
        <v>1</v>
      </c>
      <c r="V89" s="103">
        <f t="shared" si="5"/>
        <v>1</v>
      </c>
      <c r="X89" s="324">
        <f t="shared" si="6"/>
        <v>0</v>
      </c>
      <c r="Y89" s="332" t="s">
        <v>162</v>
      </c>
      <c r="Z89" s="332" t="s">
        <v>175</v>
      </c>
      <c r="AA89" s="68" t="s">
        <v>161</v>
      </c>
      <c r="AG89" s="66" t="s">
        <v>54</v>
      </c>
    </row>
    <row r="90" spans="1:33" ht="15" x14ac:dyDescent="0.15">
      <c r="A90" s="66" t="s">
        <v>43</v>
      </c>
      <c r="B90" s="80">
        <v>260</v>
      </c>
      <c r="C90" s="68" t="s">
        <v>44</v>
      </c>
      <c r="D90" s="68" t="s">
        <v>161</v>
      </c>
      <c r="E90" s="237">
        <v>1</v>
      </c>
      <c r="F90" s="66" t="s">
        <v>162</v>
      </c>
      <c r="G90" s="66" t="s">
        <v>176</v>
      </c>
      <c r="H90" s="69">
        <v>44124.461111111108</v>
      </c>
      <c r="I90" s="66" t="s">
        <v>48</v>
      </c>
      <c r="J90" s="66">
        <v>10</v>
      </c>
      <c r="K90" s="98">
        <v>3.4</v>
      </c>
      <c r="M90" s="68" t="s">
        <v>52</v>
      </c>
      <c r="N90" s="68" t="s">
        <v>1143</v>
      </c>
      <c r="O90" s="68" t="s">
        <v>1143</v>
      </c>
      <c r="P90" s="237">
        <v>1</v>
      </c>
      <c r="R90" s="103">
        <f t="shared" si="4"/>
        <v>0</v>
      </c>
      <c r="T90" s="103">
        <f t="shared" si="7"/>
        <v>0</v>
      </c>
      <c r="U90" s="68">
        <v>1</v>
      </c>
      <c r="V90" s="103">
        <f t="shared" si="5"/>
        <v>1</v>
      </c>
      <c r="X90" s="324">
        <f t="shared" si="6"/>
        <v>0</v>
      </c>
      <c r="Y90" s="332" t="s">
        <v>162</v>
      </c>
      <c r="Z90" s="332" t="s">
        <v>176</v>
      </c>
      <c r="AA90" s="68" t="s">
        <v>161</v>
      </c>
      <c r="AG90" s="66" t="s">
        <v>54</v>
      </c>
    </row>
    <row r="91" spans="1:33" ht="30" x14ac:dyDescent="0.15">
      <c r="A91" s="66" t="s">
        <v>43</v>
      </c>
      <c r="B91" s="80">
        <v>260</v>
      </c>
      <c r="C91" s="68" t="s">
        <v>44</v>
      </c>
      <c r="D91" s="68" t="s">
        <v>161</v>
      </c>
      <c r="E91" s="237">
        <v>1</v>
      </c>
      <c r="F91" s="66" t="s">
        <v>162</v>
      </c>
      <c r="G91" s="66" t="s">
        <v>177</v>
      </c>
      <c r="H91" s="69">
        <v>44124.461111111108</v>
      </c>
      <c r="I91" s="66" t="s">
        <v>48</v>
      </c>
      <c r="J91" s="66">
        <v>10</v>
      </c>
      <c r="K91" s="98">
        <v>3.4</v>
      </c>
      <c r="M91" s="68" t="s">
        <v>52</v>
      </c>
      <c r="N91" s="68" t="s">
        <v>1143</v>
      </c>
      <c r="O91" s="68" t="s">
        <v>1143</v>
      </c>
      <c r="P91" s="237">
        <v>1</v>
      </c>
      <c r="R91" s="103">
        <f t="shared" si="4"/>
        <v>0</v>
      </c>
      <c r="T91" s="103">
        <f t="shared" si="7"/>
        <v>0</v>
      </c>
      <c r="U91" s="68">
        <v>1</v>
      </c>
      <c r="V91" s="103">
        <f t="shared" si="5"/>
        <v>1</v>
      </c>
      <c r="X91" s="324">
        <f t="shared" si="6"/>
        <v>0</v>
      </c>
      <c r="Y91" s="332" t="s">
        <v>162</v>
      </c>
      <c r="Z91" s="332" t="s">
        <v>177</v>
      </c>
      <c r="AA91" s="68" t="s">
        <v>161</v>
      </c>
      <c r="AG91" s="66" t="s">
        <v>54</v>
      </c>
    </row>
    <row r="92" spans="1:33" ht="15" x14ac:dyDescent="0.15">
      <c r="A92" s="66" t="s">
        <v>43</v>
      </c>
      <c r="B92" s="80">
        <v>260</v>
      </c>
      <c r="C92" s="68" t="s">
        <v>44</v>
      </c>
      <c r="D92" s="68" t="s">
        <v>161</v>
      </c>
      <c r="E92" s="237">
        <v>1</v>
      </c>
      <c r="F92" s="66" t="s">
        <v>162</v>
      </c>
      <c r="G92" s="66" t="s">
        <v>178</v>
      </c>
      <c r="H92" s="69">
        <v>44124.461111111108</v>
      </c>
      <c r="I92" s="66" t="s">
        <v>48</v>
      </c>
      <c r="J92" s="66">
        <v>10</v>
      </c>
      <c r="K92" s="98">
        <v>3.4</v>
      </c>
      <c r="M92" s="68" t="s">
        <v>52</v>
      </c>
      <c r="N92" s="68" t="s">
        <v>1143</v>
      </c>
      <c r="O92" s="68" t="s">
        <v>1143</v>
      </c>
      <c r="P92" s="237">
        <v>1</v>
      </c>
      <c r="R92" s="103">
        <f t="shared" si="4"/>
        <v>0</v>
      </c>
      <c r="T92" s="103">
        <f t="shared" si="7"/>
        <v>0</v>
      </c>
      <c r="U92" s="68">
        <v>1</v>
      </c>
      <c r="V92" s="103">
        <f t="shared" si="5"/>
        <v>1</v>
      </c>
      <c r="X92" s="324">
        <f t="shared" si="6"/>
        <v>0</v>
      </c>
      <c r="Y92" s="332" t="s">
        <v>162</v>
      </c>
      <c r="Z92" s="332" t="s">
        <v>178</v>
      </c>
      <c r="AA92" s="68" t="s">
        <v>161</v>
      </c>
      <c r="AG92" s="66" t="s">
        <v>54</v>
      </c>
    </row>
    <row r="93" spans="1:33" ht="15" x14ac:dyDescent="0.15">
      <c r="A93" s="66" t="s">
        <v>43</v>
      </c>
      <c r="B93" s="80">
        <v>260</v>
      </c>
      <c r="C93" s="68" t="s">
        <v>44</v>
      </c>
      <c r="D93" s="68" t="s">
        <v>161</v>
      </c>
      <c r="E93" s="237">
        <v>1</v>
      </c>
      <c r="F93" s="108" t="s">
        <v>179</v>
      </c>
      <c r="G93" s="108" t="s">
        <v>180</v>
      </c>
      <c r="H93" s="69">
        <v>44124.511805555558</v>
      </c>
      <c r="I93" s="66" t="s">
        <v>48</v>
      </c>
      <c r="J93" s="66">
        <v>9</v>
      </c>
      <c r="K93" s="98">
        <v>3.4</v>
      </c>
      <c r="M93" s="68" t="s">
        <v>52</v>
      </c>
      <c r="N93" s="68" t="s">
        <v>1143</v>
      </c>
      <c r="O93" s="68" t="s">
        <v>1143</v>
      </c>
      <c r="P93" s="237">
        <v>1</v>
      </c>
      <c r="R93" s="103">
        <f t="shared" si="4"/>
        <v>0</v>
      </c>
      <c r="T93" s="103">
        <f t="shared" si="7"/>
        <v>0</v>
      </c>
      <c r="U93" s="68">
        <v>1</v>
      </c>
      <c r="V93" s="103">
        <f t="shared" si="5"/>
        <v>1</v>
      </c>
      <c r="W93" s="325" t="s">
        <v>58</v>
      </c>
      <c r="X93" s="324">
        <f t="shared" si="6"/>
        <v>1</v>
      </c>
      <c r="Y93" s="334" t="s">
        <v>179</v>
      </c>
      <c r="Z93" s="334" t="s">
        <v>180</v>
      </c>
      <c r="AA93" s="68" t="s">
        <v>161</v>
      </c>
      <c r="AG93" s="66" t="s">
        <v>63</v>
      </c>
    </row>
    <row r="94" spans="1:33" ht="30" x14ac:dyDescent="0.15">
      <c r="A94" s="66" t="s">
        <v>43</v>
      </c>
      <c r="B94" s="80">
        <v>260</v>
      </c>
      <c r="C94" s="68" t="s">
        <v>44</v>
      </c>
      <c r="D94" s="68" t="s">
        <v>161</v>
      </c>
      <c r="E94" s="237">
        <v>1</v>
      </c>
      <c r="F94" s="108" t="s">
        <v>179</v>
      </c>
      <c r="G94" s="108" t="s">
        <v>181</v>
      </c>
      <c r="H94" s="69">
        <v>44124.511805555558</v>
      </c>
      <c r="I94" s="66" t="s">
        <v>48</v>
      </c>
      <c r="J94" s="66">
        <v>9</v>
      </c>
      <c r="K94" s="98">
        <v>3.4</v>
      </c>
      <c r="M94" s="68" t="s">
        <v>52</v>
      </c>
      <c r="N94" s="68" t="s">
        <v>1143</v>
      </c>
      <c r="O94" s="68" t="s">
        <v>1143</v>
      </c>
      <c r="P94" s="237">
        <v>1</v>
      </c>
      <c r="R94" s="103">
        <f t="shared" si="4"/>
        <v>0</v>
      </c>
      <c r="T94" s="103">
        <f t="shared" si="7"/>
        <v>0</v>
      </c>
      <c r="U94" s="68">
        <v>1</v>
      </c>
      <c r="V94" s="103">
        <f t="shared" si="5"/>
        <v>1</v>
      </c>
      <c r="X94" s="324">
        <f t="shared" si="6"/>
        <v>0</v>
      </c>
      <c r="Y94" s="334" t="s">
        <v>179</v>
      </c>
      <c r="Z94" s="334" t="s">
        <v>181</v>
      </c>
      <c r="AA94" s="68" t="s">
        <v>161</v>
      </c>
      <c r="AG94" s="66" t="s">
        <v>54</v>
      </c>
    </row>
    <row r="95" spans="1:33" ht="30" x14ac:dyDescent="0.15">
      <c r="A95" s="66" t="s">
        <v>43</v>
      </c>
      <c r="B95" s="80">
        <v>260</v>
      </c>
      <c r="C95" s="68" t="s">
        <v>44</v>
      </c>
      <c r="D95" s="68" t="s">
        <v>161</v>
      </c>
      <c r="E95" s="237">
        <v>1</v>
      </c>
      <c r="F95" s="108" t="s">
        <v>179</v>
      </c>
      <c r="G95" s="108" t="s">
        <v>182</v>
      </c>
      <c r="H95" s="69">
        <v>44124.511805555558</v>
      </c>
      <c r="I95" s="66" t="s">
        <v>48</v>
      </c>
      <c r="J95" s="66">
        <v>9</v>
      </c>
      <c r="K95" s="98">
        <v>3.4</v>
      </c>
      <c r="M95" s="68" t="s">
        <v>52</v>
      </c>
      <c r="N95" s="68" t="s">
        <v>1143</v>
      </c>
      <c r="O95" s="68" t="s">
        <v>1143</v>
      </c>
      <c r="P95" s="237">
        <v>1</v>
      </c>
      <c r="R95" s="103">
        <f t="shared" si="4"/>
        <v>0</v>
      </c>
      <c r="T95" s="103">
        <f t="shared" si="7"/>
        <v>0</v>
      </c>
      <c r="U95" s="68">
        <v>1</v>
      </c>
      <c r="V95" s="103">
        <f t="shared" si="5"/>
        <v>1</v>
      </c>
      <c r="X95" s="324">
        <f t="shared" si="6"/>
        <v>0</v>
      </c>
      <c r="Y95" s="334" t="s">
        <v>179</v>
      </c>
      <c r="Z95" s="334" t="s">
        <v>182</v>
      </c>
      <c r="AA95" s="68" t="s">
        <v>161</v>
      </c>
      <c r="AG95" s="66" t="s">
        <v>54</v>
      </c>
    </row>
    <row r="96" spans="1:33" ht="30" x14ac:dyDescent="0.15">
      <c r="A96" s="66" t="s">
        <v>43</v>
      </c>
      <c r="B96" s="80">
        <v>260</v>
      </c>
      <c r="C96" s="68" t="s">
        <v>44</v>
      </c>
      <c r="D96" s="68" t="s">
        <v>161</v>
      </c>
      <c r="E96" s="237">
        <v>1</v>
      </c>
      <c r="F96" s="108" t="s">
        <v>179</v>
      </c>
      <c r="G96" s="108" t="s">
        <v>183</v>
      </c>
      <c r="H96" s="69">
        <v>44124.511805555558</v>
      </c>
      <c r="I96" s="66" t="s">
        <v>48</v>
      </c>
      <c r="J96" s="66">
        <v>9</v>
      </c>
      <c r="K96" s="98">
        <v>3.4</v>
      </c>
      <c r="M96" s="68" t="s">
        <v>52</v>
      </c>
      <c r="N96" s="68" t="s">
        <v>1143</v>
      </c>
      <c r="O96" s="68" t="s">
        <v>1143</v>
      </c>
      <c r="P96" s="237">
        <v>1</v>
      </c>
      <c r="R96" s="103">
        <f t="shared" si="4"/>
        <v>0</v>
      </c>
      <c r="T96" s="103">
        <f t="shared" si="7"/>
        <v>0</v>
      </c>
      <c r="U96" s="68">
        <v>1</v>
      </c>
      <c r="V96" s="103">
        <f t="shared" si="5"/>
        <v>1</v>
      </c>
      <c r="X96" s="324">
        <f t="shared" si="6"/>
        <v>0</v>
      </c>
      <c r="Y96" s="334" t="s">
        <v>179</v>
      </c>
      <c r="Z96" s="334" t="s">
        <v>183</v>
      </c>
      <c r="AA96" s="68" t="s">
        <v>161</v>
      </c>
      <c r="AG96" s="66" t="s">
        <v>54</v>
      </c>
    </row>
    <row r="97" spans="1:33" ht="30" x14ac:dyDescent="0.15">
      <c r="A97" s="66" t="s">
        <v>43</v>
      </c>
      <c r="B97" s="80">
        <v>260</v>
      </c>
      <c r="C97" s="68" t="s">
        <v>44</v>
      </c>
      <c r="D97" s="68" t="s">
        <v>161</v>
      </c>
      <c r="E97" s="237">
        <v>1</v>
      </c>
      <c r="F97" s="108" t="s">
        <v>179</v>
      </c>
      <c r="G97" s="108" t="s">
        <v>184</v>
      </c>
      <c r="H97" s="69">
        <v>44124.513194444444</v>
      </c>
      <c r="I97" s="66" t="s">
        <v>48</v>
      </c>
      <c r="J97" s="66">
        <v>9</v>
      </c>
      <c r="K97" s="98">
        <v>3.4</v>
      </c>
      <c r="M97" s="68" t="s">
        <v>52</v>
      </c>
      <c r="N97" s="68" t="s">
        <v>1143</v>
      </c>
      <c r="O97" s="68" t="s">
        <v>1143</v>
      </c>
      <c r="P97" s="237">
        <v>1</v>
      </c>
      <c r="R97" s="103">
        <f t="shared" si="4"/>
        <v>0</v>
      </c>
      <c r="T97" s="103">
        <f t="shared" si="7"/>
        <v>0</v>
      </c>
      <c r="U97" s="68">
        <v>1</v>
      </c>
      <c r="V97" s="103">
        <f t="shared" si="5"/>
        <v>1</v>
      </c>
      <c r="X97" s="324">
        <f t="shared" si="6"/>
        <v>0</v>
      </c>
      <c r="Y97" s="334" t="s">
        <v>179</v>
      </c>
      <c r="Z97" s="334" t="s">
        <v>184</v>
      </c>
      <c r="AA97" s="68" t="s">
        <v>161</v>
      </c>
      <c r="AG97" s="66" t="s">
        <v>54</v>
      </c>
    </row>
    <row r="98" spans="1:33" ht="30" x14ac:dyDescent="0.15">
      <c r="A98" s="66" t="s">
        <v>43</v>
      </c>
      <c r="B98" s="80">
        <v>260</v>
      </c>
      <c r="C98" s="68" t="s">
        <v>44</v>
      </c>
      <c r="D98" s="68" t="s">
        <v>161</v>
      </c>
      <c r="E98" s="237">
        <v>1</v>
      </c>
      <c r="F98" s="108" t="s">
        <v>179</v>
      </c>
      <c r="G98" s="108" t="s">
        <v>185</v>
      </c>
      <c r="H98" s="69">
        <v>44124.513194444444</v>
      </c>
      <c r="I98" s="66" t="s">
        <v>48</v>
      </c>
      <c r="J98" s="66">
        <v>9</v>
      </c>
      <c r="K98" s="98">
        <v>3.4</v>
      </c>
      <c r="M98" s="68" t="s">
        <v>52</v>
      </c>
      <c r="N98" s="68" t="s">
        <v>1143</v>
      </c>
      <c r="O98" s="68" t="s">
        <v>1143</v>
      </c>
      <c r="P98" s="237">
        <v>1</v>
      </c>
      <c r="R98" s="103">
        <f t="shared" si="4"/>
        <v>0</v>
      </c>
      <c r="T98" s="103">
        <f t="shared" si="7"/>
        <v>0</v>
      </c>
      <c r="U98" s="68">
        <v>1</v>
      </c>
      <c r="V98" s="103">
        <f t="shared" si="5"/>
        <v>1</v>
      </c>
      <c r="X98" s="324">
        <f t="shared" si="6"/>
        <v>0</v>
      </c>
      <c r="Y98" s="334" t="s">
        <v>179</v>
      </c>
      <c r="Z98" s="334" t="s">
        <v>185</v>
      </c>
      <c r="AA98" s="68" t="s">
        <v>161</v>
      </c>
      <c r="AG98" s="66" t="s">
        <v>54</v>
      </c>
    </row>
    <row r="99" spans="1:33" ht="15" x14ac:dyDescent="0.15">
      <c r="A99" s="66" t="s">
        <v>43</v>
      </c>
      <c r="B99" s="80">
        <v>260</v>
      </c>
      <c r="C99" s="68" t="s">
        <v>44</v>
      </c>
      <c r="D99" s="68" t="s">
        <v>161</v>
      </c>
      <c r="E99" s="237">
        <v>1</v>
      </c>
      <c r="F99" s="66" t="s">
        <v>162</v>
      </c>
      <c r="G99" s="66" t="s">
        <v>186</v>
      </c>
      <c r="H99" s="69">
        <v>44124.529861111114</v>
      </c>
      <c r="I99" s="66" t="s">
        <v>48</v>
      </c>
      <c r="J99" s="66">
        <v>10</v>
      </c>
      <c r="K99" s="98">
        <v>3.4</v>
      </c>
      <c r="M99" s="68" t="s">
        <v>52</v>
      </c>
      <c r="N99" s="68" t="s">
        <v>1143</v>
      </c>
      <c r="O99" s="68" t="s">
        <v>1143</v>
      </c>
      <c r="P99" s="237">
        <v>1</v>
      </c>
      <c r="R99" s="103">
        <f t="shared" si="4"/>
        <v>0</v>
      </c>
      <c r="T99" s="103">
        <f t="shared" si="7"/>
        <v>0</v>
      </c>
      <c r="U99" s="68">
        <v>1</v>
      </c>
      <c r="V99" s="103">
        <f t="shared" si="5"/>
        <v>1</v>
      </c>
      <c r="W99" s="325" t="s">
        <v>58</v>
      </c>
      <c r="X99" s="324">
        <f t="shared" si="6"/>
        <v>1</v>
      </c>
      <c r="Y99" s="332" t="s">
        <v>162</v>
      </c>
      <c r="Z99" s="332" t="s">
        <v>186</v>
      </c>
      <c r="AA99" s="68" t="s">
        <v>161</v>
      </c>
      <c r="AG99" s="66" t="s">
        <v>59</v>
      </c>
    </row>
    <row r="100" spans="1:33" ht="15" x14ac:dyDescent="0.15">
      <c r="A100" s="66" t="s">
        <v>43</v>
      </c>
      <c r="B100" s="80">
        <v>260</v>
      </c>
      <c r="C100" s="68" t="s">
        <v>44</v>
      </c>
      <c r="D100" s="68" t="s">
        <v>161</v>
      </c>
      <c r="E100" s="237">
        <v>1</v>
      </c>
      <c r="F100" s="66" t="s">
        <v>162</v>
      </c>
      <c r="G100" s="66" t="s">
        <v>165</v>
      </c>
      <c r="H100" s="69">
        <v>44124.529861111114</v>
      </c>
      <c r="I100" s="66" t="s">
        <v>48</v>
      </c>
      <c r="J100" s="66">
        <v>10</v>
      </c>
      <c r="K100" s="98">
        <v>3.4</v>
      </c>
      <c r="M100" s="68" t="s">
        <v>166</v>
      </c>
      <c r="N100" s="68" t="s">
        <v>1162</v>
      </c>
      <c r="O100" s="68" t="s">
        <v>1162</v>
      </c>
      <c r="P100" s="237">
        <v>1</v>
      </c>
      <c r="R100" s="103">
        <f t="shared" si="4"/>
        <v>0</v>
      </c>
      <c r="T100" s="103">
        <f t="shared" si="7"/>
        <v>0</v>
      </c>
      <c r="U100" s="68">
        <v>2</v>
      </c>
      <c r="V100" s="103">
        <f t="shared" si="5"/>
        <v>1</v>
      </c>
      <c r="W100" s="325" t="s">
        <v>331</v>
      </c>
      <c r="X100" s="324">
        <f t="shared" si="6"/>
        <v>1</v>
      </c>
      <c r="Y100" s="332" t="s">
        <v>162</v>
      </c>
      <c r="Z100" s="332" t="s">
        <v>165</v>
      </c>
      <c r="AA100" s="68" t="s">
        <v>161</v>
      </c>
      <c r="AC100" s="68" t="s">
        <v>120</v>
      </c>
      <c r="AE100" s="68" t="s">
        <v>167</v>
      </c>
      <c r="AG100" s="66" t="s">
        <v>148</v>
      </c>
    </row>
    <row r="101" spans="1:33" ht="30" x14ac:dyDescent="0.15">
      <c r="A101" s="66" t="s">
        <v>43</v>
      </c>
      <c r="B101" s="80">
        <v>260</v>
      </c>
      <c r="C101" s="68" t="s">
        <v>44</v>
      </c>
      <c r="D101" s="68" t="s">
        <v>161</v>
      </c>
      <c r="E101" s="237">
        <v>1</v>
      </c>
      <c r="F101" s="66" t="s">
        <v>162</v>
      </c>
      <c r="G101" s="66" t="s">
        <v>187</v>
      </c>
      <c r="H101" s="69">
        <v>44124.529861111114</v>
      </c>
      <c r="I101" s="66" t="s">
        <v>48</v>
      </c>
      <c r="J101" s="66">
        <v>10</v>
      </c>
      <c r="K101" s="98">
        <v>3.4</v>
      </c>
      <c r="M101" s="68" t="s">
        <v>166</v>
      </c>
      <c r="N101" s="68" t="s">
        <v>1162</v>
      </c>
      <c r="O101" s="68" t="s">
        <v>1162</v>
      </c>
      <c r="P101" s="237">
        <v>1</v>
      </c>
      <c r="R101" s="103">
        <f t="shared" si="4"/>
        <v>0</v>
      </c>
      <c r="T101" s="103">
        <f t="shared" si="7"/>
        <v>0</v>
      </c>
      <c r="U101" s="68">
        <v>2</v>
      </c>
      <c r="V101" s="103">
        <f t="shared" si="5"/>
        <v>1</v>
      </c>
      <c r="W101" s="325" t="s">
        <v>331</v>
      </c>
      <c r="X101" s="324">
        <f t="shared" si="6"/>
        <v>1</v>
      </c>
      <c r="Y101" s="332" t="s">
        <v>162</v>
      </c>
      <c r="Z101" s="332" t="s">
        <v>187</v>
      </c>
      <c r="AA101" s="68" t="s">
        <v>161</v>
      </c>
      <c r="AC101" s="68" t="s">
        <v>120</v>
      </c>
      <c r="AG101" s="66" t="s">
        <v>148</v>
      </c>
    </row>
    <row r="102" spans="1:33" ht="45" x14ac:dyDescent="0.15">
      <c r="A102" s="66" t="s">
        <v>43</v>
      </c>
      <c r="B102" s="80">
        <v>260</v>
      </c>
      <c r="C102" s="68" t="s">
        <v>44</v>
      </c>
      <c r="D102" s="68" t="s">
        <v>161</v>
      </c>
      <c r="E102" s="237">
        <v>1</v>
      </c>
      <c r="F102" s="66" t="s">
        <v>162</v>
      </c>
      <c r="G102" s="66" t="s">
        <v>188</v>
      </c>
      <c r="H102" s="69">
        <v>44124.529861111114</v>
      </c>
      <c r="I102" s="66" t="s">
        <v>48</v>
      </c>
      <c r="J102" s="66">
        <v>10</v>
      </c>
      <c r="K102" s="98">
        <v>3.4</v>
      </c>
      <c r="M102" s="68" t="s">
        <v>166</v>
      </c>
      <c r="N102" s="68" t="s">
        <v>1162</v>
      </c>
      <c r="O102" s="68" t="s">
        <v>1162</v>
      </c>
      <c r="P102" s="237">
        <v>1</v>
      </c>
      <c r="R102" s="103">
        <f t="shared" si="4"/>
        <v>0</v>
      </c>
      <c r="T102" s="103">
        <f t="shared" si="7"/>
        <v>0</v>
      </c>
      <c r="U102" s="68">
        <v>2</v>
      </c>
      <c r="V102" s="103">
        <f t="shared" si="5"/>
        <v>1</v>
      </c>
      <c r="X102" s="324">
        <f t="shared" si="6"/>
        <v>0</v>
      </c>
      <c r="Y102" s="332" t="s">
        <v>162</v>
      </c>
      <c r="Z102" s="332" t="s">
        <v>188</v>
      </c>
      <c r="AA102" s="68" t="s">
        <v>161</v>
      </c>
      <c r="AG102" s="66" t="s">
        <v>54</v>
      </c>
    </row>
    <row r="103" spans="1:33" ht="30" x14ac:dyDescent="0.15">
      <c r="A103" s="66" t="s">
        <v>43</v>
      </c>
      <c r="B103" s="80">
        <v>260</v>
      </c>
      <c r="C103" s="68" t="s">
        <v>44</v>
      </c>
      <c r="D103" s="68" t="s">
        <v>161</v>
      </c>
      <c r="E103" s="237">
        <v>1</v>
      </c>
      <c r="F103" s="66" t="s">
        <v>162</v>
      </c>
      <c r="G103" s="66" t="s">
        <v>189</v>
      </c>
      <c r="H103" s="69">
        <v>44124.529861111114</v>
      </c>
      <c r="I103" s="66" t="s">
        <v>48</v>
      </c>
      <c r="J103" s="66">
        <v>10</v>
      </c>
      <c r="K103" s="98">
        <v>3.4</v>
      </c>
      <c r="M103" s="68" t="s">
        <v>166</v>
      </c>
      <c r="N103" s="68" t="s">
        <v>1162</v>
      </c>
      <c r="O103" s="68" t="s">
        <v>1162</v>
      </c>
      <c r="P103" s="237">
        <v>1</v>
      </c>
      <c r="R103" s="103">
        <f t="shared" si="4"/>
        <v>0</v>
      </c>
      <c r="T103" s="103">
        <f t="shared" si="7"/>
        <v>0</v>
      </c>
      <c r="U103" s="68">
        <v>2</v>
      </c>
      <c r="V103" s="103">
        <f t="shared" si="5"/>
        <v>1</v>
      </c>
      <c r="X103" s="324">
        <f t="shared" si="6"/>
        <v>0</v>
      </c>
      <c r="Y103" s="332" t="s">
        <v>162</v>
      </c>
      <c r="Z103" s="332" t="s">
        <v>189</v>
      </c>
      <c r="AA103" s="68" t="s">
        <v>161</v>
      </c>
      <c r="AG103" s="66" t="s">
        <v>54</v>
      </c>
    </row>
    <row r="104" spans="1:33" ht="30" x14ac:dyDescent="0.15">
      <c r="A104" s="66" t="s">
        <v>43</v>
      </c>
      <c r="B104" s="80">
        <v>260</v>
      </c>
      <c r="C104" s="68" t="s">
        <v>44</v>
      </c>
      <c r="D104" s="68" t="s">
        <v>161</v>
      </c>
      <c r="E104" s="237">
        <v>1</v>
      </c>
      <c r="F104" s="66" t="s">
        <v>162</v>
      </c>
      <c r="G104" s="66" t="s">
        <v>190</v>
      </c>
      <c r="H104" s="69">
        <v>44124.529861111114</v>
      </c>
      <c r="I104" s="66" t="s">
        <v>48</v>
      </c>
      <c r="J104" s="66">
        <v>10</v>
      </c>
      <c r="K104" s="98">
        <v>3.4</v>
      </c>
      <c r="M104" s="68" t="s">
        <v>166</v>
      </c>
      <c r="N104" s="68" t="s">
        <v>1162</v>
      </c>
      <c r="O104" s="68" t="s">
        <v>1162</v>
      </c>
      <c r="P104" s="237">
        <v>1</v>
      </c>
      <c r="R104" s="103">
        <f t="shared" si="4"/>
        <v>0</v>
      </c>
      <c r="T104" s="103">
        <f t="shared" si="7"/>
        <v>0</v>
      </c>
      <c r="U104" s="68">
        <v>2</v>
      </c>
      <c r="V104" s="103">
        <f t="shared" si="5"/>
        <v>1</v>
      </c>
      <c r="X104" s="324">
        <f t="shared" si="6"/>
        <v>0</v>
      </c>
      <c r="Y104" s="332" t="s">
        <v>162</v>
      </c>
      <c r="Z104" s="332" t="s">
        <v>190</v>
      </c>
      <c r="AA104" s="68" t="s">
        <v>161</v>
      </c>
      <c r="AG104" s="66" t="s">
        <v>54</v>
      </c>
    </row>
    <row r="105" spans="1:33" ht="15" x14ac:dyDescent="0.15">
      <c r="A105" s="66" t="s">
        <v>43</v>
      </c>
      <c r="B105" s="80">
        <v>260</v>
      </c>
      <c r="C105" s="68" t="s">
        <v>44</v>
      </c>
      <c r="D105" s="68" t="s">
        <v>161</v>
      </c>
      <c r="E105" s="237">
        <v>1</v>
      </c>
      <c r="F105" s="66" t="s">
        <v>162</v>
      </c>
      <c r="G105" s="66" t="s">
        <v>191</v>
      </c>
      <c r="H105" s="69">
        <v>44124.529861111114</v>
      </c>
      <c r="I105" s="66" t="s">
        <v>48</v>
      </c>
      <c r="J105" s="66">
        <v>10</v>
      </c>
      <c r="K105" s="98">
        <v>3.4</v>
      </c>
      <c r="M105" s="68" t="s">
        <v>166</v>
      </c>
      <c r="N105" s="68" t="s">
        <v>1162</v>
      </c>
      <c r="O105" s="68" t="s">
        <v>1162</v>
      </c>
      <c r="P105" s="237">
        <v>1</v>
      </c>
      <c r="R105" s="103">
        <f t="shared" si="4"/>
        <v>0</v>
      </c>
      <c r="T105" s="103">
        <f t="shared" si="7"/>
        <v>0</v>
      </c>
      <c r="U105" s="68">
        <v>2</v>
      </c>
      <c r="V105" s="103">
        <f t="shared" si="5"/>
        <v>1</v>
      </c>
      <c r="X105" s="324">
        <f t="shared" si="6"/>
        <v>0</v>
      </c>
      <c r="Y105" s="332" t="s">
        <v>162</v>
      </c>
      <c r="Z105" s="332" t="s">
        <v>191</v>
      </c>
      <c r="AA105" s="68" t="s">
        <v>161</v>
      </c>
      <c r="AG105" s="66" t="s">
        <v>54</v>
      </c>
    </row>
    <row r="106" spans="1:33" ht="15" x14ac:dyDescent="0.15">
      <c r="A106" s="66" t="s">
        <v>43</v>
      </c>
      <c r="B106" s="80">
        <v>260</v>
      </c>
      <c r="C106" s="68" t="s">
        <v>44</v>
      </c>
      <c r="D106" s="68" t="s">
        <v>161</v>
      </c>
      <c r="E106" s="237">
        <v>1</v>
      </c>
      <c r="F106" s="236" t="s">
        <v>179</v>
      </c>
      <c r="G106" s="236" t="s">
        <v>192</v>
      </c>
      <c r="H106" s="69">
        <v>44124.572222222225</v>
      </c>
      <c r="I106" s="66" t="s">
        <v>48</v>
      </c>
      <c r="J106" s="66">
        <v>10</v>
      </c>
      <c r="K106" s="98">
        <v>3.4</v>
      </c>
      <c r="M106" s="68" t="s">
        <v>166</v>
      </c>
      <c r="N106" s="68" t="s">
        <v>1162</v>
      </c>
      <c r="O106" s="68" t="s">
        <v>1162</v>
      </c>
      <c r="P106" s="237">
        <v>1</v>
      </c>
      <c r="R106" s="103">
        <f t="shared" si="4"/>
        <v>0</v>
      </c>
      <c r="T106" s="103">
        <f t="shared" si="7"/>
        <v>0</v>
      </c>
      <c r="U106" s="68">
        <v>2</v>
      </c>
      <c r="V106" s="103">
        <f t="shared" si="5"/>
        <v>1</v>
      </c>
      <c r="W106" s="325" t="s">
        <v>58</v>
      </c>
      <c r="X106" s="324">
        <f t="shared" si="6"/>
        <v>1</v>
      </c>
      <c r="Y106" s="335" t="s">
        <v>179</v>
      </c>
      <c r="Z106" s="335" t="s">
        <v>192</v>
      </c>
      <c r="AA106" s="68" t="s">
        <v>161</v>
      </c>
      <c r="AG106" s="66" t="s">
        <v>59</v>
      </c>
    </row>
    <row r="107" spans="1:33" ht="15" x14ac:dyDescent="0.15">
      <c r="A107" s="66" t="s">
        <v>43</v>
      </c>
      <c r="B107" s="80">
        <v>260</v>
      </c>
      <c r="C107" s="68" t="s">
        <v>44</v>
      </c>
      <c r="D107" s="68" t="s">
        <v>161</v>
      </c>
      <c r="E107" s="237">
        <v>1</v>
      </c>
      <c r="F107" s="236" t="s">
        <v>179</v>
      </c>
      <c r="G107" s="236" t="s">
        <v>193</v>
      </c>
      <c r="H107" s="69">
        <v>44124.572222222225</v>
      </c>
      <c r="I107" s="66" t="s">
        <v>48</v>
      </c>
      <c r="J107" s="66">
        <v>10</v>
      </c>
      <c r="K107" s="98">
        <v>3.4</v>
      </c>
      <c r="M107" s="68" t="s">
        <v>166</v>
      </c>
      <c r="N107" s="68" t="s">
        <v>1162</v>
      </c>
      <c r="O107" s="68" t="s">
        <v>1162</v>
      </c>
      <c r="P107" s="237">
        <v>1</v>
      </c>
      <c r="R107" s="103">
        <f t="shared" si="4"/>
        <v>0</v>
      </c>
      <c r="T107" s="103">
        <f t="shared" si="7"/>
        <v>0</v>
      </c>
      <c r="U107" s="68">
        <v>2</v>
      </c>
      <c r="V107" s="103">
        <f t="shared" si="5"/>
        <v>1</v>
      </c>
      <c r="X107" s="324">
        <f t="shared" si="6"/>
        <v>0</v>
      </c>
      <c r="Y107" s="335" t="s">
        <v>179</v>
      </c>
      <c r="Z107" s="335" t="s">
        <v>193</v>
      </c>
      <c r="AA107" s="68" t="s">
        <v>161</v>
      </c>
      <c r="AG107" s="66" t="s">
        <v>54</v>
      </c>
    </row>
    <row r="108" spans="1:33" ht="30" x14ac:dyDescent="0.15">
      <c r="A108" s="66" t="s">
        <v>43</v>
      </c>
      <c r="B108" s="80">
        <v>260</v>
      </c>
      <c r="C108" s="68" t="s">
        <v>44</v>
      </c>
      <c r="D108" s="68" t="s">
        <v>161</v>
      </c>
      <c r="E108" s="237">
        <v>1</v>
      </c>
      <c r="F108" s="236" t="s">
        <v>179</v>
      </c>
      <c r="G108" s="236" t="s">
        <v>194</v>
      </c>
      <c r="H108" s="69">
        <v>44124.572222222225</v>
      </c>
      <c r="I108" s="66" t="s">
        <v>48</v>
      </c>
      <c r="J108" s="66">
        <v>10</v>
      </c>
      <c r="K108" s="98">
        <v>3.4</v>
      </c>
      <c r="M108" s="68" t="s">
        <v>166</v>
      </c>
      <c r="N108" s="68" t="s">
        <v>1162</v>
      </c>
      <c r="O108" s="68" t="s">
        <v>1162</v>
      </c>
      <c r="P108" s="237">
        <v>1</v>
      </c>
      <c r="R108" s="103">
        <f t="shared" si="4"/>
        <v>0</v>
      </c>
      <c r="T108" s="103">
        <f t="shared" si="7"/>
        <v>0</v>
      </c>
      <c r="U108" s="68">
        <v>2</v>
      </c>
      <c r="V108" s="103">
        <f t="shared" si="5"/>
        <v>1</v>
      </c>
      <c r="X108" s="324">
        <f t="shared" si="6"/>
        <v>0</v>
      </c>
      <c r="Y108" s="335" t="s">
        <v>179</v>
      </c>
      <c r="Z108" s="335" t="s">
        <v>194</v>
      </c>
      <c r="AA108" s="68" t="s">
        <v>161</v>
      </c>
      <c r="AG108" s="66" t="s">
        <v>54</v>
      </c>
    </row>
    <row r="109" spans="1:33" ht="15" x14ac:dyDescent="0.15">
      <c r="A109" s="66" t="s">
        <v>43</v>
      </c>
      <c r="B109" s="80">
        <v>260</v>
      </c>
      <c r="C109" s="68" t="s">
        <v>44</v>
      </c>
      <c r="D109" s="68" t="s">
        <v>161</v>
      </c>
      <c r="E109" s="237">
        <v>1</v>
      </c>
      <c r="F109" s="236" t="s">
        <v>179</v>
      </c>
      <c r="G109" s="236" t="s">
        <v>195</v>
      </c>
      <c r="H109" s="69">
        <v>44124.572222222225</v>
      </c>
      <c r="I109" s="66" t="s">
        <v>48</v>
      </c>
      <c r="J109" s="66">
        <v>10</v>
      </c>
      <c r="K109" s="98">
        <v>3.4</v>
      </c>
      <c r="M109" s="68" t="s">
        <v>166</v>
      </c>
      <c r="N109" s="68" t="s">
        <v>1162</v>
      </c>
      <c r="O109" s="68" t="s">
        <v>1162</v>
      </c>
      <c r="P109" s="237">
        <v>1</v>
      </c>
      <c r="R109" s="103">
        <f t="shared" si="4"/>
        <v>0</v>
      </c>
      <c r="T109" s="103">
        <f t="shared" si="7"/>
        <v>0</v>
      </c>
      <c r="U109" s="68">
        <v>2</v>
      </c>
      <c r="V109" s="103">
        <f t="shared" si="5"/>
        <v>1</v>
      </c>
      <c r="X109" s="324">
        <f t="shared" si="6"/>
        <v>0</v>
      </c>
      <c r="Y109" s="335" t="s">
        <v>179</v>
      </c>
      <c r="Z109" s="335" t="s">
        <v>195</v>
      </c>
      <c r="AA109" s="68" t="s">
        <v>161</v>
      </c>
      <c r="AG109" s="66" t="s">
        <v>54</v>
      </c>
    </row>
    <row r="110" spans="1:33" ht="15" x14ac:dyDescent="0.15">
      <c r="A110" s="66" t="s">
        <v>43</v>
      </c>
      <c r="B110" s="80">
        <v>260</v>
      </c>
      <c r="C110" s="68" t="s">
        <v>44</v>
      </c>
      <c r="D110" s="68" t="s">
        <v>161</v>
      </c>
      <c r="E110" s="237">
        <v>1</v>
      </c>
      <c r="F110" s="236" t="s">
        <v>179</v>
      </c>
      <c r="G110" s="236" t="s">
        <v>196</v>
      </c>
      <c r="H110" s="69">
        <v>44124.572916666664</v>
      </c>
      <c r="I110" s="66" t="s">
        <v>48</v>
      </c>
      <c r="J110" s="66">
        <v>10</v>
      </c>
      <c r="K110" s="98">
        <v>3.4</v>
      </c>
      <c r="M110" s="68" t="s">
        <v>166</v>
      </c>
      <c r="N110" s="68" t="s">
        <v>1162</v>
      </c>
      <c r="O110" s="68" t="s">
        <v>1162</v>
      </c>
      <c r="P110" s="237">
        <v>1</v>
      </c>
      <c r="R110" s="103">
        <f t="shared" si="4"/>
        <v>0</v>
      </c>
      <c r="T110" s="103">
        <f t="shared" si="7"/>
        <v>0</v>
      </c>
      <c r="U110" s="68">
        <v>2</v>
      </c>
      <c r="V110" s="103">
        <f t="shared" si="5"/>
        <v>1</v>
      </c>
      <c r="W110" s="325" t="s">
        <v>58</v>
      </c>
      <c r="X110" s="324">
        <f t="shared" si="6"/>
        <v>1</v>
      </c>
      <c r="Y110" s="335" t="s">
        <v>179</v>
      </c>
      <c r="Z110" s="335" t="s">
        <v>196</v>
      </c>
      <c r="AA110" s="68" t="s">
        <v>161</v>
      </c>
      <c r="AG110" s="66" t="s">
        <v>59</v>
      </c>
    </row>
    <row r="111" spans="1:33" ht="30" x14ac:dyDescent="0.15">
      <c r="A111" s="66" t="s">
        <v>43</v>
      </c>
      <c r="B111" s="80">
        <v>260</v>
      </c>
      <c r="C111" s="68" t="s">
        <v>44</v>
      </c>
      <c r="D111" s="68" t="s">
        <v>161</v>
      </c>
      <c r="E111" s="237">
        <v>1</v>
      </c>
      <c r="F111" s="236" t="s">
        <v>179</v>
      </c>
      <c r="G111" s="236" t="s">
        <v>197</v>
      </c>
      <c r="H111" s="69">
        <v>44124.572916666664</v>
      </c>
      <c r="I111" s="66" t="s">
        <v>48</v>
      </c>
      <c r="J111" s="66">
        <v>10</v>
      </c>
      <c r="K111" s="98">
        <v>3.4</v>
      </c>
      <c r="M111" s="68" t="s">
        <v>166</v>
      </c>
      <c r="N111" s="68" t="s">
        <v>1162</v>
      </c>
      <c r="O111" s="68" t="s">
        <v>1162</v>
      </c>
      <c r="P111" s="237">
        <v>1</v>
      </c>
      <c r="R111" s="103">
        <f t="shared" si="4"/>
        <v>0</v>
      </c>
      <c r="T111" s="103">
        <f t="shared" si="7"/>
        <v>0</v>
      </c>
      <c r="U111" s="68">
        <v>2</v>
      </c>
      <c r="V111" s="103">
        <f t="shared" si="5"/>
        <v>1</v>
      </c>
      <c r="X111" s="324">
        <f t="shared" si="6"/>
        <v>0</v>
      </c>
      <c r="Y111" s="335" t="s">
        <v>179</v>
      </c>
      <c r="Z111" s="335" t="s">
        <v>197</v>
      </c>
      <c r="AA111" s="68" t="s">
        <v>161</v>
      </c>
      <c r="AG111" s="66" t="s">
        <v>54</v>
      </c>
    </row>
    <row r="112" spans="1:33" ht="30" x14ac:dyDescent="0.15">
      <c r="A112" s="66" t="s">
        <v>43</v>
      </c>
      <c r="B112" s="80">
        <v>260</v>
      </c>
      <c r="C112" s="68" t="s">
        <v>44</v>
      </c>
      <c r="D112" s="68" t="s">
        <v>161</v>
      </c>
      <c r="E112" s="237">
        <v>1</v>
      </c>
      <c r="F112" s="236" t="s">
        <v>179</v>
      </c>
      <c r="G112" s="236" t="s">
        <v>198</v>
      </c>
      <c r="H112" s="69">
        <v>44124.572916666664</v>
      </c>
      <c r="I112" s="66" t="s">
        <v>48</v>
      </c>
      <c r="J112" s="66">
        <v>10</v>
      </c>
      <c r="K112" s="98">
        <v>3.4</v>
      </c>
      <c r="M112" s="68" t="s">
        <v>166</v>
      </c>
      <c r="N112" s="68" t="s">
        <v>1162</v>
      </c>
      <c r="O112" s="68" t="s">
        <v>1162</v>
      </c>
      <c r="P112" s="237">
        <v>1</v>
      </c>
      <c r="R112" s="103">
        <f t="shared" si="4"/>
        <v>0</v>
      </c>
      <c r="T112" s="103">
        <f t="shared" si="7"/>
        <v>0</v>
      </c>
      <c r="U112" s="68">
        <v>2</v>
      </c>
      <c r="V112" s="103">
        <f t="shared" si="5"/>
        <v>1</v>
      </c>
      <c r="X112" s="324">
        <f t="shared" si="6"/>
        <v>0</v>
      </c>
      <c r="Y112" s="335" t="s">
        <v>179</v>
      </c>
      <c r="Z112" s="335" t="s">
        <v>198</v>
      </c>
      <c r="AA112" s="68" t="s">
        <v>161</v>
      </c>
      <c r="AG112" s="66" t="s">
        <v>54</v>
      </c>
    </row>
    <row r="113" spans="1:33" ht="30" x14ac:dyDescent="0.15">
      <c r="A113" s="66" t="s">
        <v>43</v>
      </c>
      <c r="B113" s="80">
        <v>260</v>
      </c>
      <c r="C113" s="68" t="s">
        <v>44</v>
      </c>
      <c r="D113" s="68" t="s">
        <v>161</v>
      </c>
      <c r="E113" s="237">
        <v>1</v>
      </c>
      <c r="F113" s="236" t="s">
        <v>179</v>
      </c>
      <c r="G113" s="236" t="s">
        <v>199</v>
      </c>
      <c r="H113" s="69">
        <v>44124.573611111111</v>
      </c>
      <c r="I113" s="66" t="s">
        <v>48</v>
      </c>
      <c r="J113" s="66">
        <v>10</v>
      </c>
      <c r="K113" s="98">
        <v>3.4</v>
      </c>
      <c r="M113" s="68" t="s">
        <v>166</v>
      </c>
      <c r="N113" s="68" t="s">
        <v>1162</v>
      </c>
      <c r="O113" s="68" t="s">
        <v>1162</v>
      </c>
      <c r="P113" s="237">
        <v>1</v>
      </c>
      <c r="R113" s="103">
        <f t="shared" si="4"/>
        <v>0</v>
      </c>
      <c r="T113" s="103">
        <f t="shared" si="7"/>
        <v>0</v>
      </c>
      <c r="U113" s="68">
        <v>2</v>
      </c>
      <c r="V113" s="103">
        <f t="shared" si="5"/>
        <v>1</v>
      </c>
      <c r="X113" s="324">
        <f t="shared" si="6"/>
        <v>0</v>
      </c>
      <c r="Y113" s="335" t="s">
        <v>179</v>
      </c>
      <c r="Z113" s="335" t="s">
        <v>199</v>
      </c>
      <c r="AA113" s="68" t="s">
        <v>161</v>
      </c>
      <c r="AG113" s="66" t="s">
        <v>54</v>
      </c>
    </row>
    <row r="114" spans="1:33" ht="15" x14ac:dyDescent="0.15">
      <c r="A114" s="66" t="s">
        <v>43</v>
      </c>
      <c r="B114" s="80">
        <v>260</v>
      </c>
      <c r="C114" s="68" t="s">
        <v>44</v>
      </c>
      <c r="D114" s="68" t="s">
        <v>161</v>
      </c>
      <c r="E114" s="237">
        <v>1</v>
      </c>
      <c r="F114" s="66" t="s">
        <v>162</v>
      </c>
      <c r="G114" s="66" t="s">
        <v>200</v>
      </c>
      <c r="H114" s="69">
        <v>44124.581250000003</v>
      </c>
      <c r="I114" s="66" t="s">
        <v>48</v>
      </c>
      <c r="J114" s="66">
        <v>10</v>
      </c>
      <c r="K114" s="98">
        <v>3.4</v>
      </c>
      <c r="M114" s="68" t="s">
        <v>166</v>
      </c>
      <c r="N114" s="68" t="s">
        <v>1162</v>
      </c>
      <c r="O114" s="68" t="s">
        <v>1162</v>
      </c>
      <c r="P114" s="237">
        <v>1</v>
      </c>
      <c r="R114" s="103">
        <f t="shared" si="4"/>
        <v>0</v>
      </c>
      <c r="T114" s="103">
        <f t="shared" si="7"/>
        <v>0</v>
      </c>
      <c r="U114" s="68">
        <v>2</v>
      </c>
      <c r="V114" s="103">
        <f t="shared" si="5"/>
        <v>1</v>
      </c>
      <c r="W114" s="325" t="s">
        <v>58</v>
      </c>
      <c r="X114" s="324">
        <f t="shared" si="6"/>
        <v>1</v>
      </c>
      <c r="Y114" s="332" t="s">
        <v>162</v>
      </c>
      <c r="Z114" s="332" t="s">
        <v>200</v>
      </c>
      <c r="AA114" s="68" t="s">
        <v>161</v>
      </c>
      <c r="AG114" s="66" t="s">
        <v>59</v>
      </c>
    </row>
    <row r="115" spans="1:33" ht="15" x14ac:dyDescent="0.15">
      <c r="A115" s="66" t="s">
        <v>43</v>
      </c>
      <c r="B115" s="80">
        <v>260</v>
      </c>
      <c r="C115" s="68" t="s">
        <v>44</v>
      </c>
      <c r="D115" s="68" t="s">
        <v>161</v>
      </c>
      <c r="E115" s="237">
        <v>1</v>
      </c>
      <c r="F115" s="66" t="s">
        <v>162</v>
      </c>
      <c r="G115" s="66" t="s">
        <v>201</v>
      </c>
      <c r="H115" s="69">
        <v>44124.581250000003</v>
      </c>
      <c r="I115" s="66" t="s">
        <v>48</v>
      </c>
      <c r="J115" s="66">
        <v>10</v>
      </c>
      <c r="K115" s="98">
        <v>3.4</v>
      </c>
      <c r="M115" s="68" t="s">
        <v>52</v>
      </c>
      <c r="N115" s="68" t="s">
        <v>1143</v>
      </c>
      <c r="O115" s="68" t="s">
        <v>1143</v>
      </c>
      <c r="P115" s="237">
        <v>1</v>
      </c>
      <c r="R115" s="103">
        <f t="shared" si="4"/>
        <v>0</v>
      </c>
      <c r="T115" s="103">
        <f t="shared" si="7"/>
        <v>0</v>
      </c>
      <c r="U115" s="68">
        <v>2</v>
      </c>
      <c r="V115" s="103">
        <f t="shared" si="5"/>
        <v>1</v>
      </c>
      <c r="X115" s="324">
        <f t="shared" si="6"/>
        <v>0</v>
      </c>
      <c r="Y115" s="332" t="s">
        <v>162</v>
      </c>
      <c r="Z115" s="332" t="s">
        <v>201</v>
      </c>
      <c r="AA115" s="68" t="s">
        <v>161</v>
      </c>
      <c r="AE115" s="68" t="s">
        <v>169</v>
      </c>
      <c r="AG115" s="66" t="s">
        <v>54</v>
      </c>
    </row>
    <row r="116" spans="1:33" ht="15" x14ac:dyDescent="0.15">
      <c r="A116" s="66" t="s">
        <v>43</v>
      </c>
      <c r="B116" s="80">
        <v>260</v>
      </c>
      <c r="C116" s="68" t="s">
        <v>44</v>
      </c>
      <c r="D116" s="68" t="s">
        <v>161</v>
      </c>
      <c r="E116" s="237">
        <v>1</v>
      </c>
      <c r="F116" s="66" t="s">
        <v>162</v>
      </c>
      <c r="G116" s="66" t="s">
        <v>202</v>
      </c>
      <c r="H116" s="69">
        <v>44124.581250000003</v>
      </c>
      <c r="I116" s="66" t="s">
        <v>48</v>
      </c>
      <c r="J116" s="66">
        <v>10</v>
      </c>
      <c r="K116" s="98">
        <v>3.4</v>
      </c>
      <c r="M116" s="68" t="s">
        <v>68</v>
      </c>
      <c r="N116" s="68" t="s">
        <v>68</v>
      </c>
      <c r="O116" s="68" t="s">
        <v>1163</v>
      </c>
      <c r="P116" s="237">
        <v>1</v>
      </c>
      <c r="R116" s="103">
        <f t="shared" si="4"/>
        <v>0</v>
      </c>
      <c r="T116" s="103">
        <f t="shared" si="7"/>
        <v>0</v>
      </c>
      <c r="U116" s="68">
        <v>3</v>
      </c>
      <c r="V116" s="103">
        <f t="shared" si="5"/>
        <v>1</v>
      </c>
      <c r="W116" s="325" t="s">
        <v>331</v>
      </c>
      <c r="X116" s="324">
        <f t="shared" si="6"/>
        <v>1</v>
      </c>
      <c r="Y116" s="332" t="s">
        <v>162</v>
      </c>
      <c r="Z116" s="332" t="s">
        <v>202</v>
      </c>
      <c r="AA116" s="68" t="s">
        <v>161</v>
      </c>
      <c r="AC116" s="68" t="s">
        <v>112</v>
      </c>
      <c r="AE116" s="68" t="s">
        <v>1147</v>
      </c>
      <c r="AG116" s="66" t="s">
        <v>203</v>
      </c>
    </row>
    <row r="117" spans="1:33" ht="30" x14ac:dyDescent="0.15">
      <c r="A117" s="66" t="s">
        <v>43</v>
      </c>
      <c r="B117" s="80">
        <v>260</v>
      </c>
      <c r="C117" s="68" t="s">
        <v>44</v>
      </c>
      <c r="D117" s="68" t="s">
        <v>161</v>
      </c>
      <c r="E117" s="237">
        <v>1</v>
      </c>
      <c r="F117" s="66" t="s">
        <v>162</v>
      </c>
      <c r="G117" s="66" t="s">
        <v>204</v>
      </c>
      <c r="H117" s="69">
        <v>44124.581250000003</v>
      </c>
      <c r="I117" s="66" t="s">
        <v>48</v>
      </c>
      <c r="J117" s="66">
        <v>10</v>
      </c>
      <c r="K117" s="98">
        <v>3.4</v>
      </c>
      <c r="M117" s="68" t="s">
        <v>68</v>
      </c>
      <c r="N117" s="68" t="s">
        <v>68</v>
      </c>
      <c r="O117" s="68" t="s">
        <v>1163</v>
      </c>
      <c r="P117" s="237">
        <v>1</v>
      </c>
      <c r="R117" s="103">
        <f t="shared" si="4"/>
        <v>0</v>
      </c>
      <c r="T117" s="103">
        <f t="shared" si="7"/>
        <v>0</v>
      </c>
      <c r="U117" s="68">
        <v>3</v>
      </c>
      <c r="V117" s="103">
        <f t="shared" si="5"/>
        <v>1</v>
      </c>
      <c r="X117" s="324">
        <f t="shared" si="6"/>
        <v>0</v>
      </c>
      <c r="Y117" s="332" t="s">
        <v>162</v>
      </c>
      <c r="Z117" s="332" t="s">
        <v>204</v>
      </c>
      <c r="AA117" s="68" t="s">
        <v>161</v>
      </c>
      <c r="AG117" s="66" t="s">
        <v>69</v>
      </c>
    </row>
    <row r="118" spans="1:33" ht="15" x14ac:dyDescent="0.15">
      <c r="A118" s="66" t="s">
        <v>43</v>
      </c>
      <c r="B118" s="80">
        <v>260</v>
      </c>
      <c r="C118" s="68" t="s">
        <v>44</v>
      </c>
      <c r="D118" s="68" t="s">
        <v>161</v>
      </c>
      <c r="E118" s="237">
        <v>1</v>
      </c>
      <c r="F118" s="108" t="s">
        <v>179</v>
      </c>
      <c r="G118" s="108" t="s">
        <v>205</v>
      </c>
      <c r="H118" s="69">
        <v>44124.589583333334</v>
      </c>
      <c r="I118" s="66" t="s">
        <v>48</v>
      </c>
      <c r="J118" s="66">
        <v>10</v>
      </c>
      <c r="K118" s="98">
        <v>3.4</v>
      </c>
      <c r="M118" s="68" t="s">
        <v>68</v>
      </c>
      <c r="N118" s="68" t="s">
        <v>68</v>
      </c>
      <c r="O118" s="68" t="s">
        <v>1163</v>
      </c>
      <c r="P118" s="237">
        <v>1</v>
      </c>
      <c r="R118" s="103">
        <f t="shared" si="4"/>
        <v>0</v>
      </c>
      <c r="T118" s="103">
        <f t="shared" si="7"/>
        <v>0</v>
      </c>
      <c r="U118" s="68">
        <v>3</v>
      </c>
      <c r="V118" s="103">
        <f t="shared" si="5"/>
        <v>1</v>
      </c>
      <c r="W118" s="325" t="s">
        <v>637</v>
      </c>
      <c r="X118" s="324">
        <f t="shared" si="6"/>
        <v>1</v>
      </c>
      <c r="Y118" s="334" t="s">
        <v>179</v>
      </c>
      <c r="Z118" s="334" t="s">
        <v>205</v>
      </c>
      <c r="AA118" s="68" t="s">
        <v>161</v>
      </c>
      <c r="AG118" s="66" t="s">
        <v>59</v>
      </c>
    </row>
    <row r="119" spans="1:33" ht="30" x14ac:dyDescent="0.15">
      <c r="A119" s="66" t="s">
        <v>43</v>
      </c>
      <c r="B119" s="80">
        <v>260</v>
      </c>
      <c r="C119" s="68" t="s">
        <v>44</v>
      </c>
      <c r="D119" s="68" t="s">
        <v>161</v>
      </c>
      <c r="E119" s="237">
        <v>1</v>
      </c>
      <c r="F119" s="108" t="s">
        <v>179</v>
      </c>
      <c r="G119" s="108" t="s">
        <v>206</v>
      </c>
      <c r="H119" s="69">
        <v>44124.589583333334</v>
      </c>
      <c r="I119" s="66" t="s">
        <v>48</v>
      </c>
      <c r="J119" s="66">
        <v>10</v>
      </c>
      <c r="K119" s="98">
        <v>3.4</v>
      </c>
      <c r="M119" s="68" t="s">
        <v>68</v>
      </c>
      <c r="N119" s="68" t="s">
        <v>68</v>
      </c>
      <c r="O119" s="68" t="s">
        <v>1163</v>
      </c>
      <c r="P119" s="237">
        <v>1</v>
      </c>
      <c r="R119" s="103">
        <f t="shared" si="4"/>
        <v>0</v>
      </c>
      <c r="T119" s="103">
        <f t="shared" si="7"/>
        <v>0</v>
      </c>
      <c r="U119" s="68">
        <v>3</v>
      </c>
      <c r="V119" s="103">
        <f t="shared" si="5"/>
        <v>1</v>
      </c>
      <c r="W119" s="325" t="s">
        <v>305</v>
      </c>
      <c r="X119" s="324">
        <f t="shared" si="6"/>
        <v>1</v>
      </c>
      <c r="Y119" s="334" t="s">
        <v>179</v>
      </c>
      <c r="Z119" s="334" t="s">
        <v>206</v>
      </c>
      <c r="AA119" s="68" t="s">
        <v>161</v>
      </c>
      <c r="AG119" s="66" t="s">
        <v>59</v>
      </c>
    </row>
    <row r="120" spans="1:33" ht="15" x14ac:dyDescent="0.15">
      <c r="A120" s="66" t="s">
        <v>43</v>
      </c>
      <c r="B120" s="80">
        <v>260</v>
      </c>
      <c r="C120" s="68" t="s">
        <v>44</v>
      </c>
      <c r="D120" s="68" t="s">
        <v>161</v>
      </c>
      <c r="E120" s="237">
        <v>1</v>
      </c>
      <c r="F120" s="66" t="s">
        <v>162</v>
      </c>
      <c r="G120" s="66" t="s">
        <v>207</v>
      </c>
      <c r="H120" s="69">
        <v>44124.606249999997</v>
      </c>
      <c r="I120" s="66" t="s">
        <v>48</v>
      </c>
      <c r="J120" s="66">
        <v>10</v>
      </c>
      <c r="K120" s="98">
        <v>3.4</v>
      </c>
      <c r="M120" s="68" t="s">
        <v>68</v>
      </c>
      <c r="N120" s="68" t="s">
        <v>68</v>
      </c>
      <c r="O120" s="68" t="s">
        <v>1163</v>
      </c>
      <c r="P120" s="237">
        <v>1</v>
      </c>
      <c r="R120" s="103">
        <f t="shared" si="4"/>
        <v>0</v>
      </c>
      <c r="T120" s="103">
        <f t="shared" si="7"/>
        <v>0</v>
      </c>
      <c r="U120" s="68">
        <v>3</v>
      </c>
      <c r="V120" s="103">
        <f t="shared" si="5"/>
        <v>1</v>
      </c>
      <c r="W120" s="325" t="s">
        <v>637</v>
      </c>
      <c r="X120" s="324">
        <f t="shared" si="6"/>
        <v>1</v>
      </c>
      <c r="Y120" s="332" t="s">
        <v>162</v>
      </c>
      <c r="Z120" s="332" t="s">
        <v>207</v>
      </c>
      <c r="AA120" s="68" t="s">
        <v>161</v>
      </c>
      <c r="AG120" s="66" t="s">
        <v>59</v>
      </c>
    </row>
    <row r="121" spans="1:33" ht="45" x14ac:dyDescent="0.15">
      <c r="A121" s="66" t="s">
        <v>43</v>
      </c>
      <c r="B121" s="80">
        <v>260</v>
      </c>
      <c r="C121" s="68" t="s">
        <v>44</v>
      </c>
      <c r="D121" s="68" t="s">
        <v>161</v>
      </c>
      <c r="E121" s="237">
        <v>1</v>
      </c>
      <c r="F121" s="66" t="s">
        <v>162</v>
      </c>
      <c r="G121" s="66" t="s">
        <v>208</v>
      </c>
      <c r="H121" s="69">
        <v>44124.606249999997</v>
      </c>
      <c r="I121" s="66" t="s">
        <v>48</v>
      </c>
      <c r="J121" s="66">
        <v>10</v>
      </c>
      <c r="K121" s="98">
        <v>3.4</v>
      </c>
      <c r="M121" s="68" t="s">
        <v>68</v>
      </c>
      <c r="N121" s="68" t="s">
        <v>68</v>
      </c>
      <c r="O121" s="68" t="s">
        <v>1163</v>
      </c>
      <c r="P121" s="237">
        <v>1</v>
      </c>
      <c r="R121" s="103">
        <f t="shared" si="4"/>
        <v>0</v>
      </c>
      <c r="T121" s="103">
        <f t="shared" si="7"/>
        <v>0</v>
      </c>
      <c r="U121" s="68">
        <v>3</v>
      </c>
      <c r="V121" s="103">
        <f t="shared" si="5"/>
        <v>1</v>
      </c>
      <c r="W121" s="325" t="s">
        <v>305</v>
      </c>
      <c r="X121" s="324">
        <f t="shared" si="6"/>
        <v>1</v>
      </c>
      <c r="Y121" s="332" t="s">
        <v>162</v>
      </c>
      <c r="Z121" s="332" t="s">
        <v>208</v>
      </c>
      <c r="AA121" s="68" t="s">
        <v>161</v>
      </c>
      <c r="AG121" s="66" t="s">
        <v>69</v>
      </c>
    </row>
    <row r="122" spans="1:33" ht="15" x14ac:dyDescent="0.15">
      <c r="A122" s="66" t="s">
        <v>43</v>
      </c>
      <c r="B122" s="80">
        <v>260</v>
      </c>
      <c r="C122" s="68" t="s">
        <v>44</v>
      </c>
      <c r="D122" s="68" t="s">
        <v>161</v>
      </c>
      <c r="E122" s="237">
        <v>1</v>
      </c>
      <c r="F122" s="66" t="s">
        <v>162</v>
      </c>
      <c r="G122" s="66" t="s">
        <v>209</v>
      </c>
      <c r="H122" s="69">
        <v>44124.606249999997</v>
      </c>
      <c r="I122" s="66" t="s">
        <v>48</v>
      </c>
      <c r="J122" s="66">
        <v>10</v>
      </c>
      <c r="K122" s="98">
        <v>3.4</v>
      </c>
      <c r="M122" s="68" t="s">
        <v>68</v>
      </c>
      <c r="N122" s="68" t="s">
        <v>68</v>
      </c>
      <c r="O122" s="68" t="s">
        <v>1163</v>
      </c>
      <c r="P122" s="237">
        <v>1</v>
      </c>
      <c r="R122" s="103">
        <f t="shared" si="4"/>
        <v>0</v>
      </c>
      <c r="T122" s="103">
        <f t="shared" si="7"/>
        <v>0</v>
      </c>
      <c r="U122" s="68">
        <v>3</v>
      </c>
      <c r="V122" s="103">
        <f t="shared" si="5"/>
        <v>1</v>
      </c>
      <c r="W122" s="325" t="s">
        <v>637</v>
      </c>
      <c r="X122" s="324">
        <f t="shared" si="6"/>
        <v>1</v>
      </c>
      <c r="Y122" s="332" t="s">
        <v>162</v>
      </c>
      <c r="Z122" s="332" t="s">
        <v>209</v>
      </c>
      <c r="AA122" s="68" t="s">
        <v>161</v>
      </c>
      <c r="AC122" s="68" t="s">
        <v>112</v>
      </c>
      <c r="AG122" s="66" t="s">
        <v>92</v>
      </c>
    </row>
    <row r="123" spans="1:33" ht="15" x14ac:dyDescent="0.15">
      <c r="A123" s="66" t="s">
        <v>43</v>
      </c>
      <c r="B123" s="80">
        <v>260</v>
      </c>
      <c r="C123" s="68" t="s">
        <v>44</v>
      </c>
      <c r="D123" s="68" t="s">
        <v>161</v>
      </c>
      <c r="E123" s="237">
        <v>1</v>
      </c>
      <c r="F123" s="108" t="s">
        <v>179</v>
      </c>
      <c r="G123" s="108" t="s">
        <v>210</v>
      </c>
      <c r="H123" s="69">
        <v>44124.61041666667</v>
      </c>
      <c r="I123" s="66" t="s">
        <v>48</v>
      </c>
      <c r="J123" s="66">
        <v>10</v>
      </c>
      <c r="K123" s="98">
        <v>3.4</v>
      </c>
      <c r="M123" s="68" t="s">
        <v>68</v>
      </c>
      <c r="N123" s="68" t="s">
        <v>68</v>
      </c>
      <c r="O123" s="68" t="s">
        <v>1163</v>
      </c>
      <c r="P123" s="237">
        <v>1</v>
      </c>
      <c r="R123" s="103">
        <f t="shared" si="4"/>
        <v>0</v>
      </c>
      <c r="T123" s="103">
        <f t="shared" si="7"/>
        <v>0</v>
      </c>
      <c r="U123" s="68">
        <v>3</v>
      </c>
      <c r="V123" s="103">
        <f t="shared" si="5"/>
        <v>1</v>
      </c>
      <c r="W123" s="325" t="s">
        <v>637</v>
      </c>
      <c r="X123" s="324">
        <f t="shared" si="6"/>
        <v>1</v>
      </c>
      <c r="Y123" s="334" t="s">
        <v>179</v>
      </c>
      <c r="Z123" s="334" t="s">
        <v>210</v>
      </c>
      <c r="AA123" s="68" t="s">
        <v>161</v>
      </c>
      <c r="AG123" s="66" t="s">
        <v>59</v>
      </c>
    </row>
    <row r="124" spans="1:33" ht="15" x14ac:dyDescent="0.15">
      <c r="A124" s="66" t="s">
        <v>43</v>
      </c>
      <c r="B124" s="80">
        <v>260</v>
      </c>
      <c r="C124" s="68" t="s">
        <v>44</v>
      </c>
      <c r="D124" s="68" t="s">
        <v>161</v>
      </c>
      <c r="E124" s="237">
        <v>1</v>
      </c>
      <c r="F124" s="66" t="s">
        <v>162</v>
      </c>
      <c r="G124" s="66" t="s">
        <v>211</v>
      </c>
      <c r="H124" s="69">
        <v>44124.613194444442</v>
      </c>
      <c r="I124" s="66" t="s">
        <v>48</v>
      </c>
      <c r="J124" s="66">
        <v>10</v>
      </c>
      <c r="K124" s="98">
        <v>3.4</v>
      </c>
      <c r="M124" s="68" t="s">
        <v>68</v>
      </c>
      <c r="N124" s="68" t="s">
        <v>68</v>
      </c>
      <c r="O124" s="68" t="s">
        <v>1163</v>
      </c>
      <c r="P124" s="237">
        <v>1</v>
      </c>
      <c r="R124" s="103">
        <f t="shared" si="4"/>
        <v>0</v>
      </c>
      <c r="T124" s="103">
        <f t="shared" si="7"/>
        <v>0</v>
      </c>
      <c r="U124" s="68">
        <v>3</v>
      </c>
      <c r="V124" s="103">
        <f t="shared" si="5"/>
        <v>1</v>
      </c>
      <c r="W124" s="325" t="s">
        <v>637</v>
      </c>
      <c r="X124" s="324">
        <f t="shared" si="6"/>
        <v>1</v>
      </c>
      <c r="Y124" s="332" t="s">
        <v>162</v>
      </c>
      <c r="Z124" s="332" t="s">
        <v>211</v>
      </c>
      <c r="AA124" s="68" t="s">
        <v>161</v>
      </c>
      <c r="AG124" s="66" t="s">
        <v>59</v>
      </c>
    </row>
    <row r="125" spans="1:33" ht="45" x14ac:dyDescent="0.15">
      <c r="A125" s="66" t="s">
        <v>43</v>
      </c>
      <c r="B125" s="80">
        <v>260</v>
      </c>
      <c r="C125" s="68" t="s">
        <v>44</v>
      </c>
      <c r="D125" s="68" t="s">
        <v>161</v>
      </c>
      <c r="E125" s="237">
        <v>1</v>
      </c>
      <c r="F125" s="66" t="s">
        <v>162</v>
      </c>
      <c r="G125" s="66" t="s">
        <v>212</v>
      </c>
      <c r="H125" s="69">
        <v>44124.613194444442</v>
      </c>
      <c r="I125" s="66" t="s">
        <v>48</v>
      </c>
      <c r="J125" s="66">
        <v>10</v>
      </c>
      <c r="K125" s="98">
        <v>3.4</v>
      </c>
      <c r="M125" s="68" t="s">
        <v>68</v>
      </c>
      <c r="N125" s="68" t="s">
        <v>68</v>
      </c>
      <c r="O125" s="68" t="s">
        <v>1163</v>
      </c>
      <c r="P125" s="237">
        <v>1</v>
      </c>
      <c r="R125" s="103">
        <f t="shared" si="4"/>
        <v>0</v>
      </c>
      <c r="T125" s="103">
        <f t="shared" si="7"/>
        <v>0</v>
      </c>
      <c r="U125" s="68">
        <v>3</v>
      </c>
      <c r="V125" s="103">
        <f t="shared" si="5"/>
        <v>1</v>
      </c>
      <c r="W125" s="325" t="s">
        <v>305</v>
      </c>
      <c r="X125" s="324">
        <f t="shared" si="6"/>
        <v>1</v>
      </c>
      <c r="Y125" s="332" t="s">
        <v>162</v>
      </c>
      <c r="Z125" s="332" t="s">
        <v>212</v>
      </c>
      <c r="AA125" s="68" t="s">
        <v>161</v>
      </c>
      <c r="AG125" s="66" t="s">
        <v>69</v>
      </c>
    </row>
    <row r="126" spans="1:33" ht="15" x14ac:dyDescent="0.15">
      <c r="A126" s="66" t="s">
        <v>43</v>
      </c>
      <c r="B126" s="80">
        <v>260</v>
      </c>
      <c r="C126" s="68" t="s">
        <v>44</v>
      </c>
      <c r="D126" s="68" t="s">
        <v>161</v>
      </c>
      <c r="E126" s="237">
        <v>1</v>
      </c>
      <c r="F126" s="66" t="s">
        <v>179</v>
      </c>
      <c r="G126" s="66" t="s">
        <v>213</v>
      </c>
      <c r="H126" s="69">
        <v>44124.613888888889</v>
      </c>
      <c r="I126" s="66" t="s">
        <v>48</v>
      </c>
      <c r="J126" s="66">
        <v>10</v>
      </c>
      <c r="K126" s="98">
        <v>3.4</v>
      </c>
      <c r="M126" s="68" t="s">
        <v>49</v>
      </c>
      <c r="N126" s="68" t="s">
        <v>49</v>
      </c>
      <c r="O126" s="68" t="s">
        <v>1163</v>
      </c>
      <c r="P126" s="237">
        <v>1</v>
      </c>
      <c r="R126" s="103">
        <f t="shared" si="4"/>
        <v>0</v>
      </c>
      <c r="T126" s="103">
        <f t="shared" si="7"/>
        <v>0</v>
      </c>
      <c r="U126" s="68">
        <v>3</v>
      </c>
      <c r="V126" s="103">
        <f t="shared" si="5"/>
        <v>1</v>
      </c>
      <c r="W126" s="325" t="s">
        <v>58</v>
      </c>
      <c r="X126" s="324">
        <f t="shared" si="6"/>
        <v>1</v>
      </c>
      <c r="Y126" s="332" t="s">
        <v>179</v>
      </c>
      <c r="Z126" s="332" t="s">
        <v>213</v>
      </c>
      <c r="AA126" s="68" t="s">
        <v>161</v>
      </c>
      <c r="AE126" s="68" t="s">
        <v>1149</v>
      </c>
      <c r="AG126" s="66" t="s">
        <v>59</v>
      </c>
    </row>
    <row r="127" spans="1:33" ht="15" x14ac:dyDescent="0.15">
      <c r="A127" s="66" t="s">
        <v>43</v>
      </c>
      <c r="B127" s="80">
        <v>260</v>
      </c>
      <c r="C127" s="68" t="s">
        <v>44</v>
      </c>
      <c r="D127" s="68" t="s">
        <v>161</v>
      </c>
      <c r="E127" s="237">
        <v>1</v>
      </c>
      <c r="F127" s="66" t="s">
        <v>179</v>
      </c>
      <c r="G127" s="66" t="s">
        <v>215</v>
      </c>
      <c r="H127" s="69">
        <v>44125.320833333331</v>
      </c>
      <c r="I127" s="66" t="s">
        <v>48</v>
      </c>
      <c r="J127" s="66">
        <v>10</v>
      </c>
      <c r="K127" s="98">
        <v>3.4</v>
      </c>
      <c r="M127" s="68" t="s">
        <v>108</v>
      </c>
      <c r="N127" s="68" t="s">
        <v>108</v>
      </c>
      <c r="O127" s="68" t="s">
        <v>108</v>
      </c>
      <c r="P127" s="237">
        <v>1</v>
      </c>
      <c r="R127" s="103">
        <f t="shared" si="4"/>
        <v>0</v>
      </c>
      <c r="T127" s="103">
        <f t="shared" si="7"/>
        <v>0</v>
      </c>
      <c r="U127" s="68">
        <v>2</v>
      </c>
      <c r="V127" s="103">
        <f t="shared" si="5"/>
        <v>1</v>
      </c>
      <c r="W127" s="325" t="s">
        <v>331</v>
      </c>
      <c r="X127" s="324">
        <f t="shared" si="6"/>
        <v>1</v>
      </c>
      <c r="Y127" s="332" t="s">
        <v>179</v>
      </c>
      <c r="Z127" s="332" t="s">
        <v>215</v>
      </c>
      <c r="AA127" s="68" t="s">
        <v>161</v>
      </c>
      <c r="AC127" s="68" t="s">
        <v>120</v>
      </c>
      <c r="AE127" s="68" t="s">
        <v>1150</v>
      </c>
      <c r="AG127" s="66" t="s">
        <v>148</v>
      </c>
    </row>
    <row r="128" spans="1:33" ht="15" x14ac:dyDescent="0.15">
      <c r="A128" s="66" t="s">
        <v>43</v>
      </c>
      <c r="B128" s="80">
        <v>260</v>
      </c>
      <c r="C128" s="68" t="s">
        <v>44</v>
      </c>
      <c r="D128" s="68" t="s">
        <v>161</v>
      </c>
      <c r="E128" s="237">
        <v>1</v>
      </c>
      <c r="F128" s="66" t="s">
        <v>162</v>
      </c>
      <c r="G128" s="66" t="s">
        <v>217</v>
      </c>
      <c r="H128" s="69">
        <v>44125.457638888889</v>
      </c>
      <c r="I128" s="66" t="s">
        <v>48</v>
      </c>
      <c r="J128" s="66">
        <v>10</v>
      </c>
      <c r="K128" s="98">
        <v>3.4</v>
      </c>
      <c r="M128" s="68" t="s">
        <v>108</v>
      </c>
      <c r="N128" s="68" t="s">
        <v>108</v>
      </c>
      <c r="O128" s="68" t="s">
        <v>108</v>
      </c>
      <c r="P128" s="237">
        <v>1</v>
      </c>
      <c r="R128" s="103">
        <f t="shared" si="4"/>
        <v>0</v>
      </c>
      <c r="T128" s="103">
        <f t="shared" si="7"/>
        <v>0</v>
      </c>
      <c r="U128" s="68">
        <v>2</v>
      </c>
      <c r="V128" s="103">
        <f t="shared" si="5"/>
        <v>1</v>
      </c>
      <c r="W128" s="325" t="s">
        <v>305</v>
      </c>
      <c r="X128" s="324">
        <f t="shared" si="6"/>
        <v>1</v>
      </c>
      <c r="Y128" s="332" t="s">
        <v>162</v>
      </c>
      <c r="Z128" s="332" t="s">
        <v>217</v>
      </c>
      <c r="AA128" s="68" t="s">
        <v>161</v>
      </c>
      <c r="AG128" s="66" t="s">
        <v>59</v>
      </c>
    </row>
    <row r="129" spans="1:33" ht="45" x14ac:dyDescent="0.15">
      <c r="A129" s="66" t="s">
        <v>43</v>
      </c>
      <c r="B129" s="80">
        <v>260</v>
      </c>
      <c r="C129" s="68" t="s">
        <v>44</v>
      </c>
      <c r="D129" s="68" t="s">
        <v>161</v>
      </c>
      <c r="E129" s="237">
        <v>1</v>
      </c>
      <c r="F129" s="66" t="s">
        <v>162</v>
      </c>
      <c r="G129" s="66" t="s">
        <v>218</v>
      </c>
      <c r="H129" s="69">
        <v>44125.457638888889</v>
      </c>
      <c r="I129" s="66" t="s">
        <v>48</v>
      </c>
      <c r="J129" s="66">
        <v>10</v>
      </c>
      <c r="K129" s="98">
        <v>3.4</v>
      </c>
      <c r="M129" s="68" t="s">
        <v>52</v>
      </c>
      <c r="N129" s="68" t="s">
        <v>1143</v>
      </c>
      <c r="O129" s="68" t="s">
        <v>1143</v>
      </c>
      <c r="P129" s="237">
        <v>1</v>
      </c>
      <c r="R129" s="103">
        <f t="shared" si="4"/>
        <v>0</v>
      </c>
      <c r="T129" s="103">
        <f t="shared" si="7"/>
        <v>0</v>
      </c>
      <c r="U129" s="68">
        <v>2</v>
      </c>
      <c r="V129" s="103">
        <f t="shared" si="5"/>
        <v>1</v>
      </c>
      <c r="W129" s="325" t="s">
        <v>305</v>
      </c>
      <c r="X129" s="324">
        <f t="shared" si="6"/>
        <v>1</v>
      </c>
      <c r="Y129" s="332" t="s">
        <v>162</v>
      </c>
      <c r="Z129" s="332" t="s">
        <v>218</v>
      </c>
      <c r="AA129" s="68" t="s">
        <v>161</v>
      </c>
      <c r="AE129" s="68" t="s">
        <v>219</v>
      </c>
      <c r="AG129" s="66" t="s">
        <v>54</v>
      </c>
    </row>
    <row r="130" spans="1:33" ht="15" x14ac:dyDescent="0.15">
      <c r="A130" s="66" t="s">
        <v>43</v>
      </c>
      <c r="B130" s="80">
        <v>260</v>
      </c>
      <c r="C130" s="68" t="s">
        <v>44</v>
      </c>
      <c r="D130" s="68" t="s">
        <v>161</v>
      </c>
      <c r="E130" s="237">
        <v>1</v>
      </c>
      <c r="F130" s="66" t="s">
        <v>162</v>
      </c>
      <c r="G130" s="66" t="s">
        <v>220</v>
      </c>
      <c r="H130" s="69">
        <v>44125.457638888889</v>
      </c>
      <c r="I130" s="66" t="s">
        <v>48</v>
      </c>
      <c r="J130" s="66">
        <v>10</v>
      </c>
      <c r="K130" s="98">
        <v>3.4</v>
      </c>
      <c r="M130" s="68" t="s">
        <v>52</v>
      </c>
      <c r="N130" s="68" t="s">
        <v>1143</v>
      </c>
      <c r="O130" s="68" t="s">
        <v>1143</v>
      </c>
      <c r="P130" s="237">
        <v>1</v>
      </c>
      <c r="R130" s="103">
        <f t="shared" si="4"/>
        <v>0</v>
      </c>
      <c r="T130" s="103">
        <f t="shared" si="7"/>
        <v>0</v>
      </c>
      <c r="U130" s="68">
        <v>2</v>
      </c>
      <c r="V130" s="103">
        <f t="shared" si="5"/>
        <v>1</v>
      </c>
      <c r="W130" s="325" t="s">
        <v>305</v>
      </c>
      <c r="X130" s="324">
        <f t="shared" si="6"/>
        <v>1</v>
      </c>
      <c r="Y130" s="332" t="s">
        <v>162</v>
      </c>
      <c r="Z130" s="332" t="s">
        <v>220</v>
      </c>
      <c r="AA130" s="68" t="s">
        <v>161</v>
      </c>
      <c r="AG130" s="66" t="s">
        <v>92</v>
      </c>
    </row>
    <row r="131" spans="1:33" ht="30" x14ac:dyDescent="0.15">
      <c r="A131" s="66" t="s">
        <v>43</v>
      </c>
      <c r="B131" s="80">
        <v>260</v>
      </c>
      <c r="C131" s="68" t="s">
        <v>44</v>
      </c>
      <c r="D131" s="68" t="s">
        <v>161</v>
      </c>
      <c r="E131" s="237">
        <v>1</v>
      </c>
      <c r="F131" s="66" t="s">
        <v>162</v>
      </c>
      <c r="G131" s="66" t="s">
        <v>221</v>
      </c>
      <c r="H131" s="69">
        <v>44125.458333333336</v>
      </c>
      <c r="I131" s="66" t="s">
        <v>48</v>
      </c>
      <c r="J131" s="66">
        <v>10</v>
      </c>
      <c r="K131" s="98">
        <v>3.4</v>
      </c>
      <c r="M131" s="68" t="s">
        <v>68</v>
      </c>
      <c r="N131" s="68" t="s">
        <v>68</v>
      </c>
      <c r="O131" s="68" t="s">
        <v>1163</v>
      </c>
      <c r="P131" s="237">
        <v>1</v>
      </c>
      <c r="R131" s="103">
        <f t="shared" ref="R131:R194" si="8">IF(Q131&lt;&gt;"",1,0)</f>
        <v>0</v>
      </c>
      <c r="T131" s="103">
        <f t="shared" si="7"/>
        <v>0</v>
      </c>
      <c r="U131" s="68">
        <v>3</v>
      </c>
      <c r="V131" s="103">
        <f t="shared" ref="V131:V194" si="9">IF(U131&lt;&gt;"",1,0)</f>
        <v>1</v>
      </c>
      <c r="W131" s="325" t="s">
        <v>305</v>
      </c>
      <c r="X131" s="324">
        <f t="shared" ref="X131:X194" si="10">IF(W131&lt;&gt;"",1,0)</f>
        <v>1</v>
      </c>
      <c r="Y131" s="332" t="s">
        <v>162</v>
      </c>
      <c r="Z131" s="332" t="s">
        <v>221</v>
      </c>
      <c r="AA131" s="68" t="s">
        <v>161</v>
      </c>
      <c r="AE131" s="68" t="s">
        <v>1147</v>
      </c>
      <c r="AG131" s="66" t="s">
        <v>69</v>
      </c>
    </row>
    <row r="132" spans="1:33" ht="30" x14ac:dyDescent="0.15">
      <c r="A132" s="66" t="s">
        <v>43</v>
      </c>
      <c r="B132" s="80">
        <v>260</v>
      </c>
      <c r="C132" s="68" t="s">
        <v>44</v>
      </c>
      <c r="D132" s="68" t="s">
        <v>161</v>
      </c>
      <c r="E132" s="237">
        <v>1</v>
      </c>
      <c r="F132" s="66" t="s">
        <v>162</v>
      </c>
      <c r="G132" s="66" t="s">
        <v>222</v>
      </c>
      <c r="H132" s="69">
        <v>44125.458333333336</v>
      </c>
      <c r="I132" s="66" t="s">
        <v>48</v>
      </c>
      <c r="J132" s="66">
        <v>10</v>
      </c>
      <c r="K132" s="98">
        <v>3.4</v>
      </c>
      <c r="M132" s="68" t="s">
        <v>52</v>
      </c>
      <c r="N132" s="68" t="s">
        <v>1143</v>
      </c>
      <c r="O132" s="68" t="s">
        <v>1143</v>
      </c>
      <c r="P132" s="237">
        <v>1</v>
      </c>
      <c r="R132" s="103">
        <f t="shared" si="8"/>
        <v>0</v>
      </c>
      <c r="T132" s="103">
        <f t="shared" ref="T132:T195" si="11">IF(S131&lt;&gt;"",1,0)</f>
        <v>0</v>
      </c>
      <c r="U132" s="68">
        <v>3</v>
      </c>
      <c r="V132" s="103">
        <f t="shared" si="9"/>
        <v>1</v>
      </c>
      <c r="W132" s="325" t="s">
        <v>305</v>
      </c>
      <c r="X132" s="324">
        <f t="shared" si="10"/>
        <v>1</v>
      </c>
      <c r="Y132" s="332" t="s">
        <v>162</v>
      </c>
      <c r="Z132" s="332" t="s">
        <v>222</v>
      </c>
      <c r="AA132" s="68" t="s">
        <v>161</v>
      </c>
      <c r="AE132" s="68" t="s">
        <v>1146</v>
      </c>
      <c r="AG132" s="66" t="s">
        <v>54</v>
      </c>
    </row>
    <row r="133" spans="1:33" ht="15" x14ac:dyDescent="0.15">
      <c r="A133" s="66" t="s">
        <v>43</v>
      </c>
      <c r="B133" s="80">
        <v>260</v>
      </c>
      <c r="C133" s="68" t="s">
        <v>44</v>
      </c>
      <c r="D133" s="68" t="s">
        <v>161</v>
      </c>
      <c r="E133" s="237">
        <v>1</v>
      </c>
      <c r="F133" s="66" t="s">
        <v>162</v>
      </c>
      <c r="G133" s="66" t="s">
        <v>223</v>
      </c>
      <c r="H133" s="69">
        <v>44125.458333333336</v>
      </c>
      <c r="I133" s="66" t="s">
        <v>48</v>
      </c>
      <c r="J133" s="66">
        <v>10</v>
      </c>
      <c r="K133" s="98">
        <v>3.4</v>
      </c>
      <c r="M133" s="68" t="s">
        <v>52</v>
      </c>
      <c r="N133" s="68" t="s">
        <v>1143</v>
      </c>
      <c r="O133" s="68" t="s">
        <v>1143</v>
      </c>
      <c r="P133" s="237">
        <v>1</v>
      </c>
      <c r="R133" s="103">
        <f t="shared" si="8"/>
        <v>0</v>
      </c>
      <c r="T133" s="103">
        <f t="shared" si="11"/>
        <v>0</v>
      </c>
      <c r="U133" s="68">
        <v>2</v>
      </c>
      <c r="V133" s="103">
        <f t="shared" si="9"/>
        <v>1</v>
      </c>
      <c r="W133" s="325" t="s">
        <v>331</v>
      </c>
      <c r="X133" s="324">
        <f t="shared" si="10"/>
        <v>1</v>
      </c>
      <c r="Y133" s="332" t="s">
        <v>162</v>
      </c>
      <c r="Z133" s="332" t="s">
        <v>223</v>
      </c>
      <c r="AA133" s="68" t="s">
        <v>161</v>
      </c>
      <c r="AC133" s="68" t="s">
        <v>120</v>
      </c>
      <c r="AG133" s="66" t="s">
        <v>54</v>
      </c>
    </row>
    <row r="134" spans="1:33" ht="30" x14ac:dyDescent="0.15">
      <c r="A134" s="66" t="s">
        <v>43</v>
      </c>
      <c r="B134" s="80">
        <v>260</v>
      </c>
      <c r="C134" s="68" t="s">
        <v>44</v>
      </c>
      <c r="D134" s="68" t="s">
        <v>161</v>
      </c>
      <c r="E134" s="237">
        <v>1</v>
      </c>
      <c r="F134" s="108" t="s">
        <v>179</v>
      </c>
      <c r="G134" s="108" t="s">
        <v>224</v>
      </c>
      <c r="H134" s="69">
        <v>44125.490277777775</v>
      </c>
      <c r="I134" s="66" t="s">
        <v>48</v>
      </c>
      <c r="J134" s="66">
        <v>10</v>
      </c>
      <c r="K134" s="98">
        <v>3.4</v>
      </c>
      <c r="M134" s="68" t="s">
        <v>68</v>
      </c>
      <c r="N134" s="68" t="s">
        <v>68</v>
      </c>
      <c r="O134" s="68" t="s">
        <v>1163</v>
      </c>
      <c r="P134" s="237">
        <v>1</v>
      </c>
      <c r="R134" s="103">
        <f t="shared" si="8"/>
        <v>0</v>
      </c>
      <c r="T134" s="103">
        <f t="shared" si="11"/>
        <v>0</v>
      </c>
      <c r="U134" s="68">
        <v>2</v>
      </c>
      <c r="V134" s="103">
        <f t="shared" si="9"/>
        <v>1</v>
      </c>
      <c r="W134" s="325" t="s">
        <v>305</v>
      </c>
      <c r="X134" s="324">
        <f t="shared" si="10"/>
        <v>1</v>
      </c>
      <c r="Y134" s="334" t="s">
        <v>179</v>
      </c>
      <c r="Z134" s="334" t="s">
        <v>224</v>
      </c>
      <c r="AA134" s="68" t="s">
        <v>161</v>
      </c>
      <c r="AE134" s="68" t="s">
        <v>1147</v>
      </c>
      <c r="AG134" s="66" t="s">
        <v>69</v>
      </c>
    </row>
    <row r="135" spans="1:33" ht="15" x14ac:dyDescent="0.15">
      <c r="A135" s="66" t="s">
        <v>43</v>
      </c>
      <c r="B135" s="80">
        <v>260</v>
      </c>
      <c r="C135" s="68" t="s">
        <v>44</v>
      </c>
      <c r="D135" s="68" t="s">
        <v>161</v>
      </c>
      <c r="E135" s="237">
        <v>1</v>
      </c>
      <c r="F135" s="108" t="s">
        <v>179</v>
      </c>
      <c r="G135" s="108" t="s">
        <v>225</v>
      </c>
      <c r="H135" s="69">
        <v>44125.492361111108</v>
      </c>
      <c r="I135" s="66" t="s">
        <v>48</v>
      </c>
      <c r="J135" s="66">
        <v>10</v>
      </c>
      <c r="K135" s="98">
        <v>3.4</v>
      </c>
      <c r="M135" s="68" t="s">
        <v>52</v>
      </c>
      <c r="N135" s="68" t="s">
        <v>1143</v>
      </c>
      <c r="O135" s="68" t="s">
        <v>1143</v>
      </c>
      <c r="P135" s="237">
        <v>1</v>
      </c>
      <c r="R135" s="103">
        <f t="shared" si="8"/>
        <v>0</v>
      </c>
      <c r="T135" s="103">
        <f t="shared" si="11"/>
        <v>0</v>
      </c>
      <c r="U135" s="68">
        <v>2</v>
      </c>
      <c r="V135" s="103">
        <f t="shared" si="9"/>
        <v>1</v>
      </c>
      <c r="W135" s="325" t="s">
        <v>58</v>
      </c>
      <c r="X135" s="324">
        <f t="shared" si="10"/>
        <v>1</v>
      </c>
      <c r="Y135" s="334" t="s">
        <v>179</v>
      </c>
      <c r="Z135" s="334" t="s">
        <v>225</v>
      </c>
      <c r="AA135" s="68" t="s">
        <v>161</v>
      </c>
      <c r="AE135" s="68" t="s">
        <v>1146</v>
      </c>
      <c r="AG135" s="66" t="s">
        <v>54</v>
      </c>
    </row>
    <row r="136" spans="1:33" ht="60" x14ac:dyDescent="0.15">
      <c r="A136" s="66" t="s">
        <v>43</v>
      </c>
      <c r="B136" s="80">
        <v>260</v>
      </c>
      <c r="C136" s="68" t="s">
        <v>44</v>
      </c>
      <c r="D136" s="68" t="s">
        <v>161</v>
      </c>
      <c r="E136" s="237">
        <v>1</v>
      </c>
      <c r="F136" s="108" t="s">
        <v>179</v>
      </c>
      <c r="G136" s="108" t="s">
        <v>226</v>
      </c>
      <c r="H136" s="69">
        <v>44125.492361111108</v>
      </c>
      <c r="I136" s="66" t="s">
        <v>48</v>
      </c>
      <c r="J136" s="66">
        <v>10</v>
      </c>
      <c r="K136" s="98">
        <v>3.4</v>
      </c>
      <c r="M136" s="68" t="s">
        <v>52</v>
      </c>
      <c r="N136" s="68" t="s">
        <v>1143</v>
      </c>
      <c r="O136" s="68" t="s">
        <v>1143</v>
      </c>
      <c r="P136" s="237">
        <v>1</v>
      </c>
      <c r="R136" s="103">
        <f t="shared" si="8"/>
        <v>0</v>
      </c>
      <c r="T136" s="103">
        <f t="shared" si="11"/>
        <v>0</v>
      </c>
      <c r="U136" s="68">
        <v>2</v>
      </c>
      <c r="V136" s="103">
        <f t="shared" si="9"/>
        <v>1</v>
      </c>
      <c r="X136" s="324">
        <f t="shared" si="10"/>
        <v>0</v>
      </c>
      <c r="Y136" s="334" t="s">
        <v>179</v>
      </c>
      <c r="Z136" s="334" t="s">
        <v>226</v>
      </c>
      <c r="AA136" s="68" t="s">
        <v>161</v>
      </c>
      <c r="AG136" s="66" t="s">
        <v>54</v>
      </c>
    </row>
    <row r="137" spans="1:33" ht="45" x14ac:dyDescent="0.15">
      <c r="A137" s="66" t="s">
        <v>43</v>
      </c>
      <c r="B137" s="80">
        <v>260</v>
      </c>
      <c r="C137" s="68" t="s">
        <v>44</v>
      </c>
      <c r="D137" s="68" t="s">
        <v>161</v>
      </c>
      <c r="E137" s="237">
        <v>1</v>
      </c>
      <c r="F137" s="108" t="s">
        <v>179</v>
      </c>
      <c r="G137" s="108" t="s">
        <v>227</v>
      </c>
      <c r="H137" s="69">
        <v>44125.492361111108</v>
      </c>
      <c r="I137" s="66" t="s">
        <v>48</v>
      </c>
      <c r="J137" s="66">
        <v>10</v>
      </c>
      <c r="K137" s="116" t="s">
        <v>228</v>
      </c>
      <c r="M137" s="68" t="s">
        <v>52</v>
      </c>
      <c r="N137" s="68" t="s">
        <v>1143</v>
      </c>
      <c r="O137" s="68" t="s">
        <v>1143</v>
      </c>
      <c r="P137" s="237">
        <v>1</v>
      </c>
      <c r="R137" s="103">
        <f t="shared" si="8"/>
        <v>0</v>
      </c>
      <c r="T137" s="103">
        <f t="shared" si="11"/>
        <v>0</v>
      </c>
      <c r="U137" s="68">
        <v>2</v>
      </c>
      <c r="V137" s="103">
        <f t="shared" si="9"/>
        <v>1</v>
      </c>
      <c r="X137" s="324">
        <f t="shared" si="10"/>
        <v>0</v>
      </c>
      <c r="Y137" s="334" t="s">
        <v>179</v>
      </c>
      <c r="Z137" s="334" t="s">
        <v>227</v>
      </c>
      <c r="AA137" s="68" t="s">
        <v>161</v>
      </c>
      <c r="AG137" s="66" t="s">
        <v>54</v>
      </c>
    </row>
    <row r="138" spans="1:33" ht="15" x14ac:dyDescent="0.15">
      <c r="A138" s="66" t="s">
        <v>43</v>
      </c>
      <c r="B138" s="80">
        <v>260</v>
      </c>
      <c r="C138" s="68" t="s">
        <v>44</v>
      </c>
      <c r="D138" s="68" t="s">
        <v>161</v>
      </c>
      <c r="E138" s="237">
        <v>1</v>
      </c>
      <c r="F138" s="108" t="s">
        <v>179</v>
      </c>
      <c r="G138" s="108" t="s">
        <v>229</v>
      </c>
      <c r="H138" s="69">
        <v>44125.492361111108</v>
      </c>
      <c r="I138" s="66" t="s">
        <v>48</v>
      </c>
      <c r="J138" s="66">
        <v>10</v>
      </c>
      <c r="K138" s="98">
        <v>3.4</v>
      </c>
      <c r="M138" s="68" t="s">
        <v>52</v>
      </c>
      <c r="N138" s="68" t="s">
        <v>1143</v>
      </c>
      <c r="O138" s="68" t="s">
        <v>1143</v>
      </c>
      <c r="P138" s="237">
        <v>1</v>
      </c>
      <c r="R138" s="103">
        <f t="shared" si="8"/>
        <v>0</v>
      </c>
      <c r="T138" s="103">
        <f t="shared" si="11"/>
        <v>0</v>
      </c>
      <c r="U138" s="68">
        <v>2</v>
      </c>
      <c r="V138" s="103">
        <f t="shared" si="9"/>
        <v>1</v>
      </c>
      <c r="W138" s="325" t="s">
        <v>58</v>
      </c>
      <c r="X138" s="324">
        <f t="shared" si="10"/>
        <v>1</v>
      </c>
      <c r="Y138" s="334" t="s">
        <v>179</v>
      </c>
      <c r="Z138" s="334" t="s">
        <v>229</v>
      </c>
      <c r="AA138" s="68" t="s">
        <v>161</v>
      </c>
      <c r="AG138" s="66" t="s">
        <v>63</v>
      </c>
    </row>
    <row r="139" spans="1:33" ht="15" x14ac:dyDescent="0.15">
      <c r="A139" s="66" t="s">
        <v>43</v>
      </c>
      <c r="B139" s="80">
        <v>260</v>
      </c>
      <c r="C139" s="68" t="s">
        <v>44</v>
      </c>
      <c r="D139" s="68" t="s">
        <v>161</v>
      </c>
      <c r="E139" s="237">
        <v>1</v>
      </c>
      <c r="F139" s="108" t="s">
        <v>179</v>
      </c>
      <c r="G139" s="108" t="s">
        <v>230</v>
      </c>
      <c r="H139" s="69">
        <v>44125.492361111108</v>
      </c>
      <c r="I139" s="66" t="s">
        <v>48</v>
      </c>
      <c r="J139" s="66">
        <v>10</v>
      </c>
      <c r="K139" s="98">
        <v>3.4</v>
      </c>
      <c r="M139" s="68" t="s">
        <v>52</v>
      </c>
      <c r="N139" s="68" t="s">
        <v>1143</v>
      </c>
      <c r="O139" s="68" t="s">
        <v>1143</v>
      </c>
      <c r="P139" s="237">
        <v>1</v>
      </c>
      <c r="R139" s="103">
        <f t="shared" si="8"/>
        <v>0</v>
      </c>
      <c r="T139" s="103">
        <f t="shared" si="11"/>
        <v>0</v>
      </c>
      <c r="U139" s="68">
        <v>2</v>
      </c>
      <c r="V139" s="103">
        <f t="shared" si="9"/>
        <v>1</v>
      </c>
      <c r="W139" s="325" t="s">
        <v>58</v>
      </c>
      <c r="X139" s="324">
        <f t="shared" si="10"/>
        <v>1</v>
      </c>
      <c r="Y139" s="334" t="s">
        <v>179</v>
      </c>
      <c r="Z139" s="334" t="s">
        <v>230</v>
      </c>
      <c r="AA139" s="68" t="s">
        <v>161</v>
      </c>
      <c r="AG139" s="66" t="s">
        <v>54</v>
      </c>
    </row>
    <row r="140" spans="1:33" ht="15" x14ac:dyDescent="0.15">
      <c r="A140" s="66" t="s">
        <v>43</v>
      </c>
      <c r="B140" s="80">
        <v>260</v>
      </c>
      <c r="C140" s="68" t="s">
        <v>44</v>
      </c>
      <c r="D140" s="68" t="s">
        <v>161</v>
      </c>
      <c r="E140" s="237">
        <v>1</v>
      </c>
      <c r="F140" s="108" t="s">
        <v>179</v>
      </c>
      <c r="G140" s="108" t="s">
        <v>231</v>
      </c>
      <c r="H140" s="69">
        <v>44125.493750000001</v>
      </c>
      <c r="I140" s="66" t="s">
        <v>48</v>
      </c>
      <c r="J140" s="66">
        <v>10</v>
      </c>
      <c r="K140" s="98">
        <v>3.4</v>
      </c>
      <c r="M140" s="68" t="s">
        <v>52</v>
      </c>
      <c r="N140" s="68" t="s">
        <v>1143</v>
      </c>
      <c r="O140" s="68" t="s">
        <v>1143</v>
      </c>
      <c r="P140" s="237">
        <v>1</v>
      </c>
      <c r="R140" s="103">
        <f t="shared" si="8"/>
        <v>0</v>
      </c>
      <c r="T140" s="103">
        <f t="shared" si="11"/>
        <v>0</v>
      </c>
      <c r="U140" s="68">
        <v>2</v>
      </c>
      <c r="V140" s="103">
        <f t="shared" si="9"/>
        <v>1</v>
      </c>
      <c r="X140" s="324">
        <f t="shared" si="10"/>
        <v>0</v>
      </c>
      <c r="Y140" s="334" t="s">
        <v>179</v>
      </c>
      <c r="Z140" s="334" t="s">
        <v>231</v>
      </c>
      <c r="AA140" s="68" t="s">
        <v>161</v>
      </c>
      <c r="AG140" s="66" t="s">
        <v>54</v>
      </c>
    </row>
    <row r="141" spans="1:33" ht="30" x14ac:dyDescent="0.15">
      <c r="A141" s="66" t="s">
        <v>43</v>
      </c>
      <c r="B141" s="80">
        <v>260</v>
      </c>
      <c r="C141" s="68" t="s">
        <v>44</v>
      </c>
      <c r="D141" s="68" t="s">
        <v>161</v>
      </c>
      <c r="E141" s="237">
        <v>1</v>
      </c>
      <c r="F141" s="108" t="s">
        <v>179</v>
      </c>
      <c r="G141" s="108" t="s">
        <v>232</v>
      </c>
      <c r="H141" s="69">
        <v>44125.493750000001</v>
      </c>
      <c r="I141" s="66" t="s">
        <v>48</v>
      </c>
      <c r="J141" s="66">
        <v>10</v>
      </c>
      <c r="K141" s="98">
        <v>3.4</v>
      </c>
      <c r="M141" s="68" t="s">
        <v>52</v>
      </c>
      <c r="N141" s="68" t="s">
        <v>1143</v>
      </c>
      <c r="O141" s="68" t="s">
        <v>1143</v>
      </c>
      <c r="P141" s="237">
        <v>1</v>
      </c>
      <c r="R141" s="103">
        <f t="shared" si="8"/>
        <v>0</v>
      </c>
      <c r="T141" s="103">
        <f t="shared" si="11"/>
        <v>0</v>
      </c>
      <c r="U141" s="68">
        <v>2</v>
      </c>
      <c r="V141" s="103">
        <f t="shared" si="9"/>
        <v>1</v>
      </c>
      <c r="X141" s="324">
        <f t="shared" si="10"/>
        <v>0</v>
      </c>
      <c r="Y141" s="334" t="s">
        <v>179</v>
      </c>
      <c r="Z141" s="334" t="s">
        <v>232</v>
      </c>
      <c r="AA141" s="68" t="s">
        <v>161</v>
      </c>
      <c r="AG141" s="66" t="s">
        <v>54</v>
      </c>
    </row>
    <row r="142" spans="1:33" ht="45" x14ac:dyDescent="0.15">
      <c r="A142" s="66" t="s">
        <v>43</v>
      </c>
      <c r="B142" s="80">
        <v>260</v>
      </c>
      <c r="C142" s="68" t="s">
        <v>44</v>
      </c>
      <c r="D142" s="68" t="s">
        <v>161</v>
      </c>
      <c r="E142" s="237">
        <v>1</v>
      </c>
      <c r="F142" s="108" t="s">
        <v>179</v>
      </c>
      <c r="G142" s="108" t="s">
        <v>233</v>
      </c>
      <c r="H142" s="69">
        <v>44125.493750000001</v>
      </c>
      <c r="I142" s="66" t="s">
        <v>48</v>
      </c>
      <c r="J142" s="66">
        <v>10</v>
      </c>
      <c r="K142" s="98">
        <v>3.4</v>
      </c>
      <c r="M142" s="68" t="s">
        <v>52</v>
      </c>
      <c r="N142" s="68" t="s">
        <v>1143</v>
      </c>
      <c r="O142" s="68" t="s">
        <v>1143</v>
      </c>
      <c r="P142" s="237">
        <v>1</v>
      </c>
      <c r="R142" s="103">
        <f t="shared" si="8"/>
        <v>0</v>
      </c>
      <c r="T142" s="103">
        <f t="shared" si="11"/>
        <v>0</v>
      </c>
      <c r="U142" s="68">
        <v>2</v>
      </c>
      <c r="V142" s="103">
        <f t="shared" si="9"/>
        <v>1</v>
      </c>
      <c r="X142" s="324">
        <f t="shared" si="10"/>
        <v>0</v>
      </c>
      <c r="Y142" s="334" t="s">
        <v>179</v>
      </c>
      <c r="Z142" s="334" t="s">
        <v>233</v>
      </c>
      <c r="AA142" s="68" t="s">
        <v>161</v>
      </c>
      <c r="AG142" s="66" t="s">
        <v>54</v>
      </c>
    </row>
    <row r="143" spans="1:33" ht="45" x14ac:dyDescent="0.15">
      <c r="A143" s="66" t="s">
        <v>43</v>
      </c>
      <c r="B143" s="80">
        <v>260</v>
      </c>
      <c r="C143" s="68" t="s">
        <v>44</v>
      </c>
      <c r="D143" s="68" t="s">
        <v>161</v>
      </c>
      <c r="E143" s="237">
        <v>1</v>
      </c>
      <c r="F143" s="108" t="s">
        <v>179</v>
      </c>
      <c r="G143" s="108" t="s">
        <v>234</v>
      </c>
      <c r="H143" s="69">
        <v>44125.493750000001</v>
      </c>
      <c r="I143" s="66" t="s">
        <v>48</v>
      </c>
      <c r="J143" s="66">
        <v>10</v>
      </c>
      <c r="K143" s="98">
        <v>3.4</v>
      </c>
      <c r="M143" s="68" t="s">
        <v>52</v>
      </c>
      <c r="N143" s="68" t="s">
        <v>1143</v>
      </c>
      <c r="O143" s="68" t="s">
        <v>1143</v>
      </c>
      <c r="P143" s="237">
        <v>1</v>
      </c>
      <c r="R143" s="103">
        <f t="shared" si="8"/>
        <v>0</v>
      </c>
      <c r="T143" s="103">
        <f t="shared" si="11"/>
        <v>0</v>
      </c>
      <c r="U143" s="68">
        <v>2</v>
      </c>
      <c r="V143" s="103">
        <f t="shared" si="9"/>
        <v>1</v>
      </c>
      <c r="X143" s="324">
        <f t="shared" si="10"/>
        <v>0</v>
      </c>
      <c r="Y143" s="334" t="s">
        <v>179</v>
      </c>
      <c r="Z143" s="334" t="s">
        <v>234</v>
      </c>
      <c r="AA143" s="68" t="s">
        <v>161</v>
      </c>
      <c r="AG143" s="66" t="s">
        <v>54</v>
      </c>
    </row>
    <row r="144" spans="1:33" ht="30" x14ac:dyDescent="0.15">
      <c r="A144" s="66" t="s">
        <v>43</v>
      </c>
      <c r="B144" s="80">
        <v>260</v>
      </c>
      <c r="C144" s="68" t="s">
        <v>44</v>
      </c>
      <c r="D144" s="68" t="s">
        <v>161</v>
      </c>
      <c r="E144" s="237">
        <v>1</v>
      </c>
      <c r="F144" s="108" t="s">
        <v>179</v>
      </c>
      <c r="G144" s="108" t="s">
        <v>235</v>
      </c>
      <c r="H144" s="69">
        <v>44125.494444444441</v>
      </c>
      <c r="I144" s="66" t="s">
        <v>48</v>
      </c>
      <c r="J144" s="66">
        <v>10</v>
      </c>
      <c r="K144" s="98">
        <v>3.4</v>
      </c>
      <c r="M144" s="68" t="s">
        <v>52</v>
      </c>
      <c r="N144" s="68" t="s">
        <v>1143</v>
      </c>
      <c r="O144" s="68" t="s">
        <v>1143</v>
      </c>
      <c r="P144" s="237">
        <v>1</v>
      </c>
      <c r="R144" s="103">
        <f t="shared" si="8"/>
        <v>0</v>
      </c>
      <c r="T144" s="103">
        <f t="shared" si="11"/>
        <v>0</v>
      </c>
      <c r="U144" s="68">
        <v>2</v>
      </c>
      <c r="V144" s="103">
        <f t="shared" si="9"/>
        <v>1</v>
      </c>
      <c r="X144" s="324">
        <f t="shared" si="10"/>
        <v>0</v>
      </c>
      <c r="Y144" s="334" t="s">
        <v>179</v>
      </c>
      <c r="Z144" s="334" t="s">
        <v>235</v>
      </c>
      <c r="AA144" s="68" t="s">
        <v>161</v>
      </c>
      <c r="AG144" s="66" t="s">
        <v>54</v>
      </c>
    </row>
    <row r="145" spans="1:33" ht="15" x14ac:dyDescent="0.15">
      <c r="A145" s="66" t="s">
        <v>43</v>
      </c>
      <c r="B145" s="80">
        <v>260</v>
      </c>
      <c r="C145" s="68" t="s">
        <v>44</v>
      </c>
      <c r="D145" s="68" t="s">
        <v>161</v>
      </c>
      <c r="E145" s="237">
        <v>1</v>
      </c>
      <c r="F145" s="108" t="s">
        <v>179</v>
      </c>
      <c r="G145" s="108" t="s">
        <v>236</v>
      </c>
      <c r="H145" s="69">
        <v>44125.494444444441</v>
      </c>
      <c r="I145" s="66" t="s">
        <v>48</v>
      </c>
      <c r="J145" s="66">
        <v>10</v>
      </c>
      <c r="K145" s="98">
        <v>3.4</v>
      </c>
      <c r="M145" s="68" t="s">
        <v>52</v>
      </c>
      <c r="N145" s="68" t="s">
        <v>1143</v>
      </c>
      <c r="O145" s="68" t="s">
        <v>1143</v>
      </c>
      <c r="P145" s="237">
        <v>1</v>
      </c>
      <c r="R145" s="103">
        <f t="shared" si="8"/>
        <v>0</v>
      </c>
      <c r="T145" s="103">
        <f t="shared" si="11"/>
        <v>0</v>
      </c>
      <c r="U145" s="68">
        <v>2</v>
      </c>
      <c r="V145" s="103">
        <f t="shared" si="9"/>
        <v>1</v>
      </c>
      <c r="X145" s="324">
        <f t="shared" si="10"/>
        <v>0</v>
      </c>
      <c r="Y145" s="334" t="s">
        <v>179</v>
      </c>
      <c r="Z145" s="334" t="s">
        <v>236</v>
      </c>
      <c r="AA145" s="68" t="s">
        <v>161</v>
      </c>
      <c r="AG145" s="66" t="s">
        <v>92</v>
      </c>
    </row>
    <row r="146" spans="1:33" ht="30" x14ac:dyDescent="0.15">
      <c r="A146" s="66" t="s">
        <v>43</v>
      </c>
      <c r="B146" s="80">
        <v>260</v>
      </c>
      <c r="C146" s="68" t="s">
        <v>44</v>
      </c>
      <c r="D146" s="68" t="s">
        <v>161</v>
      </c>
      <c r="E146" s="237">
        <v>1</v>
      </c>
      <c r="F146" s="108" t="s">
        <v>179</v>
      </c>
      <c r="G146" s="108" t="s">
        <v>237</v>
      </c>
      <c r="H146" s="69">
        <v>44125.494444444441</v>
      </c>
      <c r="I146" s="66" t="s">
        <v>48</v>
      </c>
      <c r="J146" s="66">
        <v>10</v>
      </c>
      <c r="K146" s="98">
        <v>3.4</v>
      </c>
      <c r="M146" s="68" t="s">
        <v>52</v>
      </c>
      <c r="N146" s="68" t="s">
        <v>1143</v>
      </c>
      <c r="O146" s="68" t="s">
        <v>1143</v>
      </c>
      <c r="P146" s="237">
        <v>1</v>
      </c>
      <c r="R146" s="103">
        <f t="shared" si="8"/>
        <v>0</v>
      </c>
      <c r="T146" s="103">
        <f t="shared" si="11"/>
        <v>0</v>
      </c>
      <c r="U146" s="68">
        <v>2</v>
      </c>
      <c r="V146" s="103">
        <f t="shared" si="9"/>
        <v>1</v>
      </c>
      <c r="X146" s="324">
        <f t="shared" si="10"/>
        <v>0</v>
      </c>
      <c r="Y146" s="334" t="s">
        <v>179</v>
      </c>
      <c r="Z146" s="334" t="s">
        <v>237</v>
      </c>
      <c r="AA146" s="68" t="s">
        <v>161</v>
      </c>
      <c r="AG146" s="66" t="s">
        <v>92</v>
      </c>
    </row>
    <row r="147" spans="1:33" ht="30" x14ac:dyDescent="0.15">
      <c r="A147" s="66" t="s">
        <v>43</v>
      </c>
      <c r="B147" s="80">
        <v>260</v>
      </c>
      <c r="C147" s="68" t="s">
        <v>44</v>
      </c>
      <c r="D147" s="68" t="s">
        <v>161</v>
      </c>
      <c r="E147" s="237">
        <v>1</v>
      </c>
      <c r="F147" s="66" t="s">
        <v>162</v>
      </c>
      <c r="G147" s="66" t="s">
        <v>238</v>
      </c>
      <c r="H147" s="69">
        <v>44125.584027777775</v>
      </c>
      <c r="I147" s="66" t="s">
        <v>48</v>
      </c>
      <c r="J147" s="66">
        <v>10</v>
      </c>
      <c r="K147" s="98">
        <v>3.4</v>
      </c>
      <c r="M147" s="68" t="s">
        <v>52</v>
      </c>
      <c r="N147" s="68" t="s">
        <v>1143</v>
      </c>
      <c r="O147" s="68" t="s">
        <v>1143</v>
      </c>
      <c r="P147" s="237">
        <v>1</v>
      </c>
      <c r="R147" s="103">
        <f t="shared" si="8"/>
        <v>0</v>
      </c>
      <c r="T147" s="103">
        <f t="shared" si="11"/>
        <v>0</v>
      </c>
      <c r="U147" s="68">
        <v>2</v>
      </c>
      <c r="V147" s="103">
        <f t="shared" si="9"/>
        <v>1</v>
      </c>
      <c r="W147" s="325" t="s">
        <v>58</v>
      </c>
      <c r="X147" s="324">
        <f t="shared" si="10"/>
        <v>1</v>
      </c>
      <c r="Y147" s="332" t="s">
        <v>162</v>
      </c>
      <c r="Z147" s="332" t="s">
        <v>238</v>
      </c>
      <c r="AA147" s="68" t="s">
        <v>161</v>
      </c>
      <c r="AG147" s="66" t="s">
        <v>63</v>
      </c>
    </row>
    <row r="148" spans="1:33" ht="45" x14ac:dyDescent="0.15">
      <c r="A148" s="66" t="s">
        <v>43</v>
      </c>
      <c r="B148" s="80">
        <v>260</v>
      </c>
      <c r="C148" s="68" t="s">
        <v>44</v>
      </c>
      <c r="D148" s="68" t="s">
        <v>161</v>
      </c>
      <c r="E148" s="237">
        <v>1</v>
      </c>
      <c r="F148" s="66" t="s">
        <v>162</v>
      </c>
      <c r="G148" s="66" t="s">
        <v>239</v>
      </c>
      <c r="H148" s="69">
        <v>44125.584027777775</v>
      </c>
      <c r="I148" s="66" t="s">
        <v>48</v>
      </c>
      <c r="J148" s="66">
        <v>10</v>
      </c>
      <c r="K148" s="98">
        <v>3.4</v>
      </c>
      <c r="M148" s="68" t="s">
        <v>52</v>
      </c>
      <c r="N148" s="68" t="s">
        <v>1143</v>
      </c>
      <c r="O148" s="68" t="s">
        <v>1143</v>
      </c>
      <c r="P148" s="237">
        <v>1</v>
      </c>
      <c r="R148" s="103">
        <f t="shared" si="8"/>
        <v>0</v>
      </c>
      <c r="T148" s="103">
        <f t="shared" si="11"/>
        <v>0</v>
      </c>
      <c r="U148" s="68">
        <v>2</v>
      </c>
      <c r="V148" s="103">
        <f t="shared" si="9"/>
        <v>1</v>
      </c>
      <c r="W148" s="325" t="s">
        <v>305</v>
      </c>
      <c r="X148" s="324">
        <f t="shared" si="10"/>
        <v>1</v>
      </c>
      <c r="Y148" s="332" t="s">
        <v>162</v>
      </c>
      <c r="Z148" s="332" t="s">
        <v>239</v>
      </c>
      <c r="AA148" s="68" t="s">
        <v>161</v>
      </c>
      <c r="AG148" s="66" t="s">
        <v>54</v>
      </c>
    </row>
    <row r="149" spans="1:33" ht="30" x14ac:dyDescent="0.15">
      <c r="A149" s="66" t="s">
        <v>43</v>
      </c>
      <c r="B149" s="80">
        <v>260</v>
      </c>
      <c r="C149" s="68" t="s">
        <v>44</v>
      </c>
      <c r="D149" s="68" t="s">
        <v>161</v>
      </c>
      <c r="E149" s="237">
        <v>1</v>
      </c>
      <c r="F149" s="66" t="s">
        <v>162</v>
      </c>
      <c r="G149" s="66" t="s">
        <v>240</v>
      </c>
      <c r="H149" s="69">
        <v>44125.584027777775</v>
      </c>
      <c r="I149" s="66" t="s">
        <v>48</v>
      </c>
      <c r="J149" s="66">
        <v>10</v>
      </c>
      <c r="K149" s="98">
        <v>3.4</v>
      </c>
      <c r="M149" s="68" t="s">
        <v>52</v>
      </c>
      <c r="N149" s="68" t="s">
        <v>1143</v>
      </c>
      <c r="O149" s="68" t="s">
        <v>1143</v>
      </c>
      <c r="P149" s="237">
        <v>1</v>
      </c>
      <c r="R149" s="103">
        <f t="shared" si="8"/>
        <v>0</v>
      </c>
      <c r="T149" s="103">
        <f t="shared" si="11"/>
        <v>0</v>
      </c>
      <c r="U149" s="68">
        <v>2</v>
      </c>
      <c r="V149" s="103">
        <f t="shared" si="9"/>
        <v>1</v>
      </c>
      <c r="W149" s="325" t="s">
        <v>305</v>
      </c>
      <c r="X149" s="324">
        <f t="shared" si="10"/>
        <v>1</v>
      </c>
      <c r="Y149" s="332" t="s">
        <v>162</v>
      </c>
      <c r="Z149" s="332" t="s">
        <v>240</v>
      </c>
      <c r="AA149" s="68" t="s">
        <v>161</v>
      </c>
      <c r="AG149" s="66" t="s">
        <v>54</v>
      </c>
    </row>
    <row r="150" spans="1:33" ht="15" x14ac:dyDescent="0.15">
      <c r="A150" s="66" t="s">
        <v>43</v>
      </c>
      <c r="B150" s="80">
        <v>260</v>
      </c>
      <c r="C150" s="68" t="s">
        <v>44</v>
      </c>
      <c r="D150" s="68" t="s">
        <v>161</v>
      </c>
      <c r="E150" s="237">
        <v>1</v>
      </c>
      <c r="F150" s="66" t="s">
        <v>162</v>
      </c>
      <c r="G150" s="66" t="s">
        <v>241</v>
      </c>
      <c r="H150" s="69">
        <v>44125.586111111108</v>
      </c>
      <c r="I150" s="66" t="s">
        <v>48</v>
      </c>
      <c r="J150" s="66">
        <v>10</v>
      </c>
      <c r="K150" s="98">
        <v>3.4</v>
      </c>
      <c r="M150" s="68" t="s">
        <v>52</v>
      </c>
      <c r="N150" s="68" t="s">
        <v>1143</v>
      </c>
      <c r="O150" s="68" t="s">
        <v>1143</v>
      </c>
      <c r="P150" s="237">
        <v>1</v>
      </c>
      <c r="R150" s="103">
        <f t="shared" si="8"/>
        <v>0</v>
      </c>
      <c r="T150" s="103">
        <f t="shared" si="11"/>
        <v>0</v>
      </c>
      <c r="U150" s="68">
        <v>2</v>
      </c>
      <c r="V150" s="103">
        <f t="shared" si="9"/>
        <v>1</v>
      </c>
      <c r="W150" s="325" t="s">
        <v>637</v>
      </c>
      <c r="X150" s="324">
        <f t="shared" si="10"/>
        <v>1</v>
      </c>
      <c r="Y150" s="332" t="s">
        <v>162</v>
      </c>
      <c r="Z150" s="332" t="s">
        <v>241</v>
      </c>
      <c r="AA150" s="68" t="s">
        <v>161</v>
      </c>
      <c r="AG150" s="66" t="s">
        <v>69</v>
      </c>
    </row>
    <row r="151" spans="1:33" ht="15" x14ac:dyDescent="0.15">
      <c r="A151" s="66" t="s">
        <v>43</v>
      </c>
      <c r="B151" s="80">
        <v>260</v>
      </c>
      <c r="C151" s="68" t="s">
        <v>44</v>
      </c>
      <c r="D151" s="68" t="s">
        <v>161</v>
      </c>
      <c r="E151" s="237">
        <v>1</v>
      </c>
      <c r="F151" s="66" t="s">
        <v>162</v>
      </c>
      <c r="G151" s="66" t="s">
        <v>242</v>
      </c>
      <c r="H151" s="69">
        <v>44125.586111111108</v>
      </c>
      <c r="I151" s="66" t="s">
        <v>48</v>
      </c>
      <c r="J151" s="66">
        <v>10</v>
      </c>
      <c r="K151" s="98">
        <v>3.4</v>
      </c>
      <c r="M151" s="68" t="s">
        <v>49</v>
      </c>
      <c r="N151" s="68" t="s">
        <v>49</v>
      </c>
      <c r="O151" s="68" t="s">
        <v>1163</v>
      </c>
      <c r="P151" s="237">
        <v>1</v>
      </c>
      <c r="R151" s="103">
        <f t="shared" si="8"/>
        <v>0</v>
      </c>
      <c r="T151" s="103">
        <f t="shared" si="11"/>
        <v>0</v>
      </c>
      <c r="U151" s="68">
        <v>2</v>
      </c>
      <c r="V151" s="103">
        <f t="shared" si="9"/>
        <v>1</v>
      </c>
      <c r="W151" s="325" t="s">
        <v>637</v>
      </c>
      <c r="X151" s="324">
        <f t="shared" si="10"/>
        <v>1</v>
      </c>
      <c r="Y151" s="332" t="s">
        <v>162</v>
      </c>
      <c r="Z151" s="332" t="s">
        <v>242</v>
      </c>
      <c r="AA151" s="68" t="s">
        <v>161</v>
      </c>
      <c r="AE151" s="68" t="s">
        <v>1147</v>
      </c>
      <c r="AG151" s="66" t="s">
        <v>128</v>
      </c>
    </row>
    <row r="152" spans="1:33" ht="30" x14ac:dyDescent="0.15">
      <c r="A152" s="66" t="s">
        <v>43</v>
      </c>
      <c r="B152" s="80">
        <v>260</v>
      </c>
      <c r="C152" s="68" t="s">
        <v>44</v>
      </c>
      <c r="D152" s="68" t="s">
        <v>161</v>
      </c>
      <c r="E152" s="237">
        <v>1</v>
      </c>
      <c r="F152" s="66" t="s">
        <v>162</v>
      </c>
      <c r="G152" s="66" t="s">
        <v>244</v>
      </c>
      <c r="H152" s="69">
        <v>44125.586111111108</v>
      </c>
      <c r="I152" s="66" t="s">
        <v>48</v>
      </c>
      <c r="J152" s="66">
        <v>10</v>
      </c>
      <c r="K152" s="98">
        <v>3.4</v>
      </c>
      <c r="M152" s="68" t="s">
        <v>49</v>
      </c>
      <c r="N152" s="68" t="s">
        <v>49</v>
      </c>
      <c r="O152" s="68" t="s">
        <v>1163</v>
      </c>
      <c r="P152" s="237">
        <v>1</v>
      </c>
      <c r="R152" s="103">
        <f t="shared" si="8"/>
        <v>0</v>
      </c>
      <c r="T152" s="103">
        <f t="shared" si="11"/>
        <v>0</v>
      </c>
      <c r="U152" s="68">
        <v>2</v>
      </c>
      <c r="V152" s="103">
        <f t="shared" si="9"/>
        <v>1</v>
      </c>
      <c r="X152" s="324">
        <f t="shared" si="10"/>
        <v>0</v>
      </c>
      <c r="Y152" s="332" t="s">
        <v>162</v>
      </c>
      <c r="Z152" s="332" t="s">
        <v>244</v>
      </c>
      <c r="AA152" s="68" t="s">
        <v>161</v>
      </c>
      <c r="AG152" s="66" t="s">
        <v>92</v>
      </c>
    </row>
    <row r="153" spans="1:33" ht="30" x14ac:dyDescent="0.15">
      <c r="A153" s="66" t="s">
        <v>43</v>
      </c>
      <c r="B153" s="80">
        <v>260</v>
      </c>
      <c r="C153" s="68" t="s">
        <v>44</v>
      </c>
      <c r="D153" s="68" t="s">
        <v>161</v>
      </c>
      <c r="E153" s="237">
        <v>1</v>
      </c>
      <c r="F153" s="66" t="s">
        <v>162</v>
      </c>
      <c r="G153" s="66" t="s">
        <v>245</v>
      </c>
      <c r="H153" s="69">
        <v>44125.754166666666</v>
      </c>
      <c r="I153" s="66" t="s">
        <v>48</v>
      </c>
      <c r="J153" s="66">
        <v>10</v>
      </c>
      <c r="K153" s="98">
        <v>3.4</v>
      </c>
      <c r="M153" s="68" t="s">
        <v>108</v>
      </c>
      <c r="N153" s="68" t="s">
        <v>108</v>
      </c>
      <c r="O153" s="68" t="s">
        <v>108</v>
      </c>
      <c r="P153" s="237">
        <v>1</v>
      </c>
      <c r="R153" s="103">
        <f t="shared" si="8"/>
        <v>0</v>
      </c>
      <c r="T153" s="103">
        <f t="shared" si="11"/>
        <v>0</v>
      </c>
      <c r="U153" s="68">
        <v>2</v>
      </c>
      <c r="V153" s="103">
        <f t="shared" si="9"/>
        <v>1</v>
      </c>
      <c r="W153" s="325" t="s">
        <v>305</v>
      </c>
      <c r="X153" s="324">
        <f t="shared" si="10"/>
        <v>1</v>
      </c>
      <c r="Y153" s="332" t="s">
        <v>162</v>
      </c>
      <c r="Z153" s="332" t="s">
        <v>245</v>
      </c>
      <c r="AA153" s="68" t="s">
        <v>161</v>
      </c>
      <c r="AG153" s="66" t="s">
        <v>69</v>
      </c>
    </row>
    <row r="154" spans="1:33" ht="15" x14ac:dyDescent="0.15">
      <c r="A154" s="66" t="s">
        <v>43</v>
      </c>
      <c r="B154" s="80">
        <v>260</v>
      </c>
      <c r="C154" s="68" t="s">
        <v>44</v>
      </c>
      <c r="D154" s="68" t="s">
        <v>161</v>
      </c>
      <c r="E154" s="237">
        <v>1</v>
      </c>
      <c r="F154" s="108" t="s">
        <v>179</v>
      </c>
      <c r="G154" s="108" t="s">
        <v>246</v>
      </c>
      <c r="H154" s="69">
        <v>44126.458333333336</v>
      </c>
      <c r="I154" s="66" t="s">
        <v>48</v>
      </c>
      <c r="J154" s="66">
        <v>10</v>
      </c>
      <c r="K154" s="98">
        <v>3.4</v>
      </c>
      <c r="M154" s="68" t="s">
        <v>108</v>
      </c>
      <c r="N154" s="68" t="s">
        <v>108</v>
      </c>
      <c r="O154" s="68" t="s">
        <v>108</v>
      </c>
      <c r="P154" s="237">
        <v>1</v>
      </c>
      <c r="R154" s="103">
        <f t="shared" si="8"/>
        <v>0</v>
      </c>
      <c r="T154" s="103">
        <f t="shared" si="11"/>
        <v>0</v>
      </c>
      <c r="U154" s="68">
        <v>2</v>
      </c>
      <c r="V154" s="103">
        <f t="shared" si="9"/>
        <v>1</v>
      </c>
      <c r="W154" s="325" t="s">
        <v>305</v>
      </c>
      <c r="X154" s="324">
        <f t="shared" si="10"/>
        <v>1</v>
      </c>
      <c r="Y154" s="334" t="s">
        <v>179</v>
      </c>
      <c r="Z154" s="334" t="s">
        <v>246</v>
      </c>
      <c r="AA154" s="68" t="s">
        <v>161</v>
      </c>
      <c r="AE154" s="68" t="s">
        <v>1150</v>
      </c>
      <c r="AG154" s="66" t="s">
        <v>63</v>
      </c>
    </row>
    <row r="155" spans="1:33" ht="30" x14ac:dyDescent="0.15">
      <c r="A155" s="66" t="s">
        <v>43</v>
      </c>
      <c r="B155" s="80">
        <v>260</v>
      </c>
      <c r="C155" s="68" t="s">
        <v>44</v>
      </c>
      <c r="D155" s="68" t="s">
        <v>161</v>
      </c>
      <c r="E155" s="237">
        <v>1</v>
      </c>
      <c r="F155" s="108" t="s">
        <v>179</v>
      </c>
      <c r="G155" s="108" t="s">
        <v>247</v>
      </c>
      <c r="H155" s="69">
        <v>44126.458333333336</v>
      </c>
      <c r="I155" s="66" t="s">
        <v>48</v>
      </c>
      <c r="J155" s="66">
        <v>10</v>
      </c>
      <c r="K155" s="98">
        <v>3.4</v>
      </c>
      <c r="M155" s="68" t="s">
        <v>108</v>
      </c>
      <c r="N155" s="68" t="s">
        <v>108</v>
      </c>
      <c r="O155" s="68" t="s">
        <v>108</v>
      </c>
      <c r="P155" s="237">
        <v>1</v>
      </c>
      <c r="R155" s="103">
        <f t="shared" si="8"/>
        <v>0</v>
      </c>
      <c r="T155" s="103">
        <f t="shared" si="11"/>
        <v>0</v>
      </c>
      <c r="U155" s="68">
        <v>2</v>
      </c>
      <c r="V155" s="103">
        <f t="shared" si="9"/>
        <v>1</v>
      </c>
      <c r="W155" s="325" t="s">
        <v>305</v>
      </c>
      <c r="X155" s="324">
        <f t="shared" si="10"/>
        <v>1</v>
      </c>
      <c r="Y155" s="334" t="s">
        <v>179</v>
      </c>
      <c r="Z155" s="334" t="s">
        <v>247</v>
      </c>
      <c r="AA155" s="68" t="s">
        <v>161</v>
      </c>
      <c r="AG155" s="66" t="s">
        <v>69</v>
      </c>
    </row>
    <row r="156" spans="1:33" ht="15" x14ac:dyDescent="0.15">
      <c r="A156" s="66" t="s">
        <v>43</v>
      </c>
      <c r="B156" s="80">
        <v>260</v>
      </c>
      <c r="C156" s="68" t="s">
        <v>44</v>
      </c>
      <c r="D156" s="68" t="s">
        <v>161</v>
      </c>
      <c r="E156" s="237">
        <v>1</v>
      </c>
      <c r="F156" s="66" t="s">
        <v>179</v>
      </c>
      <c r="G156" s="66" t="s">
        <v>248</v>
      </c>
      <c r="H156" s="69">
        <v>44126.458333333336</v>
      </c>
      <c r="I156" s="66" t="s">
        <v>48</v>
      </c>
      <c r="J156" s="66">
        <v>10</v>
      </c>
      <c r="K156" s="98">
        <v>3.4</v>
      </c>
      <c r="M156" s="68" t="s">
        <v>49</v>
      </c>
      <c r="N156" s="68" t="s">
        <v>49</v>
      </c>
      <c r="O156" s="68" t="s">
        <v>1163</v>
      </c>
      <c r="P156" s="237">
        <v>1</v>
      </c>
      <c r="R156" s="103">
        <f t="shared" si="8"/>
        <v>0</v>
      </c>
      <c r="T156" s="103">
        <f t="shared" si="11"/>
        <v>0</v>
      </c>
      <c r="U156" s="68">
        <v>2</v>
      </c>
      <c r="V156" s="103">
        <f t="shared" si="9"/>
        <v>1</v>
      </c>
      <c r="W156" s="325" t="s">
        <v>637</v>
      </c>
      <c r="X156" s="324">
        <f t="shared" si="10"/>
        <v>1</v>
      </c>
      <c r="Y156" s="332" t="s">
        <v>179</v>
      </c>
      <c r="Z156" s="332" t="s">
        <v>248</v>
      </c>
      <c r="AA156" s="68" t="s">
        <v>161</v>
      </c>
      <c r="AE156" s="68" t="s">
        <v>1148</v>
      </c>
      <c r="AG156" s="66" t="s">
        <v>92</v>
      </c>
    </row>
    <row r="157" spans="1:33" ht="15" x14ac:dyDescent="0.15">
      <c r="A157" s="66" t="s">
        <v>43</v>
      </c>
      <c r="B157" s="80">
        <v>260</v>
      </c>
      <c r="C157" s="68" t="s">
        <v>44</v>
      </c>
      <c r="D157" s="68" t="s">
        <v>161</v>
      </c>
      <c r="E157" s="237">
        <v>1</v>
      </c>
      <c r="F157" s="66" t="s">
        <v>162</v>
      </c>
      <c r="G157" s="66" t="s">
        <v>249</v>
      </c>
      <c r="H157" s="69">
        <v>44126.594444444447</v>
      </c>
      <c r="I157" s="66" t="s">
        <v>48</v>
      </c>
      <c r="J157" s="66">
        <v>10</v>
      </c>
      <c r="K157" s="98">
        <v>3.4</v>
      </c>
      <c r="M157" s="68" t="s">
        <v>49</v>
      </c>
      <c r="N157" s="68" t="s">
        <v>49</v>
      </c>
      <c r="O157" s="68" t="s">
        <v>1163</v>
      </c>
      <c r="P157" s="237">
        <v>1</v>
      </c>
      <c r="R157" s="103">
        <f t="shared" si="8"/>
        <v>0</v>
      </c>
      <c r="T157" s="103">
        <f t="shared" si="11"/>
        <v>0</v>
      </c>
      <c r="U157" s="68">
        <v>2</v>
      </c>
      <c r="V157" s="103">
        <f t="shared" si="9"/>
        <v>1</v>
      </c>
      <c r="W157" s="325" t="s">
        <v>58</v>
      </c>
      <c r="X157" s="324">
        <f t="shared" si="10"/>
        <v>1</v>
      </c>
      <c r="Y157" s="332" t="s">
        <v>162</v>
      </c>
      <c r="Z157" s="332" t="s">
        <v>249</v>
      </c>
      <c r="AA157" s="68" t="s">
        <v>161</v>
      </c>
      <c r="AG157" s="66" t="s">
        <v>59</v>
      </c>
    </row>
    <row r="158" spans="1:33" ht="15" x14ac:dyDescent="0.15">
      <c r="A158" s="66" t="s">
        <v>43</v>
      </c>
      <c r="B158" s="80">
        <v>260</v>
      </c>
      <c r="C158" s="68" t="s">
        <v>44</v>
      </c>
      <c r="D158" s="68" t="s">
        <v>161</v>
      </c>
      <c r="E158" s="237">
        <v>1</v>
      </c>
      <c r="F158" s="66" t="s">
        <v>162</v>
      </c>
      <c r="G158" s="66" t="s">
        <v>250</v>
      </c>
      <c r="H158" s="69">
        <v>44126.594444444447</v>
      </c>
      <c r="I158" s="66" t="s">
        <v>48</v>
      </c>
      <c r="J158" s="66">
        <v>10</v>
      </c>
      <c r="K158" s="98">
        <v>3.4</v>
      </c>
      <c r="M158" s="68" t="s">
        <v>49</v>
      </c>
      <c r="N158" s="68" t="s">
        <v>49</v>
      </c>
      <c r="O158" s="68" t="s">
        <v>1163</v>
      </c>
      <c r="P158" s="237">
        <v>1</v>
      </c>
      <c r="R158" s="103">
        <f t="shared" si="8"/>
        <v>0</v>
      </c>
      <c r="T158" s="103">
        <f t="shared" si="11"/>
        <v>0</v>
      </c>
      <c r="U158" s="68">
        <v>2</v>
      </c>
      <c r="V158" s="103">
        <f t="shared" si="9"/>
        <v>1</v>
      </c>
      <c r="W158" s="325" t="s">
        <v>637</v>
      </c>
      <c r="X158" s="324">
        <f t="shared" si="10"/>
        <v>1</v>
      </c>
      <c r="Y158" s="332" t="s">
        <v>162</v>
      </c>
      <c r="Z158" s="332" t="s">
        <v>250</v>
      </c>
      <c r="AA158" s="68" t="s">
        <v>161</v>
      </c>
      <c r="AG158" s="66" t="s">
        <v>128</v>
      </c>
    </row>
    <row r="159" spans="1:33" ht="15" x14ac:dyDescent="0.15">
      <c r="A159" s="66" t="s">
        <v>43</v>
      </c>
      <c r="B159" s="80">
        <v>260</v>
      </c>
      <c r="C159" s="68" t="s">
        <v>44</v>
      </c>
      <c r="D159" s="68" t="s">
        <v>161</v>
      </c>
      <c r="E159" s="237">
        <v>1</v>
      </c>
      <c r="F159" s="66" t="s">
        <v>162</v>
      </c>
      <c r="G159" s="66" t="s">
        <v>251</v>
      </c>
      <c r="H159" s="69">
        <v>44126.594444444447</v>
      </c>
      <c r="I159" s="66" t="s">
        <v>48</v>
      </c>
      <c r="J159" s="66">
        <v>10</v>
      </c>
      <c r="K159" s="98">
        <v>3.4</v>
      </c>
      <c r="M159" s="68" t="s">
        <v>49</v>
      </c>
      <c r="N159" s="68" t="s">
        <v>49</v>
      </c>
      <c r="O159" s="68" t="s">
        <v>1163</v>
      </c>
      <c r="P159" s="237">
        <v>1</v>
      </c>
      <c r="R159" s="103">
        <f t="shared" si="8"/>
        <v>0</v>
      </c>
      <c r="T159" s="103">
        <f t="shared" si="11"/>
        <v>0</v>
      </c>
      <c r="U159" s="68">
        <v>2</v>
      </c>
      <c r="V159" s="103">
        <f t="shared" si="9"/>
        <v>1</v>
      </c>
      <c r="W159" s="325" t="s">
        <v>58</v>
      </c>
      <c r="X159" s="324">
        <f t="shared" si="10"/>
        <v>1</v>
      </c>
      <c r="Y159" s="332" t="s">
        <v>162</v>
      </c>
      <c r="Z159" s="332" t="s">
        <v>251</v>
      </c>
      <c r="AA159" s="68" t="s">
        <v>161</v>
      </c>
      <c r="AG159" s="66" t="s">
        <v>59</v>
      </c>
    </row>
    <row r="160" spans="1:33" ht="75" x14ac:dyDescent="0.15">
      <c r="A160" s="66" t="s">
        <v>43</v>
      </c>
      <c r="B160" s="80">
        <v>260</v>
      </c>
      <c r="C160" s="68" t="s">
        <v>44</v>
      </c>
      <c r="D160" s="68" t="s">
        <v>161</v>
      </c>
      <c r="E160" s="237">
        <v>1</v>
      </c>
      <c r="F160" s="66" t="s">
        <v>162</v>
      </c>
      <c r="G160" s="66" t="s">
        <v>252</v>
      </c>
      <c r="H160" s="69">
        <v>44127.429166666669</v>
      </c>
      <c r="I160" s="66" t="s">
        <v>48</v>
      </c>
      <c r="J160" s="66">
        <v>10</v>
      </c>
      <c r="K160" s="98">
        <v>3.4</v>
      </c>
      <c r="M160" s="68" t="s">
        <v>52</v>
      </c>
      <c r="N160" s="68" t="s">
        <v>1143</v>
      </c>
      <c r="O160" s="68" t="s">
        <v>1143</v>
      </c>
      <c r="P160" s="237">
        <v>1</v>
      </c>
      <c r="R160" s="103">
        <f t="shared" si="8"/>
        <v>0</v>
      </c>
      <c r="T160" s="103">
        <f t="shared" si="11"/>
        <v>0</v>
      </c>
      <c r="U160" s="68">
        <v>2</v>
      </c>
      <c r="V160" s="103">
        <f t="shared" si="9"/>
        <v>1</v>
      </c>
      <c r="W160" s="325" t="s">
        <v>305</v>
      </c>
      <c r="X160" s="324">
        <f t="shared" si="10"/>
        <v>1</v>
      </c>
      <c r="Y160" s="332" t="s">
        <v>162</v>
      </c>
      <c r="Z160" s="332" t="s">
        <v>252</v>
      </c>
      <c r="AA160" s="68" t="s">
        <v>161</v>
      </c>
      <c r="AE160" s="68" t="s">
        <v>1146</v>
      </c>
      <c r="AG160" s="66" t="s">
        <v>92</v>
      </c>
    </row>
    <row r="161" spans="1:33" ht="15" x14ac:dyDescent="0.15">
      <c r="A161" s="66" t="s">
        <v>43</v>
      </c>
      <c r="B161" s="80">
        <v>260</v>
      </c>
      <c r="C161" s="68" t="s">
        <v>44</v>
      </c>
      <c r="D161" s="68" t="s">
        <v>161</v>
      </c>
      <c r="E161" s="237">
        <v>1</v>
      </c>
      <c r="F161" s="108" t="s">
        <v>179</v>
      </c>
      <c r="G161" s="108" t="s">
        <v>253</v>
      </c>
      <c r="H161" s="69">
        <v>44127.432638888888</v>
      </c>
      <c r="I161" s="66" t="s">
        <v>48</v>
      </c>
      <c r="J161" s="66">
        <v>10</v>
      </c>
      <c r="K161" s="98">
        <v>3.4</v>
      </c>
      <c r="M161" s="68" t="s">
        <v>52</v>
      </c>
      <c r="N161" s="68" t="s">
        <v>1143</v>
      </c>
      <c r="O161" s="68" t="s">
        <v>1143</v>
      </c>
      <c r="P161" s="237">
        <v>1</v>
      </c>
      <c r="R161" s="103">
        <f t="shared" si="8"/>
        <v>0</v>
      </c>
      <c r="T161" s="103">
        <f t="shared" si="11"/>
        <v>0</v>
      </c>
      <c r="U161" s="68">
        <v>2</v>
      </c>
      <c r="V161" s="103">
        <f t="shared" si="9"/>
        <v>1</v>
      </c>
      <c r="W161" s="325" t="s">
        <v>58</v>
      </c>
      <c r="X161" s="324">
        <f t="shared" si="10"/>
        <v>1</v>
      </c>
      <c r="Y161" s="334" t="s">
        <v>179</v>
      </c>
      <c r="Z161" s="334" t="s">
        <v>253</v>
      </c>
      <c r="AA161" s="68" t="s">
        <v>161</v>
      </c>
      <c r="AG161" s="66" t="s">
        <v>63</v>
      </c>
    </row>
    <row r="162" spans="1:33" ht="15" x14ac:dyDescent="0.15">
      <c r="A162" s="66" t="s">
        <v>43</v>
      </c>
      <c r="B162" s="80">
        <v>260</v>
      </c>
      <c r="C162" s="68" t="s">
        <v>44</v>
      </c>
      <c r="D162" s="68" t="s">
        <v>161</v>
      </c>
      <c r="E162" s="237">
        <v>1</v>
      </c>
      <c r="F162" s="108" t="s">
        <v>179</v>
      </c>
      <c r="G162" s="108" t="s">
        <v>254</v>
      </c>
      <c r="H162" s="69">
        <v>44127.432638888888</v>
      </c>
      <c r="I162" s="66" t="s">
        <v>48</v>
      </c>
      <c r="J162" s="66">
        <v>10</v>
      </c>
      <c r="K162" s="98">
        <v>3.4</v>
      </c>
      <c r="M162" s="68" t="s">
        <v>52</v>
      </c>
      <c r="N162" s="68" t="s">
        <v>1143</v>
      </c>
      <c r="O162" s="68" t="s">
        <v>1143</v>
      </c>
      <c r="P162" s="237">
        <v>1</v>
      </c>
      <c r="R162" s="103">
        <f t="shared" si="8"/>
        <v>0</v>
      </c>
      <c r="T162" s="103">
        <f t="shared" si="11"/>
        <v>0</v>
      </c>
      <c r="U162" s="68">
        <v>2</v>
      </c>
      <c r="V162" s="103">
        <f t="shared" si="9"/>
        <v>1</v>
      </c>
      <c r="W162" s="325" t="s">
        <v>58</v>
      </c>
      <c r="X162" s="324">
        <f t="shared" si="10"/>
        <v>1</v>
      </c>
      <c r="Y162" s="334" t="s">
        <v>179</v>
      </c>
      <c r="Z162" s="334" t="s">
        <v>254</v>
      </c>
      <c r="AA162" s="68" t="s">
        <v>161</v>
      </c>
      <c r="AG162" s="66" t="s">
        <v>63</v>
      </c>
    </row>
    <row r="163" spans="1:33" ht="15" x14ac:dyDescent="0.15">
      <c r="A163" s="66" t="s">
        <v>43</v>
      </c>
      <c r="B163" s="80">
        <v>260</v>
      </c>
      <c r="C163" s="68" t="s">
        <v>44</v>
      </c>
      <c r="D163" s="68" t="s">
        <v>161</v>
      </c>
      <c r="E163" s="237">
        <v>1</v>
      </c>
      <c r="F163" s="108" t="s">
        <v>179</v>
      </c>
      <c r="G163" s="108" t="s">
        <v>255</v>
      </c>
      <c r="H163" s="69">
        <v>44127.444444444445</v>
      </c>
      <c r="I163" s="66" t="s">
        <v>48</v>
      </c>
      <c r="J163" s="66">
        <v>10</v>
      </c>
      <c r="K163" s="98">
        <v>3.4</v>
      </c>
      <c r="M163" s="68" t="s">
        <v>49</v>
      </c>
      <c r="N163" s="68" t="s">
        <v>49</v>
      </c>
      <c r="O163" s="68" t="s">
        <v>1163</v>
      </c>
      <c r="P163" s="237">
        <v>1</v>
      </c>
      <c r="R163" s="103">
        <f t="shared" si="8"/>
        <v>0</v>
      </c>
      <c r="T163" s="103">
        <f t="shared" si="11"/>
        <v>0</v>
      </c>
      <c r="U163" s="68">
        <v>2</v>
      </c>
      <c r="V163" s="103">
        <f t="shared" si="9"/>
        <v>1</v>
      </c>
      <c r="W163" s="325" t="s">
        <v>58</v>
      </c>
      <c r="X163" s="324">
        <f t="shared" si="10"/>
        <v>1</v>
      </c>
      <c r="Y163" s="334" t="s">
        <v>179</v>
      </c>
      <c r="Z163" s="334" t="s">
        <v>255</v>
      </c>
      <c r="AA163" s="68" t="s">
        <v>161</v>
      </c>
      <c r="AE163" s="68" t="s">
        <v>1147</v>
      </c>
      <c r="AG163" s="66" t="s">
        <v>63</v>
      </c>
    </row>
    <row r="164" spans="1:33" ht="15" x14ac:dyDescent="0.15">
      <c r="A164" s="66" t="s">
        <v>43</v>
      </c>
      <c r="B164" s="80">
        <v>260</v>
      </c>
      <c r="C164" s="68" t="s">
        <v>44</v>
      </c>
      <c r="D164" s="68" t="s">
        <v>161</v>
      </c>
      <c r="E164" s="237">
        <v>1</v>
      </c>
      <c r="F164" s="108" t="s">
        <v>179</v>
      </c>
      <c r="G164" s="108" t="s">
        <v>256</v>
      </c>
      <c r="H164" s="69">
        <v>44127.444444444445</v>
      </c>
      <c r="I164" s="66" t="s">
        <v>48</v>
      </c>
      <c r="J164" s="66">
        <v>10</v>
      </c>
      <c r="K164" s="98">
        <v>3.4</v>
      </c>
      <c r="M164" s="68" t="s">
        <v>49</v>
      </c>
      <c r="N164" s="68" t="s">
        <v>49</v>
      </c>
      <c r="O164" s="68" t="s">
        <v>1163</v>
      </c>
      <c r="P164" s="237">
        <v>1</v>
      </c>
      <c r="R164" s="103">
        <f t="shared" si="8"/>
        <v>0</v>
      </c>
      <c r="T164" s="103">
        <f t="shared" si="11"/>
        <v>0</v>
      </c>
      <c r="U164" s="68">
        <v>2</v>
      </c>
      <c r="V164" s="103">
        <f t="shared" si="9"/>
        <v>1</v>
      </c>
      <c r="W164" s="325" t="s">
        <v>58</v>
      </c>
      <c r="X164" s="324">
        <f t="shared" si="10"/>
        <v>1</v>
      </c>
      <c r="Y164" s="334" t="s">
        <v>179</v>
      </c>
      <c r="Z164" s="334" t="s">
        <v>256</v>
      </c>
      <c r="AA164" s="68" t="s">
        <v>161</v>
      </c>
      <c r="AG164" s="66" t="s">
        <v>63</v>
      </c>
    </row>
    <row r="165" spans="1:33" ht="15" x14ac:dyDescent="0.15">
      <c r="A165" s="66" t="s">
        <v>43</v>
      </c>
      <c r="B165" s="80">
        <v>260</v>
      </c>
      <c r="C165" s="68" t="s">
        <v>44</v>
      </c>
      <c r="D165" s="68" t="s">
        <v>161</v>
      </c>
      <c r="E165" s="237">
        <v>1</v>
      </c>
      <c r="F165" s="108" t="s">
        <v>179</v>
      </c>
      <c r="G165" s="108" t="s">
        <v>257</v>
      </c>
      <c r="H165" s="69">
        <v>44127.444444444445</v>
      </c>
      <c r="I165" s="66" t="s">
        <v>48</v>
      </c>
      <c r="J165" s="66">
        <v>10</v>
      </c>
      <c r="K165" s="98">
        <v>3.4</v>
      </c>
      <c r="M165" s="68" t="s">
        <v>49</v>
      </c>
      <c r="N165" s="68" t="s">
        <v>49</v>
      </c>
      <c r="O165" s="68" t="s">
        <v>1163</v>
      </c>
      <c r="P165" s="237">
        <v>1</v>
      </c>
      <c r="R165" s="103">
        <f t="shared" si="8"/>
        <v>0</v>
      </c>
      <c r="T165" s="103">
        <f t="shared" si="11"/>
        <v>0</v>
      </c>
      <c r="U165" s="68">
        <v>2</v>
      </c>
      <c r="V165" s="103">
        <f t="shared" si="9"/>
        <v>1</v>
      </c>
      <c r="W165" s="325" t="s">
        <v>637</v>
      </c>
      <c r="X165" s="324">
        <f t="shared" si="10"/>
        <v>1</v>
      </c>
      <c r="Y165" s="334" t="s">
        <v>179</v>
      </c>
      <c r="Z165" s="334" t="s">
        <v>257</v>
      </c>
      <c r="AA165" s="68" t="s">
        <v>161</v>
      </c>
      <c r="AG165" s="66" t="s">
        <v>92</v>
      </c>
    </row>
    <row r="166" spans="1:33" ht="15" x14ac:dyDescent="0.15">
      <c r="A166" s="66" t="s">
        <v>43</v>
      </c>
      <c r="B166" s="80">
        <v>260</v>
      </c>
      <c r="C166" s="68" t="s">
        <v>44</v>
      </c>
      <c r="D166" s="68" t="s">
        <v>161</v>
      </c>
      <c r="E166" s="237">
        <v>1</v>
      </c>
      <c r="F166" s="66" t="s">
        <v>162</v>
      </c>
      <c r="G166" s="66" t="s">
        <v>258</v>
      </c>
      <c r="H166" s="69">
        <v>44127.452777777777</v>
      </c>
      <c r="I166" s="66" t="s">
        <v>48</v>
      </c>
      <c r="J166" s="66">
        <v>10</v>
      </c>
      <c r="K166" s="98">
        <v>3.4</v>
      </c>
      <c r="M166" s="68" t="s">
        <v>49</v>
      </c>
      <c r="N166" s="68" t="s">
        <v>49</v>
      </c>
      <c r="O166" s="68" t="s">
        <v>1163</v>
      </c>
      <c r="P166" s="237">
        <v>1</v>
      </c>
      <c r="R166" s="103">
        <f t="shared" si="8"/>
        <v>0</v>
      </c>
      <c r="T166" s="103">
        <f t="shared" si="11"/>
        <v>0</v>
      </c>
      <c r="U166" s="68">
        <v>2</v>
      </c>
      <c r="V166" s="103">
        <f t="shared" si="9"/>
        <v>1</v>
      </c>
      <c r="W166" s="325" t="s">
        <v>637</v>
      </c>
      <c r="X166" s="324">
        <f t="shared" si="10"/>
        <v>1</v>
      </c>
      <c r="Y166" s="332" t="s">
        <v>162</v>
      </c>
      <c r="Z166" s="332" t="s">
        <v>258</v>
      </c>
      <c r="AA166" s="68" t="s">
        <v>161</v>
      </c>
      <c r="AG166" s="66" t="s">
        <v>59</v>
      </c>
    </row>
    <row r="167" spans="1:33" ht="15" x14ac:dyDescent="0.15">
      <c r="A167" s="66" t="s">
        <v>43</v>
      </c>
      <c r="B167" s="80">
        <v>260</v>
      </c>
      <c r="C167" s="68" t="s">
        <v>44</v>
      </c>
      <c r="D167" s="68" t="s">
        <v>161</v>
      </c>
      <c r="E167" s="237">
        <v>1</v>
      </c>
      <c r="F167" s="66" t="s">
        <v>162</v>
      </c>
      <c r="G167" s="66" t="s">
        <v>259</v>
      </c>
      <c r="H167" s="69">
        <v>44127.482638888891</v>
      </c>
      <c r="I167" s="66" t="s">
        <v>48</v>
      </c>
      <c r="J167" s="66">
        <v>10</v>
      </c>
      <c r="K167" s="98">
        <v>3.4</v>
      </c>
      <c r="M167" s="68" t="s">
        <v>49</v>
      </c>
      <c r="N167" s="68" t="s">
        <v>49</v>
      </c>
      <c r="O167" s="68" t="s">
        <v>1163</v>
      </c>
      <c r="P167" s="237">
        <v>1</v>
      </c>
      <c r="R167" s="103">
        <f t="shared" si="8"/>
        <v>0</v>
      </c>
      <c r="T167" s="103">
        <f t="shared" si="11"/>
        <v>0</v>
      </c>
      <c r="U167" s="68">
        <v>2</v>
      </c>
      <c r="V167" s="103">
        <f t="shared" si="9"/>
        <v>1</v>
      </c>
      <c r="W167" s="325" t="s">
        <v>58</v>
      </c>
      <c r="X167" s="324">
        <f t="shared" si="10"/>
        <v>1</v>
      </c>
      <c r="Y167" s="332" t="s">
        <v>162</v>
      </c>
      <c r="Z167" s="332" t="s">
        <v>259</v>
      </c>
      <c r="AA167" s="68" t="s">
        <v>161</v>
      </c>
      <c r="AG167" s="66" t="s">
        <v>63</v>
      </c>
    </row>
    <row r="168" spans="1:33" ht="15" x14ac:dyDescent="0.15">
      <c r="A168" s="66" t="s">
        <v>43</v>
      </c>
      <c r="B168" s="80">
        <v>260</v>
      </c>
      <c r="C168" s="68" t="s">
        <v>44</v>
      </c>
      <c r="D168" s="68" t="s">
        <v>161</v>
      </c>
      <c r="E168" s="237">
        <v>1</v>
      </c>
      <c r="F168" s="108" t="s">
        <v>179</v>
      </c>
      <c r="G168" s="108" t="s">
        <v>260</v>
      </c>
      <c r="H168" s="69">
        <v>44127.488888888889</v>
      </c>
      <c r="I168" s="66" t="s">
        <v>48</v>
      </c>
      <c r="J168" s="66">
        <v>3</v>
      </c>
      <c r="K168" s="98">
        <v>3.4</v>
      </c>
      <c r="M168" s="68" t="s">
        <v>52</v>
      </c>
      <c r="N168" s="68" t="s">
        <v>1143</v>
      </c>
      <c r="O168" s="68" t="s">
        <v>1143</v>
      </c>
      <c r="P168" s="237">
        <v>1</v>
      </c>
      <c r="R168" s="103">
        <f t="shared" si="8"/>
        <v>0</v>
      </c>
      <c r="T168" s="103">
        <f t="shared" si="11"/>
        <v>0</v>
      </c>
      <c r="U168" s="68">
        <v>2</v>
      </c>
      <c r="V168" s="103">
        <f t="shared" si="9"/>
        <v>1</v>
      </c>
      <c r="W168" s="325" t="s">
        <v>305</v>
      </c>
      <c r="X168" s="324">
        <f t="shared" si="10"/>
        <v>1</v>
      </c>
      <c r="Y168" s="334" t="s">
        <v>179</v>
      </c>
      <c r="Z168" s="334" t="s">
        <v>260</v>
      </c>
      <c r="AA168" s="68" t="s">
        <v>161</v>
      </c>
      <c r="AC168" s="68" t="s">
        <v>261</v>
      </c>
      <c r="AE168" s="68" t="s">
        <v>1146</v>
      </c>
      <c r="AG168" s="66" t="s">
        <v>121</v>
      </c>
    </row>
    <row r="169" spans="1:33" ht="15" x14ac:dyDescent="0.15">
      <c r="A169" s="66" t="s">
        <v>43</v>
      </c>
      <c r="B169" s="80">
        <v>260</v>
      </c>
      <c r="C169" s="68" t="s">
        <v>44</v>
      </c>
      <c r="D169" s="68" t="s">
        <v>161</v>
      </c>
      <c r="E169" s="237">
        <v>1</v>
      </c>
      <c r="F169" s="66" t="s">
        <v>162</v>
      </c>
      <c r="G169" s="66" t="s">
        <v>262</v>
      </c>
      <c r="H169" s="69">
        <v>44127.492361111108</v>
      </c>
      <c r="I169" s="66" t="s">
        <v>48</v>
      </c>
      <c r="J169" s="66">
        <v>10</v>
      </c>
      <c r="K169" s="98">
        <v>3.4</v>
      </c>
      <c r="M169" s="68" t="s">
        <v>52</v>
      </c>
      <c r="N169" s="68" t="s">
        <v>1143</v>
      </c>
      <c r="O169" s="68" t="s">
        <v>1143</v>
      </c>
      <c r="P169" s="237">
        <v>1</v>
      </c>
      <c r="R169" s="103">
        <f t="shared" si="8"/>
        <v>0</v>
      </c>
      <c r="T169" s="103">
        <f t="shared" si="11"/>
        <v>0</v>
      </c>
      <c r="U169" s="68">
        <v>2</v>
      </c>
      <c r="V169" s="103">
        <f t="shared" si="9"/>
        <v>1</v>
      </c>
      <c r="W169" s="325" t="s">
        <v>58</v>
      </c>
      <c r="X169" s="324">
        <f t="shared" si="10"/>
        <v>1</v>
      </c>
      <c r="Y169" s="332" t="s">
        <v>162</v>
      </c>
      <c r="Z169" s="332" t="s">
        <v>262</v>
      </c>
      <c r="AA169" s="68" t="s">
        <v>161</v>
      </c>
      <c r="AG169" s="66" t="s">
        <v>63</v>
      </c>
    </row>
    <row r="170" spans="1:33" ht="15" x14ac:dyDescent="0.15">
      <c r="A170" s="66" t="s">
        <v>43</v>
      </c>
      <c r="B170" s="80">
        <v>260</v>
      </c>
      <c r="C170" s="68" t="s">
        <v>44</v>
      </c>
      <c r="D170" s="68" t="s">
        <v>161</v>
      </c>
      <c r="E170" s="237">
        <v>1</v>
      </c>
      <c r="F170" s="66" t="s">
        <v>162</v>
      </c>
      <c r="G170" s="66" t="s">
        <v>263</v>
      </c>
      <c r="H170" s="69">
        <v>44127.492361111108</v>
      </c>
      <c r="I170" s="66" t="s">
        <v>48</v>
      </c>
      <c r="J170" s="66">
        <v>10</v>
      </c>
      <c r="K170" s="98">
        <v>3.4</v>
      </c>
      <c r="M170" s="68" t="s">
        <v>638</v>
      </c>
      <c r="N170" s="68" t="s">
        <v>638</v>
      </c>
      <c r="O170" s="68" t="s">
        <v>1163</v>
      </c>
      <c r="P170" s="237">
        <v>1</v>
      </c>
      <c r="R170" s="103">
        <f t="shared" si="8"/>
        <v>0</v>
      </c>
      <c r="T170" s="103">
        <f t="shared" si="11"/>
        <v>0</v>
      </c>
      <c r="U170" s="68">
        <v>3</v>
      </c>
      <c r="V170" s="103">
        <f t="shared" si="9"/>
        <v>1</v>
      </c>
      <c r="W170" s="325" t="s">
        <v>331</v>
      </c>
      <c r="X170" s="324">
        <f t="shared" si="10"/>
        <v>1</v>
      </c>
      <c r="Y170" s="332" t="s">
        <v>162</v>
      </c>
      <c r="Z170" s="332" t="s">
        <v>263</v>
      </c>
      <c r="AA170" s="68" t="s">
        <v>161</v>
      </c>
      <c r="AC170" s="68" t="s">
        <v>112</v>
      </c>
      <c r="AE170" s="68" t="s">
        <v>1147</v>
      </c>
      <c r="AG170" s="66" t="s">
        <v>113</v>
      </c>
    </row>
    <row r="171" spans="1:33" ht="30" x14ac:dyDescent="0.15">
      <c r="A171" s="66" t="s">
        <v>43</v>
      </c>
      <c r="B171" s="80">
        <v>260</v>
      </c>
      <c r="C171" s="68" t="s">
        <v>44</v>
      </c>
      <c r="D171" s="68" t="s">
        <v>161</v>
      </c>
      <c r="E171" s="237">
        <v>1</v>
      </c>
      <c r="F171" s="108" t="s">
        <v>179</v>
      </c>
      <c r="G171" s="108" t="s">
        <v>264</v>
      </c>
      <c r="H171" s="69">
        <v>44127.506249999999</v>
      </c>
      <c r="I171" s="66" t="s">
        <v>48</v>
      </c>
      <c r="J171" s="66">
        <v>10</v>
      </c>
      <c r="K171" s="98">
        <v>3.4</v>
      </c>
      <c r="M171" s="68" t="s">
        <v>638</v>
      </c>
      <c r="N171" s="68" t="s">
        <v>638</v>
      </c>
      <c r="O171" s="68" t="s">
        <v>1163</v>
      </c>
      <c r="P171" s="237">
        <v>1</v>
      </c>
      <c r="R171" s="103">
        <f t="shared" si="8"/>
        <v>0</v>
      </c>
      <c r="T171" s="103">
        <f t="shared" si="11"/>
        <v>0</v>
      </c>
      <c r="U171" s="68">
        <v>3</v>
      </c>
      <c r="V171" s="103">
        <f t="shared" si="9"/>
        <v>1</v>
      </c>
      <c r="W171" s="325" t="s">
        <v>331</v>
      </c>
      <c r="X171" s="324">
        <f t="shared" si="10"/>
        <v>1</v>
      </c>
      <c r="Y171" s="334" t="s">
        <v>179</v>
      </c>
      <c r="Z171" s="334" t="s">
        <v>264</v>
      </c>
      <c r="AA171" s="68" t="s">
        <v>161</v>
      </c>
      <c r="AC171" s="68" t="s">
        <v>112</v>
      </c>
      <c r="AG171" s="66" t="s">
        <v>110</v>
      </c>
    </row>
    <row r="172" spans="1:33" ht="30" x14ac:dyDescent="0.15">
      <c r="A172" s="66" t="s">
        <v>43</v>
      </c>
      <c r="B172" s="80">
        <v>260</v>
      </c>
      <c r="C172" s="68" t="s">
        <v>44</v>
      </c>
      <c r="D172" s="68" t="s">
        <v>161</v>
      </c>
      <c r="E172" s="237">
        <v>1</v>
      </c>
      <c r="F172" s="66" t="s">
        <v>162</v>
      </c>
      <c r="G172" s="66" t="s">
        <v>265</v>
      </c>
      <c r="H172" s="69">
        <v>44127.518750000003</v>
      </c>
      <c r="I172" s="66" t="s">
        <v>48</v>
      </c>
      <c r="J172" s="66">
        <v>10</v>
      </c>
      <c r="K172" s="98">
        <v>3.4</v>
      </c>
      <c r="M172" s="68" t="s">
        <v>638</v>
      </c>
      <c r="N172" s="68" t="s">
        <v>638</v>
      </c>
      <c r="O172" s="68" t="s">
        <v>1163</v>
      </c>
      <c r="P172" s="237">
        <v>1</v>
      </c>
      <c r="R172" s="103">
        <f t="shared" si="8"/>
        <v>0</v>
      </c>
      <c r="T172" s="103">
        <f t="shared" si="11"/>
        <v>0</v>
      </c>
      <c r="U172" s="68">
        <v>3</v>
      </c>
      <c r="V172" s="103">
        <f t="shared" si="9"/>
        <v>1</v>
      </c>
      <c r="W172" s="325" t="s">
        <v>305</v>
      </c>
      <c r="X172" s="324">
        <f t="shared" si="10"/>
        <v>1</v>
      </c>
      <c r="Y172" s="332" t="s">
        <v>162</v>
      </c>
      <c r="Z172" s="332" t="s">
        <v>265</v>
      </c>
      <c r="AA172" s="68" t="s">
        <v>161</v>
      </c>
      <c r="AG172" s="66" t="s">
        <v>110</v>
      </c>
    </row>
    <row r="173" spans="1:33" ht="15" x14ac:dyDescent="0.15">
      <c r="A173" s="66" t="s">
        <v>43</v>
      </c>
      <c r="B173" s="80">
        <v>260</v>
      </c>
      <c r="C173" s="68" t="s">
        <v>44</v>
      </c>
      <c r="D173" s="68" t="s">
        <v>161</v>
      </c>
      <c r="E173" s="237">
        <v>1</v>
      </c>
      <c r="F173" s="66" t="s">
        <v>162</v>
      </c>
      <c r="G173" s="66" t="s">
        <v>266</v>
      </c>
      <c r="H173" s="69">
        <v>44127.518750000003</v>
      </c>
      <c r="I173" s="66" t="s">
        <v>48</v>
      </c>
      <c r="J173" s="66">
        <v>10</v>
      </c>
      <c r="K173" s="98">
        <v>3.4</v>
      </c>
      <c r="M173" s="68" t="s">
        <v>638</v>
      </c>
      <c r="N173" s="68" t="s">
        <v>638</v>
      </c>
      <c r="O173" s="68" t="s">
        <v>1163</v>
      </c>
      <c r="P173" s="237">
        <v>1</v>
      </c>
      <c r="R173" s="103">
        <f t="shared" si="8"/>
        <v>0</v>
      </c>
      <c r="T173" s="103">
        <f t="shared" si="11"/>
        <v>0</v>
      </c>
      <c r="U173" s="68">
        <v>3</v>
      </c>
      <c r="V173" s="103">
        <f t="shared" si="9"/>
        <v>1</v>
      </c>
      <c r="W173" s="325" t="s">
        <v>637</v>
      </c>
      <c r="X173" s="324">
        <f t="shared" si="10"/>
        <v>1</v>
      </c>
      <c r="Y173" s="332" t="s">
        <v>162</v>
      </c>
      <c r="Z173" s="332" t="s">
        <v>266</v>
      </c>
      <c r="AA173" s="68" t="s">
        <v>161</v>
      </c>
      <c r="AG173" s="66" t="s">
        <v>59</v>
      </c>
    </row>
    <row r="174" spans="1:33" ht="15" x14ac:dyDescent="0.15">
      <c r="A174" s="66" t="s">
        <v>43</v>
      </c>
      <c r="B174" s="80">
        <v>260</v>
      </c>
      <c r="C174" s="68" t="s">
        <v>44</v>
      </c>
      <c r="D174" s="68" t="s">
        <v>161</v>
      </c>
      <c r="E174" s="237">
        <v>1</v>
      </c>
      <c r="F174" s="66" t="s">
        <v>162</v>
      </c>
      <c r="G174" s="66" t="s">
        <v>267</v>
      </c>
      <c r="H174" s="69">
        <v>44127.518750000003</v>
      </c>
      <c r="I174" s="66" t="s">
        <v>48</v>
      </c>
      <c r="J174" s="66">
        <v>10</v>
      </c>
      <c r="K174" s="98">
        <v>3.4</v>
      </c>
      <c r="M174" s="68" t="s">
        <v>638</v>
      </c>
      <c r="N174" s="68" t="s">
        <v>638</v>
      </c>
      <c r="O174" s="68" t="s">
        <v>1163</v>
      </c>
      <c r="P174" s="237">
        <v>1</v>
      </c>
      <c r="R174" s="103">
        <f t="shared" si="8"/>
        <v>0</v>
      </c>
      <c r="T174" s="103">
        <f t="shared" si="11"/>
        <v>0</v>
      </c>
      <c r="U174" s="68">
        <v>3</v>
      </c>
      <c r="V174" s="103">
        <f t="shared" si="9"/>
        <v>1</v>
      </c>
      <c r="W174" s="325" t="s">
        <v>305</v>
      </c>
      <c r="X174" s="324">
        <f t="shared" si="10"/>
        <v>1</v>
      </c>
      <c r="Y174" s="332" t="s">
        <v>162</v>
      </c>
      <c r="Z174" s="332" t="s">
        <v>267</v>
      </c>
      <c r="AA174" s="68" t="s">
        <v>161</v>
      </c>
      <c r="AG174" s="66" t="s">
        <v>59</v>
      </c>
    </row>
    <row r="175" spans="1:33" ht="15" x14ac:dyDescent="0.15">
      <c r="A175" s="66" t="s">
        <v>43</v>
      </c>
      <c r="B175" s="80">
        <v>260</v>
      </c>
      <c r="C175" s="68" t="s">
        <v>44</v>
      </c>
      <c r="D175" s="68" t="s">
        <v>161</v>
      </c>
      <c r="E175" s="237">
        <v>1</v>
      </c>
      <c r="F175" s="108" t="s">
        <v>179</v>
      </c>
      <c r="G175" s="108" t="s">
        <v>268</v>
      </c>
      <c r="H175" s="69">
        <v>44129.632638888892</v>
      </c>
      <c r="I175" s="66" t="s">
        <v>48</v>
      </c>
      <c r="J175" s="66">
        <v>10</v>
      </c>
      <c r="K175" s="98">
        <v>3.4</v>
      </c>
      <c r="M175" s="68" t="s">
        <v>638</v>
      </c>
      <c r="N175" s="68" t="s">
        <v>638</v>
      </c>
      <c r="O175" s="68" t="s">
        <v>1163</v>
      </c>
      <c r="P175" s="237">
        <v>1</v>
      </c>
      <c r="R175" s="103">
        <f t="shared" si="8"/>
        <v>0</v>
      </c>
      <c r="T175" s="103">
        <f t="shared" si="11"/>
        <v>0</v>
      </c>
      <c r="U175" s="68">
        <v>3</v>
      </c>
      <c r="V175" s="103">
        <f t="shared" si="9"/>
        <v>1</v>
      </c>
      <c r="W175" s="325" t="s">
        <v>58</v>
      </c>
      <c r="X175" s="324">
        <f t="shared" si="10"/>
        <v>1</v>
      </c>
      <c r="Y175" s="334" t="s">
        <v>179</v>
      </c>
      <c r="Z175" s="334" t="s">
        <v>268</v>
      </c>
      <c r="AA175" s="68" t="s">
        <v>161</v>
      </c>
      <c r="AG175" s="66" t="s">
        <v>59</v>
      </c>
    </row>
    <row r="176" spans="1:33" ht="30" x14ac:dyDescent="0.15">
      <c r="A176" s="66" t="s">
        <v>43</v>
      </c>
      <c r="B176" s="80">
        <v>260</v>
      </c>
      <c r="C176" s="68" t="s">
        <v>44</v>
      </c>
      <c r="D176" s="68" t="s">
        <v>161</v>
      </c>
      <c r="E176" s="237">
        <v>1</v>
      </c>
      <c r="F176" s="108" t="s">
        <v>179</v>
      </c>
      <c r="G176" s="108" t="s">
        <v>269</v>
      </c>
      <c r="H176" s="69">
        <v>44129.632638888892</v>
      </c>
      <c r="I176" s="66" t="s">
        <v>48</v>
      </c>
      <c r="J176" s="66">
        <v>10</v>
      </c>
      <c r="K176" s="98">
        <v>3.4</v>
      </c>
      <c r="M176" s="68" t="s">
        <v>638</v>
      </c>
      <c r="N176" s="68" t="s">
        <v>638</v>
      </c>
      <c r="O176" s="68" t="s">
        <v>1163</v>
      </c>
      <c r="P176" s="237">
        <v>1</v>
      </c>
      <c r="R176" s="103">
        <f t="shared" si="8"/>
        <v>0</v>
      </c>
      <c r="T176" s="103">
        <f t="shared" si="11"/>
        <v>0</v>
      </c>
      <c r="U176" s="68">
        <v>3</v>
      </c>
      <c r="V176" s="103">
        <f t="shared" si="9"/>
        <v>1</v>
      </c>
      <c r="W176" s="325" t="s">
        <v>305</v>
      </c>
      <c r="X176" s="324">
        <f t="shared" si="10"/>
        <v>1</v>
      </c>
      <c r="Y176" s="334" t="s">
        <v>179</v>
      </c>
      <c r="Z176" s="334" t="s">
        <v>269</v>
      </c>
      <c r="AA176" s="68" t="s">
        <v>161</v>
      </c>
      <c r="AG176" s="66" t="s">
        <v>59</v>
      </c>
    </row>
    <row r="177" spans="1:33" ht="17" customHeight="1" x14ac:dyDescent="0.15">
      <c r="A177" s="66" t="s">
        <v>43</v>
      </c>
      <c r="B177" s="80">
        <v>260</v>
      </c>
      <c r="C177" s="68" t="s">
        <v>44</v>
      </c>
      <c r="D177" s="68" t="s">
        <v>161</v>
      </c>
      <c r="E177" s="237">
        <v>1</v>
      </c>
      <c r="F177" s="66" t="s">
        <v>162</v>
      </c>
      <c r="G177" s="66" t="s">
        <v>270</v>
      </c>
      <c r="H177" s="69">
        <v>44130.375</v>
      </c>
      <c r="I177" s="66" t="s">
        <v>48</v>
      </c>
      <c r="J177" s="66">
        <v>10</v>
      </c>
      <c r="K177" s="98">
        <v>3.4</v>
      </c>
      <c r="M177" s="68" t="s">
        <v>638</v>
      </c>
      <c r="N177" s="68" t="s">
        <v>638</v>
      </c>
      <c r="O177" s="68" t="s">
        <v>1163</v>
      </c>
      <c r="P177" s="237">
        <v>1</v>
      </c>
      <c r="R177" s="103">
        <f t="shared" si="8"/>
        <v>0</v>
      </c>
      <c r="T177" s="103">
        <f t="shared" si="11"/>
        <v>0</v>
      </c>
      <c r="U177" s="68">
        <v>3</v>
      </c>
      <c r="V177" s="103">
        <f t="shared" si="9"/>
        <v>1</v>
      </c>
      <c r="W177" s="325" t="s">
        <v>58</v>
      </c>
      <c r="X177" s="324">
        <f t="shared" si="10"/>
        <v>1</v>
      </c>
      <c r="Y177" s="332" t="s">
        <v>162</v>
      </c>
      <c r="Z177" s="332" t="s">
        <v>270</v>
      </c>
      <c r="AA177" s="68" t="s">
        <v>161</v>
      </c>
      <c r="AG177" s="66" t="s">
        <v>59</v>
      </c>
    </row>
    <row r="178" spans="1:33" ht="15" x14ac:dyDescent="0.15">
      <c r="A178" s="66" t="s">
        <v>43</v>
      </c>
      <c r="B178" s="80">
        <v>260</v>
      </c>
      <c r="C178" s="68" t="s">
        <v>44</v>
      </c>
      <c r="D178" s="103" t="s">
        <v>271</v>
      </c>
      <c r="E178" s="237">
        <v>1</v>
      </c>
      <c r="F178" s="108" t="s">
        <v>272</v>
      </c>
      <c r="G178" s="108" t="s">
        <v>273</v>
      </c>
      <c r="H178" s="69">
        <v>44127.462500000001</v>
      </c>
      <c r="I178" s="66" t="s">
        <v>48</v>
      </c>
      <c r="J178" s="66">
        <v>10</v>
      </c>
      <c r="K178" s="98">
        <v>3.5</v>
      </c>
      <c r="M178" s="68" t="s">
        <v>1162</v>
      </c>
      <c r="N178" s="68" t="s">
        <v>1162</v>
      </c>
      <c r="O178" s="68" t="s">
        <v>1162</v>
      </c>
      <c r="P178" s="237">
        <v>1</v>
      </c>
      <c r="R178" s="103">
        <f t="shared" si="8"/>
        <v>0</v>
      </c>
      <c r="T178" s="103">
        <f t="shared" si="11"/>
        <v>0</v>
      </c>
      <c r="V178" s="103">
        <f t="shared" si="9"/>
        <v>0</v>
      </c>
      <c r="X178" s="324">
        <f t="shared" si="10"/>
        <v>0</v>
      </c>
      <c r="Y178" s="334" t="s">
        <v>272</v>
      </c>
      <c r="Z178" s="334" t="s">
        <v>273</v>
      </c>
      <c r="AA178" s="103" t="s">
        <v>271</v>
      </c>
      <c r="AG178" s="66" t="s">
        <v>132</v>
      </c>
    </row>
    <row r="179" spans="1:33" ht="30" x14ac:dyDescent="0.15">
      <c r="A179" s="66" t="s">
        <v>43</v>
      </c>
      <c r="B179" s="80">
        <v>260</v>
      </c>
      <c r="C179" s="68" t="s">
        <v>44</v>
      </c>
      <c r="D179" s="103" t="s">
        <v>271</v>
      </c>
      <c r="E179" s="237">
        <v>1</v>
      </c>
      <c r="F179" s="108" t="s">
        <v>272</v>
      </c>
      <c r="G179" s="108" t="s">
        <v>274</v>
      </c>
      <c r="H179" s="69">
        <v>44127.462500000001</v>
      </c>
      <c r="I179" s="66" t="s">
        <v>48</v>
      </c>
      <c r="J179" s="66">
        <v>10</v>
      </c>
      <c r="K179" s="98">
        <v>3.5</v>
      </c>
      <c r="M179" s="68" t="s">
        <v>52</v>
      </c>
      <c r="N179" s="68" t="s">
        <v>1143</v>
      </c>
      <c r="O179" s="68" t="s">
        <v>1143</v>
      </c>
      <c r="P179" s="237">
        <v>1</v>
      </c>
      <c r="R179" s="103">
        <f t="shared" si="8"/>
        <v>0</v>
      </c>
      <c r="T179" s="103">
        <f t="shared" si="11"/>
        <v>0</v>
      </c>
      <c r="U179" s="68">
        <v>1</v>
      </c>
      <c r="V179" s="103">
        <f t="shared" si="9"/>
        <v>1</v>
      </c>
      <c r="X179" s="324">
        <f t="shared" si="10"/>
        <v>0</v>
      </c>
      <c r="Y179" s="334" t="s">
        <v>272</v>
      </c>
      <c r="Z179" s="334" t="s">
        <v>274</v>
      </c>
      <c r="AA179" s="103" t="s">
        <v>271</v>
      </c>
      <c r="AG179" s="66" t="s">
        <v>54</v>
      </c>
    </row>
    <row r="180" spans="1:33" ht="45" x14ac:dyDescent="0.15">
      <c r="A180" s="66" t="s">
        <v>43</v>
      </c>
      <c r="B180" s="80">
        <v>260</v>
      </c>
      <c r="C180" s="68" t="s">
        <v>44</v>
      </c>
      <c r="D180" s="103" t="s">
        <v>271</v>
      </c>
      <c r="E180" s="237">
        <v>1</v>
      </c>
      <c r="F180" s="108" t="s">
        <v>272</v>
      </c>
      <c r="G180" s="108" t="s">
        <v>275</v>
      </c>
      <c r="H180" s="69">
        <v>44127.462500000001</v>
      </c>
      <c r="I180" s="66" t="s">
        <v>48</v>
      </c>
      <c r="J180" s="66">
        <v>10</v>
      </c>
      <c r="K180" s="98">
        <v>3.5</v>
      </c>
      <c r="M180" s="68" t="s">
        <v>52</v>
      </c>
      <c r="N180" s="68" t="s">
        <v>1143</v>
      </c>
      <c r="O180" s="68" t="s">
        <v>1143</v>
      </c>
      <c r="P180" s="237">
        <v>1</v>
      </c>
      <c r="R180" s="103">
        <f t="shared" si="8"/>
        <v>0</v>
      </c>
      <c r="T180" s="103">
        <f t="shared" si="11"/>
        <v>0</v>
      </c>
      <c r="U180" s="68">
        <v>1</v>
      </c>
      <c r="V180" s="103">
        <f t="shared" si="9"/>
        <v>1</v>
      </c>
      <c r="X180" s="324">
        <f t="shared" si="10"/>
        <v>0</v>
      </c>
      <c r="Y180" s="334" t="s">
        <v>272</v>
      </c>
      <c r="Z180" s="334" t="s">
        <v>275</v>
      </c>
      <c r="AA180" s="103" t="s">
        <v>271</v>
      </c>
      <c r="AG180" s="66" t="s">
        <v>54</v>
      </c>
    </row>
    <row r="181" spans="1:33" ht="15" x14ac:dyDescent="0.15">
      <c r="A181" s="66" t="s">
        <v>43</v>
      </c>
      <c r="B181" s="80">
        <v>260</v>
      </c>
      <c r="C181" s="68" t="s">
        <v>44</v>
      </c>
      <c r="D181" s="103" t="s">
        <v>271</v>
      </c>
      <c r="E181" s="237">
        <v>1</v>
      </c>
      <c r="F181" s="108" t="s">
        <v>272</v>
      </c>
      <c r="G181" s="108" t="s">
        <v>276</v>
      </c>
      <c r="H181" s="69">
        <v>44127.462500000001</v>
      </c>
      <c r="I181" s="66" t="s">
        <v>48</v>
      </c>
      <c r="J181" s="66">
        <v>10</v>
      </c>
      <c r="K181" s="98">
        <v>3.5</v>
      </c>
      <c r="M181" s="68" t="s">
        <v>52</v>
      </c>
      <c r="N181" s="68" t="s">
        <v>1143</v>
      </c>
      <c r="O181" s="68" t="s">
        <v>1143</v>
      </c>
      <c r="P181" s="237">
        <v>1</v>
      </c>
      <c r="R181" s="103">
        <f t="shared" si="8"/>
        <v>0</v>
      </c>
      <c r="T181" s="103">
        <f t="shared" si="11"/>
        <v>0</v>
      </c>
      <c r="U181" s="68">
        <v>1</v>
      </c>
      <c r="V181" s="103">
        <f t="shared" si="9"/>
        <v>1</v>
      </c>
      <c r="X181" s="324">
        <f t="shared" si="10"/>
        <v>0</v>
      </c>
      <c r="Y181" s="334" t="s">
        <v>272</v>
      </c>
      <c r="Z181" s="334" t="s">
        <v>276</v>
      </c>
      <c r="AA181" s="103" t="s">
        <v>271</v>
      </c>
      <c r="AG181" s="66" t="s">
        <v>54</v>
      </c>
    </row>
    <row r="182" spans="1:33" ht="30" x14ac:dyDescent="0.15">
      <c r="A182" s="66" t="s">
        <v>43</v>
      </c>
      <c r="B182" s="80">
        <v>260</v>
      </c>
      <c r="C182" s="68" t="s">
        <v>44</v>
      </c>
      <c r="D182" s="103" t="s">
        <v>271</v>
      </c>
      <c r="E182" s="237">
        <v>1</v>
      </c>
      <c r="F182" s="66" t="s">
        <v>277</v>
      </c>
      <c r="G182" s="66" t="s">
        <v>278</v>
      </c>
      <c r="H182" s="69">
        <v>44138.734722222223</v>
      </c>
      <c r="I182" s="66" t="s">
        <v>48</v>
      </c>
      <c r="J182" s="66">
        <v>10</v>
      </c>
      <c r="K182" s="98">
        <v>3.5</v>
      </c>
      <c r="M182" s="68" t="s">
        <v>52</v>
      </c>
      <c r="N182" s="68" t="s">
        <v>1143</v>
      </c>
      <c r="O182" s="68" t="s">
        <v>1143</v>
      </c>
      <c r="P182" s="237">
        <v>1</v>
      </c>
      <c r="R182" s="103">
        <f t="shared" si="8"/>
        <v>0</v>
      </c>
      <c r="T182" s="103">
        <f t="shared" si="11"/>
        <v>0</v>
      </c>
      <c r="U182" s="68">
        <v>1</v>
      </c>
      <c r="V182" s="103">
        <f t="shared" si="9"/>
        <v>1</v>
      </c>
      <c r="X182" s="324">
        <f t="shared" si="10"/>
        <v>0</v>
      </c>
      <c r="Y182" s="332" t="s">
        <v>277</v>
      </c>
      <c r="Z182" s="332" t="s">
        <v>278</v>
      </c>
      <c r="AA182" s="103" t="s">
        <v>271</v>
      </c>
      <c r="AG182" s="66" t="s">
        <v>54</v>
      </c>
    </row>
    <row r="183" spans="1:33" ht="60" x14ac:dyDescent="0.15">
      <c r="A183" s="66" t="s">
        <v>43</v>
      </c>
      <c r="B183" s="80">
        <v>260</v>
      </c>
      <c r="C183" s="68" t="s">
        <v>44</v>
      </c>
      <c r="D183" s="103" t="s">
        <v>271</v>
      </c>
      <c r="E183" s="237">
        <v>1</v>
      </c>
      <c r="F183" s="66" t="s">
        <v>277</v>
      </c>
      <c r="G183" s="66" t="s">
        <v>279</v>
      </c>
      <c r="H183" s="69">
        <v>44138.734722222223</v>
      </c>
      <c r="I183" s="66" t="s">
        <v>48</v>
      </c>
      <c r="J183" s="66">
        <v>10</v>
      </c>
      <c r="K183" s="98">
        <v>3.5</v>
      </c>
      <c r="M183" s="68" t="s">
        <v>52</v>
      </c>
      <c r="N183" s="68" t="s">
        <v>1143</v>
      </c>
      <c r="O183" s="68" t="s">
        <v>1143</v>
      </c>
      <c r="P183" s="237">
        <v>1</v>
      </c>
      <c r="R183" s="103">
        <f t="shared" si="8"/>
        <v>0</v>
      </c>
      <c r="T183" s="103">
        <f t="shared" si="11"/>
        <v>0</v>
      </c>
      <c r="U183" s="68">
        <v>1</v>
      </c>
      <c r="V183" s="103">
        <f t="shared" si="9"/>
        <v>1</v>
      </c>
      <c r="X183" s="324">
        <f t="shared" si="10"/>
        <v>0</v>
      </c>
      <c r="Y183" s="332" t="s">
        <v>277</v>
      </c>
      <c r="Z183" s="332" t="s">
        <v>279</v>
      </c>
      <c r="AA183" s="103" t="s">
        <v>271</v>
      </c>
      <c r="AG183" s="66" t="s">
        <v>54</v>
      </c>
    </row>
    <row r="184" spans="1:33" ht="15" x14ac:dyDescent="0.15">
      <c r="A184" s="66" t="s">
        <v>43</v>
      </c>
      <c r="B184" s="80">
        <v>260</v>
      </c>
      <c r="C184" s="68" t="s">
        <v>44</v>
      </c>
      <c r="D184" s="103" t="s">
        <v>271</v>
      </c>
      <c r="E184" s="237">
        <v>1</v>
      </c>
      <c r="F184" s="66" t="s">
        <v>277</v>
      </c>
      <c r="G184" s="66" t="s">
        <v>280</v>
      </c>
      <c r="H184" s="69">
        <v>44138.734722222223</v>
      </c>
      <c r="I184" s="66" t="s">
        <v>48</v>
      </c>
      <c r="J184" s="66">
        <v>10</v>
      </c>
      <c r="K184" s="98">
        <v>3.5</v>
      </c>
      <c r="M184" s="68" t="s">
        <v>52</v>
      </c>
      <c r="N184" s="68" t="s">
        <v>1143</v>
      </c>
      <c r="O184" s="68" t="s">
        <v>1143</v>
      </c>
      <c r="P184" s="237">
        <v>1</v>
      </c>
      <c r="R184" s="103">
        <f t="shared" si="8"/>
        <v>0</v>
      </c>
      <c r="T184" s="103">
        <f t="shared" si="11"/>
        <v>0</v>
      </c>
      <c r="U184" s="68">
        <v>1</v>
      </c>
      <c r="V184" s="103">
        <f t="shared" si="9"/>
        <v>1</v>
      </c>
      <c r="X184" s="324">
        <f t="shared" si="10"/>
        <v>0</v>
      </c>
      <c r="Y184" s="332" t="s">
        <v>277</v>
      </c>
      <c r="Z184" s="332" t="s">
        <v>280</v>
      </c>
      <c r="AA184" s="103" t="s">
        <v>271</v>
      </c>
      <c r="AG184" s="66" t="s">
        <v>92</v>
      </c>
    </row>
    <row r="185" spans="1:33" ht="45" x14ac:dyDescent="0.15">
      <c r="A185" s="66" t="s">
        <v>43</v>
      </c>
      <c r="B185" s="80">
        <v>260</v>
      </c>
      <c r="C185" s="68" t="s">
        <v>44</v>
      </c>
      <c r="D185" s="103" t="s">
        <v>271</v>
      </c>
      <c r="E185" s="237">
        <v>1</v>
      </c>
      <c r="F185" s="66" t="s">
        <v>277</v>
      </c>
      <c r="G185" s="66" t="s">
        <v>281</v>
      </c>
      <c r="H185" s="69">
        <v>44138.734722222223</v>
      </c>
      <c r="I185" s="66" t="s">
        <v>48</v>
      </c>
      <c r="J185" s="66">
        <v>10</v>
      </c>
      <c r="K185" s="98">
        <v>3.5</v>
      </c>
      <c r="M185" s="68" t="s">
        <v>52</v>
      </c>
      <c r="N185" s="68" t="s">
        <v>1143</v>
      </c>
      <c r="O185" s="68" t="s">
        <v>1143</v>
      </c>
      <c r="P185" s="237">
        <v>1</v>
      </c>
      <c r="R185" s="103">
        <f t="shared" si="8"/>
        <v>0</v>
      </c>
      <c r="T185" s="103">
        <f t="shared" si="11"/>
        <v>0</v>
      </c>
      <c r="U185" s="68">
        <v>1</v>
      </c>
      <c r="V185" s="103">
        <f t="shared" si="9"/>
        <v>1</v>
      </c>
      <c r="X185" s="324">
        <f t="shared" si="10"/>
        <v>0</v>
      </c>
      <c r="Y185" s="332" t="s">
        <v>277</v>
      </c>
      <c r="Z185" s="332" t="s">
        <v>281</v>
      </c>
      <c r="AA185" s="103" t="s">
        <v>271</v>
      </c>
      <c r="AG185" s="66" t="s">
        <v>54</v>
      </c>
    </row>
    <row r="186" spans="1:33" ht="15" x14ac:dyDescent="0.15">
      <c r="A186" s="66" t="s">
        <v>43</v>
      </c>
      <c r="B186" s="80">
        <v>260</v>
      </c>
      <c r="C186" s="68" t="s">
        <v>44</v>
      </c>
      <c r="D186" s="103" t="s">
        <v>271</v>
      </c>
      <c r="E186" s="237">
        <v>1</v>
      </c>
      <c r="F186" s="66" t="s">
        <v>277</v>
      </c>
      <c r="G186" s="66" t="s">
        <v>282</v>
      </c>
      <c r="H186" s="69">
        <v>44138.734722222223</v>
      </c>
      <c r="I186" s="66" t="s">
        <v>48</v>
      </c>
      <c r="J186" s="66">
        <v>10</v>
      </c>
      <c r="K186" s="98">
        <v>3.5</v>
      </c>
      <c r="M186" s="68" t="s">
        <v>52</v>
      </c>
      <c r="N186" s="68" t="s">
        <v>1143</v>
      </c>
      <c r="O186" s="68" t="s">
        <v>1143</v>
      </c>
      <c r="P186" s="237">
        <v>1</v>
      </c>
      <c r="R186" s="103">
        <f t="shared" si="8"/>
        <v>0</v>
      </c>
      <c r="T186" s="103">
        <f t="shared" si="11"/>
        <v>0</v>
      </c>
      <c r="U186" s="68">
        <v>1</v>
      </c>
      <c r="V186" s="103">
        <f t="shared" si="9"/>
        <v>1</v>
      </c>
      <c r="X186" s="324">
        <f t="shared" si="10"/>
        <v>0</v>
      </c>
      <c r="Y186" s="332" t="s">
        <v>277</v>
      </c>
      <c r="Z186" s="332" t="s">
        <v>282</v>
      </c>
      <c r="AA186" s="103" t="s">
        <v>271</v>
      </c>
      <c r="AG186" s="66" t="s">
        <v>78</v>
      </c>
    </row>
    <row r="187" spans="1:33" ht="15" x14ac:dyDescent="0.15">
      <c r="A187" s="66" t="s">
        <v>43</v>
      </c>
      <c r="B187" s="80">
        <v>260</v>
      </c>
      <c r="C187" s="68" t="s">
        <v>44</v>
      </c>
      <c r="D187" s="103" t="s">
        <v>271</v>
      </c>
      <c r="E187" s="237">
        <v>1</v>
      </c>
      <c r="F187" s="66" t="s">
        <v>277</v>
      </c>
      <c r="G187" s="66" t="s">
        <v>283</v>
      </c>
      <c r="H187" s="69">
        <v>44138.738194444442</v>
      </c>
      <c r="I187" s="66" t="s">
        <v>48</v>
      </c>
      <c r="J187" s="66">
        <v>10</v>
      </c>
      <c r="K187" s="98">
        <v>3.5</v>
      </c>
      <c r="M187" s="68" t="s">
        <v>52</v>
      </c>
      <c r="N187" s="68" t="s">
        <v>1143</v>
      </c>
      <c r="O187" s="68" t="s">
        <v>1143</v>
      </c>
      <c r="P187" s="237">
        <v>1</v>
      </c>
      <c r="R187" s="103">
        <f t="shared" si="8"/>
        <v>0</v>
      </c>
      <c r="T187" s="103">
        <f t="shared" si="11"/>
        <v>0</v>
      </c>
      <c r="U187" s="68">
        <v>1</v>
      </c>
      <c r="V187" s="103">
        <f t="shared" si="9"/>
        <v>1</v>
      </c>
      <c r="W187" s="325" t="s">
        <v>58</v>
      </c>
      <c r="X187" s="324">
        <f t="shared" si="10"/>
        <v>1</v>
      </c>
      <c r="Y187" s="332" t="s">
        <v>277</v>
      </c>
      <c r="Z187" s="332" t="s">
        <v>283</v>
      </c>
      <c r="AA187" s="103" t="s">
        <v>271</v>
      </c>
      <c r="AG187" s="66" t="s">
        <v>63</v>
      </c>
    </row>
    <row r="188" spans="1:33" ht="30" x14ac:dyDescent="0.15">
      <c r="A188" s="66" t="s">
        <v>43</v>
      </c>
      <c r="B188" s="80">
        <v>260</v>
      </c>
      <c r="C188" s="68" t="s">
        <v>44</v>
      </c>
      <c r="D188" s="103" t="s">
        <v>271</v>
      </c>
      <c r="E188" s="237">
        <v>1</v>
      </c>
      <c r="F188" s="66" t="s">
        <v>277</v>
      </c>
      <c r="G188" s="66" t="s">
        <v>284</v>
      </c>
      <c r="H188" s="69">
        <v>44138.738194444442</v>
      </c>
      <c r="I188" s="66" t="s">
        <v>48</v>
      </c>
      <c r="J188" s="66">
        <v>10</v>
      </c>
      <c r="K188" s="98">
        <v>3.5</v>
      </c>
      <c r="M188" s="68" t="s">
        <v>52</v>
      </c>
      <c r="N188" s="68" t="s">
        <v>1143</v>
      </c>
      <c r="O188" s="68" t="s">
        <v>1143</v>
      </c>
      <c r="P188" s="237">
        <v>1</v>
      </c>
      <c r="R188" s="103">
        <f t="shared" si="8"/>
        <v>0</v>
      </c>
      <c r="T188" s="103">
        <f t="shared" si="11"/>
        <v>0</v>
      </c>
      <c r="U188" s="68">
        <v>1</v>
      </c>
      <c r="V188" s="103">
        <f t="shared" si="9"/>
        <v>1</v>
      </c>
      <c r="W188" s="325" t="s">
        <v>58</v>
      </c>
      <c r="X188" s="324">
        <f t="shared" si="10"/>
        <v>1</v>
      </c>
      <c r="Y188" s="332" t="s">
        <v>277</v>
      </c>
      <c r="Z188" s="332" t="s">
        <v>284</v>
      </c>
      <c r="AA188" s="103" t="s">
        <v>271</v>
      </c>
      <c r="AG188" s="66" t="s">
        <v>54</v>
      </c>
    </row>
    <row r="189" spans="1:33" ht="45" x14ac:dyDescent="0.15">
      <c r="A189" s="66" t="s">
        <v>43</v>
      </c>
      <c r="B189" s="80">
        <v>260</v>
      </c>
      <c r="C189" s="68" t="s">
        <v>44</v>
      </c>
      <c r="D189" s="103" t="s">
        <v>271</v>
      </c>
      <c r="E189" s="237">
        <v>1</v>
      </c>
      <c r="F189" s="66" t="s">
        <v>277</v>
      </c>
      <c r="G189" s="66" t="s">
        <v>285</v>
      </c>
      <c r="H189" s="69">
        <v>44138.738194444442</v>
      </c>
      <c r="I189" s="66" t="s">
        <v>48</v>
      </c>
      <c r="J189" s="66">
        <v>10</v>
      </c>
      <c r="K189" s="98">
        <v>3.5</v>
      </c>
      <c r="M189" s="68" t="s">
        <v>52</v>
      </c>
      <c r="N189" s="68" t="s">
        <v>1143</v>
      </c>
      <c r="O189" s="68" t="s">
        <v>1143</v>
      </c>
      <c r="P189" s="237">
        <v>1</v>
      </c>
      <c r="R189" s="103">
        <f t="shared" si="8"/>
        <v>0</v>
      </c>
      <c r="T189" s="103">
        <f t="shared" si="11"/>
        <v>0</v>
      </c>
      <c r="U189" s="68">
        <v>1</v>
      </c>
      <c r="V189" s="103">
        <f t="shared" si="9"/>
        <v>1</v>
      </c>
      <c r="W189" s="325" t="s">
        <v>305</v>
      </c>
      <c r="X189" s="324">
        <f t="shared" si="10"/>
        <v>1</v>
      </c>
      <c r="Y189" s="332" t="s">
        <v>277</v>
      </c>
      <c r="Z189" s="332" t="s">
        <v>285</v>
      </c>
      <c r="AA189" s="103" t="s">
        <v>271</v>
      </c>
      <c r="AG189" s="66" t="s">
        <v>54</v>
      </c>
    </row>
    <row r="190" spans="1:33" ht="45" x14ac:dyDescent="0.15">
      <c r="A190" s="66" t="s">
        <v>43</v>
      </c>
      <c r="B190" s="80">
        <v>260</v>
      </c>
      <c r="C190" s="68" t="s">
        <v>44</v>
      </c>
      <c r="D190" s="103" t="s">
        <v>271</v>
      </c>
      <c r="E190" s="237">
        <v>1</v>
      </c>
      <c r="F190" s="66" t="s">
        <v>277</v>
      </c>
      <c r="G190" s="66" t="s">
        <v>286</v>
      </c>
      <c r="H190" s="69">
        <v>44138.738194444442</v>
      </c>
      <c r="I190" s="66" t="s">
        <v>48</v>
      </c>
      <c r="J190" s="66">
        <v>10</v>
      </c>
      <c r="K190" s="98">
        <v>3.5</v>
      </c>
      <c r="M190" s="68" t="s">
        <v>52</v>
      </c>
      <c r="N190" s="68" t="s">
        <v>1143</v>
      </c>
      <c r="O190" s="68" t="s">
        <v>1143</v>
      </c>
      <c r="P190" s="237">
        <v>1</v>
      </c>
      <c r="R190" s="103">
        <f t="shared" si="8"/>
        <v>0</v>
      </c>
      <c r="T190" s="103">
        <f t="shared" si="11"/>
        <v>0</v>
      </c>
      <c r="U190" s="68">
        <v>1</v>
      </c>
      <c r="V190" s="103">
        <f t="shared" si="9"/>
        <v>1</v>
      </c>
      <c r="W190" s="325" t="s">
        <v>305</v>
      </c>
      <c r="X190" s="324">
        <f t="shared" si="10"/>
        <v>1</v>
      </c>
      <c r="Y190" s="332" t="s">
        <v>277</v>
      </c>
      <c r="Z190" s="332" t="s">
        <v>286</v>
      </c>
      <c r="AA190" s="103" t="s">
        <v>271</v>
      </c>
      <c r="AG190" s="66" t="s">
        <v>54</v>
      </c>
    </row>
    <row r="191" spans="1:33" ht="15" x14ac:dyDescent="0.15">
      <c r="A191" s="66" t="s">
        <v>43</v>
      </c>
      <c r="B191" s="80">
        <v>260</v>
      </c>
      <c r="C191" s="68" t="s">
        <v>44</v>
      </c>
      <c r="D191" s="103" t="s">
        <v>271</v>
      </c>
      <c r="E191" s="237">
        <v>1</v>
      </c>
      <c r="F191" s="66" t="s">
        <v>277</v>
      </c>
      <c r="G191" s="66" t="s">
        <v>287</v>
      </c>
      <c r="H191" s="69">
        <v>44138.738194444442</v>
      </c>
      <c r="I191" s="66" t="s">
        <v>48</v>
      </c>
      <c r="J191" s="66">
        <v>10</v>
      </c>
      <c r="K191" s="98">
        <v>3.5</v>
      </c>
      <c r="M191" s="68" t="s">
        <v>52</v>
      </c>
      <c r="N191" s="68" t="s">
        <v>1143</v>
      </c>
      <c r="O191" s="68" t="s">
        <v>1143</v>
      </c>
      <c r="P191" s="237">
        <v>1</v>
      </c>
      <c r="R191" s="103">
        <f t="shared" si="8"/>
        <v>0</v>
      </c>
      <c r="T191" s="103">
        <f t="shared" si="11"/>
        <v>0</v>
      </c>
      <c r="U191" s="68">
        <v>1</v>
      </c>
      <c r="V191" s="103">
        <f t="shared" si="9"/>
        <v>1</v>
      </c>
      <c r="W191" s="325" t="s">
        <v>58</v>
      </c>
      <c r="X191" s="324">
        <f t="shared" si="10"/>
        <v>1</v>
      </c>
      <c r="Y191" s="332" t="s">
        <v>277</v>
      </c>
      <c r="Z191" s="332" t="s">
        <v>287</v>
      </c>
      <c r="AA191" s="103" t="s">
        <v>271</v>
      </c>
      <c r="AG191" s="66" t="s">
        <v>63</v>
      </c>
    </row>
    <row r="192" spans="1:33" ht="15" x14ac:dyDescent="0.15">
      <c r="A192" s="66" t="s">
        <v>43</v>
      </c>
      <c r="B192" s="80">
        <v>260</v>
      </c>
      <c r="C192" s="68" t="s">
        <v>44</v>
      </c>
      <c r="D192" s="103" t="s">
        <v>271</v>
      </c>
      <c r="E192" s="237">
        <v>1</v>
      </c>
      <c r="F192" s="66" t="s">
        <v>277</v>
      </c>
      <c r="G192" s="66" t="s">
        <v>288</v>
      </c>
      <c r="H192" s="69">
        <v>44138.738194444442</v>
      </c>
      <c r="I192" s="66" t="s">
        <v>48</v>
      </c>
      <c r="J192" s="66">
        <v>10</v>
      </c>
      <c r="K192" s="98">
        <v>3.5</v>
      </c>
      <c r="M192" s="68" t="s">
        <v>52</v>
      </c>
      <c r="N192" s="68" t="s">
        <v>1143</v>
      </c>
      <c r="O192" s="68" t="s">
        <v>1143</v>
      </c>
      <c r="P192" s="237">
        <v>1</v>
      </c>
      <c r="R192" s="103">
        <f t="shared" si="8"/>
        <v>0</v>
      </c>
      <c r="T192" s="103">
        <f t="shared" si="11"/>
        <v>0</v>
      </c>
      <c r="U192" s="68">
        <v>1</v>
      </c>
      <c r="V192" s="103">
        <f t="shared" si="9"/>
        <v>1</v>
      </c>
      <c r="W192" s="325" t="s">
        <v>305</v>
      </c>
      <c r="X192" s="324">
        <f t="shared" si="10"/>
        <v>1</v>
      </c>
      <c r="Y192" s="332" t="s">
        <v>277</v>
      </c>
      <c r="Z192" s="332" t="s">
        <v>288</v>
      </c>
      <c r="AA192" s="103" t="s">
        <v>271</v>
      </c>
      <c r="AG192" s="66" t="s">
        <v>92</v>
      </c>
    </row>
    <row r="193" spans="1:33" ht="15" x14ac:dyDescent="0.15">
      <c r="A193" s="66" t="s">
        <v>43</v>
      </c>
      <c r="B193" s="80">
        <v>260</v>
      </c>
      <c r="C193" s="68" t="s">
        <v>44</v>
      </c>
      <c r="D193" s="103" t="s">
        <v>271</v>
      </c>
      <c r="E193" s="237">
        <v>1</v>
      </c>
      <c r="F193" s="108" t="s">
        <v>272</v>
      </c>
      <c r="G193" s="108" t="s">
        <v>289</v>
      </c>
      <c r="H193" s="69">
        <v>44140.393750000003</v>
      </c>
      <c r="I193" s="66" t="s">
        <v>48</v>
      </c>
      <c r="J193" s="66">
        <v>9</v>
      </c>
      <c r="K193" s="98">
        <v>3.5</v>
      </c>
      <c r="M193" s="68" t="s">
        <v>49</v>
      </c>
      <c r="N193" s="68" t="s">
        <v>49</v>
      </c>
      <c r="O193" s="68" t="s">
        <v>1163</v>
      </c>
      <c r="P193" s="237">
        <v>1</v>
      </c>
      <c r="R193" s="103">
        <f t="shared" si="8"/>
        <v>0</v>
      </c>
      <c r="T193" s="103">
        <f t="shared" si="11"/>
        <v>0</v>
      </c>
      <c r="U193" s="68">
        <v>1</v>
      </c>
      <c r="V193" s="103">
        <f t="shared" si="9"/>
        <v>1</v>
      </c>
      <c r="W193" s="325" t="s">
        <v>637</v>
      </c>
      <c r="X193" s="324">
        <f t="shared" si="10"/>
        <v>1</v>
      </c>
      <c r="Y193" s="334" t="s">
        <v>272</v>
      </c>
      <c r="Z193" s="334" t="s">
        <v>289</v>
      </c>
      <c r="AA193" s="103" t="s">
        <v>271</v>
      </c>
      <c r="AE193" s="68" t="s">
        <v>1147</v>
      </c>
      <c r="AG193" s="66" t="s">
        <v>50</v>
      </c>
    </row>
    <row r="194" spans="1:33" ht="45" x14ac:dyDescent="0.15">
      <c r="A194" s="66" t="s">
        <v>43</v>
      </c>
      <c r="B194" s="80">
        <v>260</v>
      </c>
      <c r="C194" s="68" t="s">
        <v>44</v>
      </c>
      <c r="D194" s="103" t="s">
        <v>271</v>
      </c>
      <c r="E194" s="237">
        <v>1</v>
      </c>
      <c r="F194" s="108" t="s">
        <v>272</v>
      </c>
      <c r="G194" s="108" t="s">
        <v>290</v>
      </c>
      <c r="H194" s="69">
        <v>44140.393750000003</v>
      </c>
      <c r="I194" s="66" t="s">
        <v>48</v>
      </c>
      <c r="J194" s="66">
        <v>9</v>
      </c>
      <c r="K194" s="98">
        <v>3.5</v>
      </c>
      <c r="M194" s="68" t="s">
        <v>52</v>
      </c>
      <c r="N194" s="68" t="s">
        <v>1143</v>
      </c>
      <c r="O194" s="68" t="s">
        <v>1143</v>
      </c>
      <c r="P194" s="237">
        <v>1</v>
      </c>
      <c r="R194" s="103">
        <f t="shared" si="8"/>
        <v>0</v>
      </c>
      <c r="T194" s="103">
        <f t="shared" si="11"/>
        <v>0</v>
      </c>
      <c r="U194" s="68">
        <v>1</v>
      </c>
      <c r="V194" s="103">
        <f t="shared" si="9"/>
        <v>1</v>
      </c>
      <c r="X194" s="324">
        <f t="shared" si="10"/>
        <v>0</v>
      </c>
      <c r="Y194" s="334" t="s">
        <v>272</v>
      </c>
      <c r="Z194" s="334" t="s">
        <v>290</v>
      </c>
      <c r="AA194" s="103" t="s">
        <v>271</v>
      </c>
      <c r="AG194" s="66" t="s">
        <v>54</v>
      </c>
    </row>
    <row r="195" spans="1:33" s="64" customFormat="1" ht="61" thickBot="1" x14ac:dyDescent="0.2">
      <c r="A195" s="71" t="s">
        <v>43</v>
      </c>
      <c r="B195" s="81">
        <v>260</v>
      </c>
      <c r="C195" s="72" t="s">
        <v>44</v>
      </c>
      <c r="D195" s="113" t="s">
        <v>271</v>
      </c>
      <c r="E195" s="237">
        <v>1</v>
      </c>
      <c r="F195" s="114" t="s">
        <v>272</v>
      </c>
      <c r="G195" s="114" t="s">
        <v>291</v>
      </c>
      <c r="H195" s="73">
        <v>44140.393750000003</v>
      </c>
      <c r="I195" s="71" t="s">
        <v>48</v>
      </c>
      <c r="J195" s="71">
        <v>9</v>
      </c>
      <c r="K195" s="98">
        <v>3.5</v>
      </c>
      <c r="L195" s="72"/>
      <c r="M195" s="68" t="s">
        <v>52</v>
      </c>
      <c r="N195" s="68" t="s">
        <v>1143</v>
      </c>
      <c r="O195" s="68" t="s">
        <v>1143</v>
      </c>
      <c r="P195" s="237">
        <v>1</v>
      </c>
      <c r="Q195" s="72"/>
      <c r="R195" s="103">
        <f t="shared" ref="R195:R258" si="12">IF(Q195&lt;&gt;"",1,0)</f>
        <v>0</v>
      </c>
      <c r="S195" s="72"/>
      <c r="T195" s="103">
        <f t="shared" si="11"/>
        <v>0</v>
      </c>
      <c r="U195" s="72">
        <v>1</v>
      </c>
      <c r="V195" s="103">
        <f t="shared" ref="V195:V258" si="13">IF(U195&lt;&gt;"",1,0)</f>
        <v>1</v>
      </c>
      <c r="W195" s="325"/>
      <c r="X195" s="324">
        <f t="shared" ref="X195:X258" si="14">IF(W195&lt;&gt;"",1,0)</f>
        <v>0</v>
      </c>
      <c r="Y195" s="334" t="s">
        <v>272</v>
      </c>
      <c r="Z195" s="334" t="s">
        <v>291</v>
      </c>
      <c r="AA195" s="113" t="s">
        <v>271</v>
      </c>
      <c r="AB195" s="72"/>
      <c r="AC195" s="68"/>
      <c r="AD195" s="72"/>
      <c r="AE195" s="72"/>
      <c r="AF195" s="72"/>
      <c r="AG195" s="71" t="s">
        <v>54</v>
      </c>
    </row>
    <row r="196" spans="1:33" s="15" customFormat="1" ht="76" thickTop="1" x14ac:dyDescent="0.15">
      <c r="A196" s="237" t="s">
        <v>292</v>
      </c>
      <c r="B196" s="238">
        <v>260</v>
      </c>
      <c r="C196" s="237" t="s">
        <v>44</v>
      </c>
      <c r="D196" s="237" t="s">
        <v>45</v>
      </c>
      <c r="E196" s="237">
        <v>1</v>
      </c>
      <c r="F196" s="237" t="s">
        <v>293</v>
      </c>
      <c r="G196" s="239" t="s">
        <v>294</v>
      </c>
      <c r="H196" s="240">
        <v>44244.478344907409</v>
      </c>
      <c r="I196" s="237" t="s">
        <v>48</v>
      </c>
      <c r="J196" s="237">
        <v>10</v>
      </c>
      <c r="K196" s="100">
        <v>1.1000000000000001</v>
      </c>
      <c r="L196" s="27" t="s">
        <v>52</v>
      </c>
      <c r="M196" s="241" t="s">
        <v>52</v>
      </c>
      <c r="N196" s="241" t="s">
        <v>1143</v>
      </c>
      <c r="O196" s="241" t="s">
        <v>1143</v>
      </c>
      <c r="P196" s="237">
        <v>1</v>
      </c>
      <c r="Q196" s="84" t="s">
        <v>295</v>
      </c>
      <c r="R196" s="103">
        <f t="shared" si="12"/>
        <v>1</v>
      </c>
      <c r="S196" s="82"/>
      <c r="T196" s="103">
        <f t="shared" ref="T196:T259" si="15">IF(S195&lt;&gt;"",1,0)</f>
        <v>0</v>
      </c>
      <c r="U196" s="242">
        <v>1</v>
      </c>
      <c r="V196" s="103">
        <f t="shared" si="13"/>
        <v>1</v>
      </c>
      <c r="W196" s="241"/>
      <c r="X196" s="324">
        <f t="shared" si="14"/>
        <v>0</v>
      </c>
      <c r="Y196" s="235" t="s">
        <v>293</v>
      </c>
      <c r="Z196" s="340" t="s">
        <v>294</v>
      </c>
      <c r="AA196" s="237" t="s">
        <v>45</v>
      </c>
      <c r="AB196" s="83"/>
      <c r="AC196" s="242"/>
      <c r="AD196" s="27"/>
      <c r="AE196" s="243"/>
      <c r="AF196" s="79"/>
      <c r="AG196" s="237"/>
    </row>
    <row r="197" spans="1:33" s="15" customFormat="1" ht="60" x14ac:dyDescent="0.15">
      <c r="A197" s="237" t="s">
        <v>292</v>
      </c>
      <c r="B197" s="238">
        <v>260</v>
      </c>
      <c r="C197" s="237" t="s">
        <v>44</v>
      </c>
      <c r="D197" s="237" t="s">
        <v>45</v>
      </c>
      <c r="E197" s="237">
        <v>1</v>
      </c>
      <c r="F197" s="237" t="s">
        <v>293</v>
      </c>
      <c r="G197" s="239" t="s">
        <v>296</v>
      </c>
      <c r="H197" s="240">
        <v>44244.479386574072</v>
      </c>
      <c r="I197" s="237" t="s">
        <v>48</v>
      </c>
      <c r="J197" s="237">
        <v>10</v>
      </c>
      <c r="K197" s="100">
        <v>1.1000000000000001</v>
      </c>
      <c r="L197" s="27" t="s">
        <v>52</v>
      </c>
      <c r="M197" s="241" t="s">
        <v>52</v>
      </c>
      <c r="N197" s="241" t="s">
        <v>1143</v>
      </c>
      <c r="O197" s="241" t="s">
        <v>1143</v>
      </c>
      <c r="P197" s="237">
        <v>1</v>
      </c>
      <c r="Q197" s="84" t="s">
        <v>102</v>
      </c>
      <c r="R197" s="103">
        <f t="shared" si="12"/>
        <v>1</v>
      </c>
      <c r="S197" s="82"/>
      <c r="T197" s="103">
        <f t="shared" si="15"/>
        <v>0</v>
      </c>
      <c r="U197" s="242">
        <v>1</v>
      </c>
      <c r="V197" s="103">
        <f t="shared" si="13"/>
        <v>1</v>
      </c>
      <c r="W197" s="241"/>
      <c r="X197" s="324">
        <f t="shared" si="14"/>
        <v>0</v>
      </c>
      <c r="Y197" s="235" t="s">
        <v>293</v>
      </c>
      <c r="Z197" s="340" t="s">
        <v>296</v>
      </c>
      <c r="AA197" s="237" t="s">
        <v>45</v>
      </c>
      <c r="AB197" s="83"/>
      <c r="AC197" s="242"/>
      <c r="AD197" s="27"/>
      <c r="AE197" s="243"/>
      <c r="AF197" s="79"/>
      <c r="AG197" s="237"/>
    </row>
    <row r="198" spans="1:33" s="15" customFormat="1" ht="60" x14ac:dyDescent="0.15">
      <c r="A198" s="237" t="s">
        <v>292</v>
      </c>
      <c r="B198" s="238">
        <v>260</v>
      </c>
      <c r="C198" s="237" t="s">
        <v>44</v>
      </c>
      <c r="D198" s="237" t="s">
        <v>45</v>
      </c>
      <c r="E198" s="237">
        <v>1</v>
      </c>
      <c r="F198" s="237" t="s">
        <v>297</v>
      </c>
      <c r="G198" s="239" t="s">
        <v>298</v>
      </c>
      <c r="H198" s="240">
        <v>44244.703599537039</v>
      </c>
      <c r="I198" s="237" t="s">
        <v>48</v>
      </c>
      <c r="J198" s="237">
        <v>10</v>
      </c>
      <c r="K198" s="100">
        <v>1.1000000000000001</v>
      </c>
      <c r="L198" s="27" t="s">
        <v>52</v>
      </c>
      <c r="M198" s="241" t="s">
        <v>52</v>
      </c>
      <c r="N198" s="241" t="s">
        <v>1143</v>
      </c>
      <c r="O198" s="241" t="s">
        <v>1143</v>
      </c>
      <c r="P198" s="237">
        <v>1</v>
      </c>
      <c r="Q198" s="84" t="s">
        <v>102</v>
      </c>
      <c r="R198" s="103">
        <f t="shared" si="12"/>
        <v>1</v>
      </c>
      <c r="S198" s="82"/>
      <c r="T198" s="103">
        <f t="shared" si="15"/>
        <v>0</v>
      </c>
      <c r="U198" s="242">
        <v>1</v>
      </c>
      <c r="V198" s="103">
        <f t="shared" si="13"/>
        <v>1</v>
      </c>
      <c r="W198" s="241"/>
      <c r="X198" s="324">
        <f t="shared" si="14"/>
        <v>0</v>
      </c>
      <c r="Y198" s="235" t="s">
        <v>297</v>
      </c>
      <c r="Z198" s="340" t="s">
        <v>298</v>
      </c>
      <c r="AA198" s="237" t="s">
        <v>45</v>
      </c>
      <c r="AB198" s="83"/>
      <c r="AC198" s="242"/>
      <c r="AD198" s="27"/>
      <c r="AE198" s="243"/>
      <c r="AF198" s="79"/>
      <c r="AG198" s="237"/>
    </row>
    <row r="199" spans="1:33" s="15" customFormat="1" ht="60" x14ac:dyDescent="0.15">
      <c r="A199" s="237" t="s">
        <v>292</v>
      </c>
      <c r="B199" s="238">
        <v>260</v>
      </c>
      <c r="C199" s="237" t="s">
        <v>44</v>
      </c>
      <c r="D199" s="237" t="s">
        <v>45</v>
      </c>
      <c r="E199" s="237">
        <v>1</v>
      </c>
      <c r="F199" s="237" t="s">
        <v>297</v>
      </c>
      <c r="G199" s="239" t="s">
        <v>299</v>
      </c>
      <c r="H199" s="240">
        <v>44244.704594907409</v>
      </c>
      <c r="I199" s="237" t="s">
        <v>48</v>
      </c>
      <c r="J199" s="237">
        <v>10</v>
      </c>
      <c r="K199" s="100">
        <v>1.1000000000000001</v>
      </c>
      <c r="L199" s="27" t="s">
        <v>52</v>
      </c>
      <c r="M199" s="241" t="s">
        <v>52</v>
      </c>
      <c r="N199" s="241" t="s">
        <v>1143</v>
      </c>
      <c r="O199" s="241" t="s">
        <v>1143</v>
      </c>
      <c r="P199" s="237">
        <v>1</v>
      </c>
      <c r="Q199" s="84" t="s">
        <v>102</v>
      </c>
      <c r="R199" s="103">
        <f t="shared" si="12"/>
        <v>1</v>
      </c>
      <c r="S199" s="82"/>
      <c r="T199" s="103">
        <f t="shared" si="15"/>
        <v>0</v>
      </c>
      <c r="U199" s="242">
        <v>1</v>
      </c>
      <c r="V199" s="103">
        <f t="shared" si="13"/>
        <v>1</v>
      </c>
      <c r="W199" s="241" t="s">
        <v>58</v>
      </c>
      <c r="X199" s="324">
        <f t="shared" si="14"/>
        <v>1</v>
      </c>
      <c r="Y199" s="235" t="s">
        <v>297</v>
      </c>
      <c r="Z199" s="340" t="s">
        <v>299</v>
      </c>
      <c r="AA199" s="237" t="s">
        <v>45</v>
      </c>
      <c r="AB199" s="83"/>
      <c r="AC199" s="242"/>
      <c r="AD199" s="27"/>
      <c r="AE199" s="243"/>
      <c r="AF199" s="79"/>
      <c r="AG199" s="237"/>
    </row>
    <row r="200" spans="1:33" s="15" customFormat="1" ht="45" x14ac:dyDescent="0.15">
      <c r="A200" s="237" t="s">
        <v>292</v>
      </c>
      <c r="B200" s="238">
        <v>260</v>
      </c>
      <c r="C200" s="237" t="s">
        <v>44</v>
      </c>
      <c r="D200" s="237" t="s">
        <v>45</v>
      </c>
      <c r="E200" s="237">
        <v>1</v>
      </c>
      <c r="F200" s="237" t="s">
        <v>300</v>
      </c>
      <c r="G200" s="239" t="s">
        <v>301</v>
      </c>
      <c r="H200" s="240">
        <v>44248.426134259258</v>
      </c>
      <c r="I200" s="237" t="s">
        <v>48</v>
      </c>
      <c r="J200" s="237">
        <v>9</v>
      </c>
      <c r="K200" s="100">
        <v>1.1000000000000001</v>
      </c>
      <c r="L200" s="27" t="s">
        <v>52</v>
      </c>
      <c r="M200" s="241" t="s">
        <v>52</v>
      </c>
      <c r="N200" s="241" t="s">
        <v>1143</v>
      </c>
      <c r="O200" s="241" t="s">
        <v>1143</v>
      </c>
      <c r="P200" s="237">
        <v>1</v>
      </c>
      <c r="Q200" s="84" t="s">
        <v>102</v>
      </c>
      <c r="R200" s="103">
        <f t="shared" si="12"/>
        <v>1</v>
      </c>
      <c r="S200" s="82" t="s">
        <v>302</v>
      </c>
      <c r="T200" s="103">
        <f t="shared" si="15"/>
        <v>0</v>
      </c>
      <c r="U200" s="242">
        <v>1</v>
      </c>
      <c r="V200" s="103">
        <f t="shared" si="13"/>
        <v>1</v>
      </c>
      <c r="W200" s="241" t="s">
        <v>302</v>
      </c>
      <c r="X200" s="324">
        <f t="shared" si="14"/>
        <v>1</v>
      </c>
      <c r="Y200" s="235" t="s">
        <v>300</v>
      </c>
      <c r="Z200" s="340" t="s">
        <v>301</v>
      </c>
      <c r="AA200" s="237" t="s">
        <v>45</v>
      </c>
      <c r="AB200" s="83"/>
      <c r="AC200" s="242"/>
      <c r="AD200" s="27"/>
      <c r="AE200" s="243"/>
      <c r="AF200" s="79"/>
      <c r="AG200" s="237"/>
    </row>
    <row r="201" spans="1:33" s="15" customFormat="1" ht="30" x14ac:dyDescent="0.15">
      <c r="A201" s="237" t="s">
        <v>292</v>
      </c>
      <c r="B201" s="238">
        <v>260</v>
      </c>
      <c r="C201" s="237" t="s">
        <v>44</v>
      </c>
      <c r="D201" s="237" t="s">
        <v>45</v>
      </c>
      <c r="E201" s="237">
        <v>1</v>
      </c>
      <c r="F201" s="237" t="s">
        <v>300</v>
      </c>
      <c r="G201" s="239" t="s">
        <v>303</v>
      </c>
      <c r="H201" s="240">
        <v>44248.427268518521</v>
      </c>
      <c r="I201" s="237" t="s">
        <v>48</v>
      </c>
      <c r="J201" s="237">
        <v>9</v>
      </c>
      <c r="K201" s="100">
        <v>1.1000000000000001</v>
      </c>
      <c r="L201" s="27" t="s">
        <v>52</v>
      </c>
      <c r="M201" s="241" t="s">
        <v>52</v>
      </c>
      <c r="N201" s="241" t="s">
        <v>1143</v>
      </c>
      <c r="O201" s="241" t="s">
        <v>1143</v>
      </c>
      <c r="P201" s="237">
        <v>1</v>
      </c>
      <c r="Q201" s="84" t="s">
        <v>102</v>
      </c>
      <c r="R201" s="103">
        <f t="shared" si="12"/>
        <v>1</v>
      </c>
      <c r="S201" s="82" t="s">
        <v>58</v>
      </c>
      <c r="T201" s="103">
        <f t="shared" si="15"/>
        <v>1</v>
      </c>
      <c r="U201" s="242">
        <v>1</v>
      </c>
      <c r="V201" s="103">
        <f t="shared" si="13"/>
        <v>1</v>
      </c>
      <c r="W201" s="241" t="s">
        <v>58</v>
      </c>
      <c r="X201" s="324">
        <f t="shared" si="14"/>
        <v>1</v>
      </c>
      <c r="Y201" s="235" t="s">
        <v>300</v>
      </c>
      <c r="Z201" s="340" t="s">
        <v>303</v>
      </c>
      <c r="AA201" s="237" t="s">
        <v>45</v>
      </c>
      <c r="AB201" s="83"/>
      <c r="AC201" s="242"/>
      <c r="AD201" s="27"/>
      <c r="AE201" s="243"/>
      <c r="AF201" s="79"/>
      <c r="AG201" s="237"/>
    </row>
    <row r="202" spans="1:33" s="15" customFormat="1" ht="75" x14ac:dyDescent="0.15">
      <c r="A202" s="237" t="s">
        <v>292</v>
      </c>
      <c r="B202" s="238">
        <v>260</v>
      </c>
      <c r="C202" s="237" t="s">
        <v>44</v>
      </c>
      <c r="D202" s="237" t="s">
        <v>45</v>
      </c>
      <c r="E202" s="237">
        <v>1</v>
      </c>
      <c r="F202" s="237" t="s">
        <v>293</v>
      </c>
      <c r="G202" s="239" t="s">
        <v>304</v>
      </c>
      <c r="H202" s="240">
        <v>44249.264398148145</v>
      </c>
      <c r="I202" s="237" t="s">
        <v>48</v>
      </c>
      <c r="J202" s="237">
        <v>10</v>
      </c>
      <c r="K202" s="100">
        <v>1.1000000000000001</v>
      </c>
      <c r="L202" s="27" t="s">
        <v>52</v>
      </c>
      <c r="M202" s="241" t="s">
        <v>52</v>
      </c>
      <c r="N202" s="241" t="s">
        <v>1143</v>
      </c>
      <c r="O202" s="241" t="s">
        <v>1143</v>
      </c>
      <c r="P202" s="237">
        <v>1</v>
      </c>
      <c r="Q202" s="84" t="s">
        <v>102</v>
      </c>
      <c r="R202" s="103">
        <f t="shared" si="12"/>
        <v>1</v>
      </c>
      <c r="S202" s="82" t="s">
        <v>305</v>
      </c>
      <c r="T202" s="103">
        <f t="shared" si="15"/>
        <v>1</v>
      </c>
      <c r="U202" s="242">
        <v>1</v>
      </c>
      <c r="V202" s="103">
        <f t="shared" si="13"/>
        <v>1</v>
      </c>
      <c r="W202" s="241" t="s">
        <v>305</v>
      </c>
      <c r="X202" s="324">
        <f t="shared" si="14"/>
        <v>1</v>
      </c>
      <c r="Y202" s="235" t="s">
        <v>293</v>
      </c>
      <c r="Z202" s="340" t="s">
        <v>304</v>
      </c>
      <c r="AA202" s="237" t="s">
        <v>45</v>
      </c>
      <c r="AB202" s="83"/>
      <c r="AC202" s="242"/>
      <c r="AD202" s="27"/>
      <c r="AE202" s="243"/>
      <c r="AF202" s="79"/>
      <c r="AG202" s="237"/>
    </row>
    <row r="203" spans="1:33" s="15" customFormat="1" ht="45" x14ac:dyDescent="0.15">
      <c r="A203" s="237" t="s">
        <v>292</v>
      </c>
      <c r="B203" s="238">
        <v>260</v>
      </c>
      <c r="C203" s="237" t="s">
        <v>44</v>
      </c>
      <c r="D203" s="237" t="s">
        <v>45</v>
      </c>
      <c r="E203" s="237">
        <v>1</v>
      </c>
      <c r="F203" s="237" t="s">
        <v>300</v>
      </c>
      <c r="G203" s="239" t="s">
        <v>306</v>
      </c>
      <c r="H203" s="240">
        <v>44250.314074074071</v>
      </c>
      <c r="I203" s="237" t="s">
        <v>48</v>
      </c>
      <c r="J203" s="237">
        <v>10</v>
      </c>
      <c r="K203" s="100">
        <v>1.1000000000000001</v>
      </c>
      <c r="L203" s="27" t="s">
        <v>52</v>
      </c>
      <c r="M203" s="241" t="s">
        <v>52</v>
      </c>
      <c r="N203" s="241" t="s">
        <v>1143</v>
      </c>
      <c r="O203" s="241" t="s">
        <v>1143</v>
      </c>
      <c r="P203" s="237">
        <v>1</v>
      </c>
      <c r="Q203" s="84" t="s">
        <v>102</v>
      </c>
      <c r="R203" s="103">
        <f t="shared" si="12"/>
        <v>1</v>
      </c>
      <c r="S203" s="82" t="s">
        <v>58</v>
      </c>
      <c r="T203" s="103">
        <f t="shared" si="15"/>
        <v>1</v>
      </c>
      <c r="U203" s="242">
        <v>1</v>
      </c>
      <c r="V203" s="103">
        <f t="shared" si="13"/>
        <v>1</v>
      </c>
      <c r="W203" s="241" t="s">
        <v>58</v>
      </c>
      <c r="X203" s="324">
        <f t="shared" si="14"/>
        <v>1</v>
      </c>
      <c r="Y203" s="235" t="s">
        <v>300</v>
      </c>
      <c r="Z203" s="340" t="s">
        <v>306</v>
      </c>
      <c r="AA203" s="237" t="s">
        <v>45</v>
      </c>
      <c r="AB203" s="83"/>
      <c r="AC203" s="242"/>
      <c r="AD203" s="27"/>
      <c r="AE203" s="243"/>
      <c r="AF203" s="79"/>
      <c r="AG203" s="237"/>
    </row>
    <row r="204" spans="1:33" s="15" customFormat="1" ht="60" x14ac:dyDescent="0.15">
      <c r="A204" s="237" t="s">
        <v>292</v>
      </c>
      <c r="B204" s="238">
        <v>260</v>
      </c>
      <c r="C204" s="237" t="s">
        <v>44</v>
      </c>
      <c r="D204" s="237" t="s">
        <v>45</v>
      </c>
      <c r="E204" s="237">
        <v>1</v>
      </c>
      <c r="F204" s="237" t="s">
        <v>297</v>
      </c>
      <c r="G204" s="239" t="s">
        <v>307</v>
      </c>
      <c r="H204" s="240">
        <v>44250.738530092596</v>
      </c>
      <c r="I204" s="237" t="s">
        <v>48</v>
      </c>
      <c r="J204" s="237">
        <v>10</v>
      </c>
      <c r="K204" s="100">
        <v>1.1000000000000001</v>
      </c>
      <c r="L204" s="27" t="s">
        <v>108</v>
      </c>
      <c r="M204" s="241" t="s">
        <v>308</v>
      </c>
      <c r="N204" s="241" t="s">
        <v>1143</v>
      </c>
      <c r="O204" s="241" t="s">
        <v>1143</v>
      </c>
      <c r="P204" s="237">
        <v>1</v>
      </c>
      <c r="Q204" s="84" t="s">
        <v>102</v>
      </c>
      <c r="R204" s="103">
        <f t="shared" si="12"/>
        <v>1</v>
      </c>
      <c r="S204" s="82"/>
      <c r="T204" s="103">
        <f t="shared" si="15"/>
        <v>1</v>
      </c>
      <c r="U204" s="242">
        <v>1</v>
      </c>
      <c r="V204" s="103">
        <f t="shared" si="13"/>
        <v>1</v>
      </c>
      <c r="W204" s="241" t="s">
        <v>331</v>
      </c>
      <c r="X204" s="324">
        <f t="shared" si="14"/>
        <v>1</v>
      </c>
      <c r="Y204" s="235" t="s">
        <v>297</v>
      </c>
      <c r="Z204" s="340" t="s">
        <v>307</v>
      </c>
      <c r="AA204" s="237" t="s">
        <v>45</v>
      </c>
      <c r="AB204" s="83" t="s">
        <v>309</v>
      </c>
      <c r="AC204" s="242" t="s">
        <v>310</v>
      </c>
      <c r="AD204" s="27" t="s">
        <v>109</v>
      </c>
      <c r="AE204" s="243" t="s">
        <v>109</v>
      </c>
      <c r="AF204" s="79"/>
      <c r="AG204" s="237"/>
    </row>
    <row r="205" spans="1:33" s="15" customFormat="1" ht="45" x14ac:dyDescent="0.15">
      <c r="A205" s="237" t="s">
        <v>292</v>
      </c>
      <c r="B205" s="238">
        <v>260</v>
      </c>
      <c r="C205" s="237" t="s">
        <v>44</v>
      </c>
      <c r="D205" s="237" t="s">
        <v>45</v>
      </c>
      <c r="E205" s="237">
        <v>1</v>
      </c>
      <c r="F205" s="237" t="s">
        <v>300</v>
      </c>
      <c r="G205" s="239" t="s">
        <v>311</v>
      </c>
      <c r="H205" s="240">
        <v>44251.462025462963</v>
      </c>
      <c r="I205" s="237" t="s">
        <v>48</v>
      </c>
      <c r="J205" s="237">
        <v>10</v>
      </c>
      <c r="K205" s="100">
        <v>1.1000000000000001</v>
      </c>
      <c r="L205" s="27" t="s">
        <v>108</v>
      </c>
      <c r="M205" s="241" t="s">
        <v>108</v>
      </c>
      <c r="N205" s="241" t="s">
        <v>108</v>
      </c>
      <c r="O205" s="241" t="s">
        <v>108</v>
      </c>
      <c r="P205" s="237">
        <v>1</v>
      </c>
      <c r="Q205" s="84" t="s">
        <v>312</v>
      </c>
      <c r="R205" s="103">
        <f t="shared" si="12"/>
        <v>1</v>
      </c>
      <c r="S205" s="82"/>
      <c r="T205" s="103">
        <f t="shared" si="15"/>
        <v>0</v>
      </c>
      <c r="U205" s="242">
        <v>1</v>
      </c>
      <c r="V205" s="103">
        <f t="shared" si="13"/>
        <v>1</v>
      </c>
      <c r="W205" s="241" t="s">
        <v>331</v>
      </c>
      <c r="X205" s="324">
        <f t="shared" si="14"/>
        <v>1</v>
      </c>
      <c r="Y205" s="235" t="s">
        <v>300</v>
      </c>
      <c r="Z205" s="340" t="s">
        <v>311</v>
      </c>
      <c r="AA205" s="237" t="s">
        <v>45</v>
      </c>
      <c r="AB205" s="83" t="s">
        <v>310</v>
      </c>
      <c r="AC205" s="242" t="s">
        <v>310</v>
      </c>
      <c r="AD205" s="27"/>
      <c r="AE205" s="243"/>
      <c r="AF205" s="79"/>
      <c r="AG205" s="237"/>
    </row>
    <row r="206" spans="1:33" s="15" customFormat="1" ht="45" x14ac:dyDescent="0.15">
      <c r="A206" s="237" t="s">
        <v>292</v>
      </c>
      <c r="B206" s="238">
        <v>260</v>
      </c>
      <c r="C206" s="237" t="s">
        <v>44</v>
      </c>
      <c r="D206" s="237" t="s">
        <v>45</v>
      </c>
      <c r="E206" s="237">
        <v>1</v>
      </c>
      <c r="F206" s="237" t="s">
        <v>300</v>
      </c>
      <c r="G206" s="239" t="s">
        <v>313</v>
      </c>
      <c r="H206" s="240">
        <v>44252.736898148149</v>
      </c>
      <c r="I206" s="237" t="s">
        <v>48</v>
      </c>
      <c r="J206" s="237">
        <v>10</v>
      </c>
      <c r="K206" s="100">
        <v>1.1000000000000001</v>
      </c>
      <c r="L206" s="27" t="s">
        <v>108</v>
      </c>
      <c r="M206" s="241" t="s">
        <v>108</v>
      </c>
      <c r="N206" s="241" t="s">
        <v>108</v>
      </c>
      <c r="O206" s="241" t="s">
        <v>108</v>
      </c>
      <c r="P206" s="237">
        <v>1</v>
      </c>
      <c r="Q206" s="84" t="s">
        <v>295</v>
      </c>
      <c r="R206" s="103">
        <f t="shared" si="12"/>
        <v>1</v>
      </c>
      <c r="S206" s="82"/>
      <c r="T206" s="103">
        <f t="shared" si="15"/>
        <v>0</v>
      </c>
      <c r="U206" s="242">
        <v>2</v>
      </c>
      <c r="V206" s="103">
        <f t="shared" si="13"/>
        <v>1</v>
      </c>
      <c r="W206" s="241" t="s">
        <v>331</v>
      </c>
      <c r="X206" s="324">
        <f t="shared" si="14"/>
        <v>1</v>
      </c>
      <c r="Y206" s="235" t="s">
        <v>300</v>
      </c>
      <c r="Z206" s="340" t="s">
        <v>313</v>
      </c>
      <c r="AA206" s="237" t="s">
        <v>45</v>
      </c>
      <c r="AB206" s="83" t="s">
        <v>310</v>
      </c>
      <c r="AC206" s="242" t="s">
        <v>310</v>
      </c>
      <c r="AD206" s="27"/>
      <c r="AE206" s="243"/>
      <c r="AF206" s="79"/>
      <c r="AG206" s="237"/>
    </row>
    <row r="207" spans="1:33" s="15" customFormat="1" ht="15" x14ac:dyDescent="0.15">
      <c r="A207" s="237" t="s">
        <v>292</v>
      </c>
      <c r="B207" s="238">
        <v>260</v>
      </c>
      <c r="C207" s="237" t="s">
        <v>44</v>
      </c>
      <c r="D207" s="237" t="s">
        <v>45</v>
      </c>
      <c r="E207" s="237">
        <v>1</v>
      </c>
      <c r="F207" s="237" t="s">
        <v>297</v>
      </c>
      <c r="G207" s="239" t="s">
        <v>314</v>
      </c>
      <c r="H207" s="240">
        <v>44252.740798611114</v>
      </c>
      <c r="I207" s="237" t="s">
        <v>48</v>
      </c>
      <c r="J207" s="237">
        <v>10</v>
      </c>
      <c r="K207" s="100">
        <v>1.1000000000000001</v>
      </c>
      <c r="L207" s="27" t="s">
        <v>108</v>
      </c>
      <c r="M207" s="241" t="s">
        <v>108</v>
      </c>
      <c r="N207" s="241" t="s">
        <v>108</v>
      </c>
      <c r="O207" s="241" t="s">
        <v>108</v>
      </c>
      <c r="P207" s="237">
        <v>1</v>
      </c>
      <c r="Q207" s="84" t="s">
        <v>102</v>
      </c>
      <c r="R207" s="103">
        <f t="shared" si="12"/>
        <v>1</v>
      </c>
      <c r="S207" s="82"/>
      <c r="T207" s="103">
        <f t="shared" si="15"/>
        <v>0</v>
      </c>
      <c r="U207" s="242">
        <v>3</v>
      </c>
      <c r="V207" s="103">
        <f t="shared" si="13"/>
        <v>1</v>
      </c>
      <c r="W207" s="241" t="s">
        <v>58</v>
      </c>
      <c r="X207" s="324">
        <f t="shared" si="14"/>
        <v>1</v>
      </c>
      <c r="Y207" s="235" t="s">
        <v>297</v>
      </c>
      <c r="Z207" s="340" t="s">
        <v>314</v>
      </c>
      <c r="AA207" s="237" t="s">
        <v>45</v>
      </c>
      <c r="AB207" s="83"/>
      <c r="AC207" s="242"/>
      <c r="AD207" s="27"/>
      <c r="AE207" s="243"/>
      <c r="AF207" s="79"/>
      <c r="AG207" s="237"/>
    </row>
    <row r="208" spans="1:33" s="15" customFormat="1" ht="60" x14ac:dyDescent="0.15">
      <c r="A208" s="237" t="s">
        <v>292</v>
      </c>
      <c r="B208" s="238">
        <v>260</v>
      </c>
      <c r="C208" s="237" t="s">
        <v>44</v>
      </c>
      <c r="D208" s="237" t="s">
        <v>45</v>
      </c>
      <c r="E208" s="237">
        <v>1</v>
      </c>
      <c r="F208" s="237" t="s">
        <v>297</v>
      </c>
      <c r="G208" s="239" t="s">
        <v>316</v>
      </c>
      <c r="H208" s="240">
        <v>44252.741342592592</v>
      </c>
      <c r="I208" s="237" t="s">
        <v>48</v>
      </c>
      <c r="J208" s="237">
        <v>10</v>
      </c>
      <c r="K208" s="100">
        <v>1.1000000000000001</v>
      </c>
      <c r="L208" s="27" t="s">
        <v>108</v>
      </c>
      <c r="M208" s="241" t="s">
        <v>638</v>
      </c>
      <c r="N208" s="241" t="s">
        <v>638</v>
      </c>
      <c r="O208" s="241" t="s">
        <v>1163</v>
      </c>
      <c r="P208" s="237">
        <v>1</v>
      </c>
      <c r="Q208" s="84" t="s">
        <v>102</v>
      </c>
      <c r="R208" s="103">
        <f t="shared" si="12"/>
        <v>1</v>
      </c>
      <c r="S208" s="82"/>
      <c r="T208" s="103">
        <f t="shared" si="15"/>
        <v>0</v>
      </c>
      <c r="U208" s="242">
        <v>2</v>
      </c>
      <c r="V208" s="103">
        <f t="shared" si="13"/>
        <v>1</v>
      </c>
      <c r="W208" s="241" t="s">
        <v>331</v>
      </c>
      <c r="X208" s="324">
        <f t="shared" si="14"/>
        <v>1</v>
      </c>
      <c r="Y208" s="235" t="s">
        <v>297</v>
      </c>
      <c r="Z208" s="340" t="s">
        <v>316</v>
      </c>
      <c r="AA208" s="237" t="s">
        <v>45</v>
      </c>
      <c r="AB208" s="83"/>
      <c r="AC208" s="242"/>
      <c r="AD208" s="27"/>
      <c r="AE208" s="243"/>
      <c r="AF208" s="79"/>
      <c r="AG208" s="237"/>
    </row>
    <row r="209" spans="1:33" s="15" customFormat="1" ht="15" x14ac:dyDescent="0.15">
      <c r="A209" s="237" t="s">
        <v>292</v>
      </c>
      <c r="B209" s="238">
        <v>260</v>
      </c>
      <c r="C209" s="237" t="s">
        <v>44</v>
      </c>
      <c r="D209" s="237" t="s">
        <v>45</v>
      </c>
      <c r="E209" s="237">
        <v>1</v>
      </c>
      <c r="F209" s="237" t="s">
        <v>297</v>
      </c>
      <c r="G209" s="239" t="s">
        <v>317</v>
      </c>
      <c r="H209" s="240">
        <v>44252.741562499999</v>
      </c>
      <c r="I209" s="237" t="s">
        <v>48</v>
      </c>
      <c r="J209" s="237">
        <v>10</v>
      </c>
      <c r="K209" s="100">
        <v>1.1000000000000001</v>
      </c>
      <c r="L209" s="27" t="s">
        <v>108</v>
      </c>
      <c r="M209" s="241" t="s">
        <v>638</v>
      </c>
      <c r="N209" s="241" t="s">
        <v>638</v>
      </c>
      <c r="O209" s="241" t="s">
        <v>1163</v>
      </c>
      <c r="P209" s="237">
        <v>1</v>
      </c>
      <c r="Q209" s="84" t="s">
        <v>102</v>
      </c>
      <c r="R209" s="103">
        <f t="shared" si="12"/>
        <v>1</v>
      </c>
      <c r="S209" s="82"/>
      <c r="T209" s="103">
        <f t="shared" si="15"/>
        <v>0</v>
      </c>
      <c r="U209" s="242">
        <v>2</v>
      </c>
      <c r="V209" s="103">
        <f t="shared" si="13"/>
        <v>1</v>
      </c>
      <c r="W209" s="241" t="s">
        <v>58</v>
      </c>
      <c r="X209" s="324">
        <f t="shared" si="14"/>
        <v>1</v>
      </c>
      <c r="Y209" s="235" t="s">
        <v>297</v>
      </c>
      <c r="Z209" s="340" t="s">
        <v>317</v>
      </c>
      <c r="AA209" s="237" t="s">
        <v>45</v>
      </c>
      <c r="AB209" s="83"/>
      <c r="AC209" s="242"/>
      <c r="AD209" s="27"/>
      <c r="AE209" s="243"/>
      <c r="AF209" s="79"/>
      <c r="AG209" s="237"/>
    </row>
    <row r="210" spans="1:33" s="15" customFormat="1" ht="60" x14ac:dyDescent="0.15">
      <c r="A210" s="237" t="s">
        <v>292</v>
      </c>
      <c r="B210" s="238">
        <v>260</v>
      </c>
      <c r="C210" s="237" t="s">
        <v>44</v>
      </c>
      <c r="D210" s="237" t="s">
        <v>45</v>
      </c>
      <c r="E210" s="237">
        <v>1</v>
      </c>
      <c r="F210" s="237" t="s">
        <v>300</v>
      </c>
      <c r="G210" s="239" t="s">
        <v>318</v>
      </c>
      <c r="H210" s="240">
        <v>44252.741724537038</v>
      </c>
      <c r="I210" s="237" t="s">
        <v>48</v>
      </c>
      <c r="J210" s="237">
        <v>10</v>
      </c>
      <c r="K210" s="100">
        <v>1.1000000000000001</v>
      </c>
      <c r="L210" s="27" t="s">
        <v>1145</v>
      </c>
      <c r="M210" s="241" t="s">
        <v>638</v>
      </c>
      <c r="N210" s="241" t="s">
        <v>638</v>
      </c>
      <c r="O210" s="241" t="s">
        <v>1163</v>
      </c>
      <c r="P210" s="237">
        <v>1</v>
      </c>
      <c r="Q210" s="84" t="s">
        <v>102</v>
      </c>
      <c r="R210" s="103">
        <f t="shared" si="12"/>
        <v>1</v>
      </c>
      <c r="S210" s="82"/>
      <c r="T210" s="103">
        <f t="shared" si="15"/>
        <v>0</v>
      </c>
      <c r="U210" s="242">
        <v>2</v>
      </c>
      <c r="V210" s="103">
        <f t="shared" si="13"/>
        <v>1</v>
      </c>
      <c r="W210" s="241" t="s">
        <v>58</v>
      </c>
      <c r="X210" s="324">
        <f t="shared" si="14"/>
        <v>1</v>
      </c>
      <c r="Y210" s="235" t="s">
        <v>300</v>
      </c>
      <c r="Z210" s="340" t="s">
        <v>318</v>
      </c>
      <c r="AA210" s="237" t="s">
        <v>45</v>
      </c>
      <c r="AB210" s="83"/>
      <c r="AC210" s="242"/>
      <c r="AD210" s="27" t="s">
        <v>1148</v>
      </c>
      <c r="AE210" s="243"/>
      <c r="AF210" s="79"/>
      <c r="AG210" s="237"/>
    </row>
    <row r="211" spans="1:33" s="15" customFormat="1" ht="45" x14ac:dyDescent="0.15">
      <c r="A211" s="237" t="s">
        <v>292</v>
      </c>
      <c r="B211" s="238">
        <v>260</v>
      </c>
      <c r="C211" s="237" t="s">
        <v>44</v>
      </c>
      <c r="D211" s="237" t="s">
        <v>45</v>
      </c>
      <c r="E211" s="237">
        <v>1</v>
      </c>
      <c r="F211" s="237" t="s">
        <v>297</v>
      </c>
      <c r="G211" s="239" t="s">
        <v>319</v>
      </c>
      <c r="H211" s="240">
        <v>44252.746504629627</v>
      </c>
      <c r="I211" s="237" t="s">
        <v>48</v>
      </c>
      <c r="J211" s="237">
        <v>10</v>
      </c>
      <c r="K211" s="100">
        <v>1.1000000000000001</v>
      </c>
      <c r="L211" s="27" t="s">
        <v>108</v>
      </c>
      <c r="M211" s="241" t="s">
        <v>638</v>
      </c>
      <c r="N211" s="241" t="s">
        <v>638</v>
      </c>
      <c r="O211" s="241" t="s">
        <v>1163</v>
      </c>
      <c r="P211" s="237">
        <v>1</v>
      </c>
      <c r="Q211" s="84" t="s">
        <v>102</v>
      </c>
      <c r="R211" s="103">
        <f t="shared" si="12"/>
        <v>1</v>
      </c>
      <c r="S211" s="82"/>
      <c r="T211" s="103">
        <f t="shared" si="15"/>
        <v>0</v>
      </c>
      <c r="U211" s="242">
        <v>2</v>
      </c>
      <c r="V211" s="103">
        <f t="shared" si="13"/>
        <v>1</v>
      </c>
      <c r="W211" s="241" t="s">
        <v>58</v>
      </c>
      <c r="X211" s="324">
        <f t="shared" si="14"/>
        <v>1</v>
      </c>
      <c r="Y211" s="235" t="s">
        <v>297</v>
      </c>
      <c r="Z211" s="340" t="s">
        <v>319</v>
      </c>
      <c r="AA211" s="237" t="s">
        <v>45</v>
      </c>
      <c r="AB211" s="83"/>
      <c r="AC211" s="242"/>
      <c r="AD211" s="27" t="s">
        <v>1150</v>
      </c>
      <c r="AE211" s="243"/>
      <c r="AF211" s="79"/>
      <c r="AG211" s="237"/>
    </row>
    <row r="212" spans="1:33" s="15" customFormat="1" ht="15" x14ac:dyDescent="0.15">
      <c r="A212" s="237" t="s">
        <v>292</v>
      </c>
      <c r="B212" s="238">
        <v>260</v>
      </c>
      <c r="C212" s="237" t="s">
        <v>44</v>
      </c>
      <c r="D212" s="237" t="s">
        <v>45</v>
      </c>
      <c r="E212" s="237">
        <v>1</v>
      </c>
      <c r="F212" s="237" t="s">
        <v>297</v>
      </c>
      <c r="G212" s="239" t="s">
        <v>320</v>
      </c>
      <c r="H212" s="240">
        <v>44252.747627314813</v>
      </c>
      <c r="I212" s="237" t="s">
        <v>48</v>
      </c>
      <c r="J212" s="237">
        <v>10</v>
      </c>
      <c r="K212" s="100">
        <v>1.1000000000000001</v>
      </c>
      <c r="L212" s="27" t="s">
        <v>108</v>
      </c>
      <c r="M212" s="241" t="s">
        <v>108</v>
      </c>
      <c r="N212" s="241" t="s">
        <v>108</v>
      </c>
      <c r="O212" s="241" t="s">
        <v>108</v>
      </c>
      <c r="P212" s="237">
        <v>1</v>
      </c>
      <c r="Q212" s="84" t="s">
        <v>102</v>
      </c>
      <c r="R212" s="103">
        <f t="shared" si="12"/>
        <v>1</v>
      </c>
      <c r="S212" s="82"/>
      <c r="T212" s="103">
        <f t="shared" si="15"/>
        <v>0</v>
      </c>
      <c r="U212" s="242">
        <v>2</v>
      </c>
      <c r="V212" s="103">
        <f t="shared" si="13"/>
        <v>1</v>
      </c>
      <c r="W212" s="241" t="s">
        <v>331</v>
      </c>
      <c r="X212" s="324">
        <f t="shared" si="14"/>
        <v>1</v>
      </c>
      <c r="Y212" s="235" t="s">
        <v>297</v>
      </c>
      <c r="Z212" s="340" t="s">
        <v>320</v>
      </c>
      <c r="AA212" s="237" t="s">
        <v>45</v>
      </c>
      <c r="AB212" s="83" t="s">
        <v>112</v>
      </c>
      <c r="AC212" s="242" t="s">
        <v>112</v>
      </c>
      <c r="AD212" s="27"/>
      <c r="AE212" s="243"/>
      <c r="AF212" s="79"/>
      <c r="AG212" s="237"/>
    </row>
    <row r="213" spans="1:33" s="15" customFormat="1" ht="15" x14ac:dyDescent="0.15">
      <c r="A213" s="237" t="s">
        <v>292</v>
      </c>
      <c r="B213" s="238">
        <v>260</v>
      </c>
      <c r="C213" s="237" t="s">
        <v>44</v>
      </c>
      <c r="D213" s="237" t="s">
        <v>45</v>
      </c>
      <c r="E213" s="237">
        <v>1</v>
      </c>
      <c r="F213" s="237" t="s">
        <v>300</v>
      </c>
      <c r="G213" s="239" t="s">
        <v>321</v>
      </c>
      <c r="H213" s="240">
        <v>44252.750069444446</v>
      </c>
      <c r="I213" s="237" t="s">
        <v>48</v>
      </c>
      <c r="J213" s="237">
        <v>10</v>
      </c>
      <c r="K213" s="100">
        <v>1.1000000000000001</v>
      </c>
      <c r="L213" s="27" t="s">
        <v>108</v>
      </c>
      <c r="M213" s="241" t="s">
        <v>108</v>
      </c>
      <c r="N213" s="241" t="s">
        <v>108</v>
      </c>
      <c r="O213" s="241" t="s">
        <v>108</v>
      </c>
      <c r="P213" s="237">
        <v>1</v>
      </c>
      <c r="Q213" s="84" t="s">
        <v>312</v>
      </c>
      <c r="R213" s="103">
        <f t="shared" si="12"/>
        <v>1</v>
      </c>
      <c r="S213" s="82"/>
      <c r="T213" s="103">
        <f t="shared" si="15"/>
        <v>0</v>
      </c>
      <c r="U213" s="242">
        <v>2</v>
      </c>
      <c r="V213" s="103">
        <f t="shared" si="13"/>
        <v>1</v>
      </c>
      <c r="W213" s="241" t="s">
        <v>58</v>
      </c>
      <c r="X213" s="324">
        <f t="shared" si="14"/>
        <v>1</v>
      </c>
      <c r="Y213" s="235" t="s">
        <v>300</v>
      </c>
      <c r="Z213" s="340" t="s">
        <v>321</v>
      </c>
      <c r="AA213" s="237" t="s">
        <v>45</v>
      </c>
      <c r="AB213" s="83"/>
      <c r="AC213" s="242"/>
      <c r="AD213" s="27"/>
      <c r="AE213" s="243"/>
      <c r="AF213" s="79"/>
      <c r="AG213" s="237"/>
    </row>
    <row r="214" spans="1:33" s="15" customFormat="1" ht="15" x14ac:dyDescent="0.15">
      <c r="A214" s="237" t="s">
        <v>292</v>
      </c>
      <c r="B214" s="238">
        <v>260</v>
      </c>
      <c r="C214" s="237" t="s">
        <v>44</v>
      </c>
      <c r="D214" s="237" t="s">
        <v>70</v>
      </c>
      <c r="E214" s="237">
        <v>1</v>
      </c>
      <c r="F214" s="237" t="s">
        <v>322</v>
      </c>
      <c r="G214" s="239" t="s">
        <v>323</v>
      </c>
      <c r="H214" s="240">
        <v>44246.76121527778</v>
      </c>
      <c r="I214" s="237" t="s">
        <v>48</v>
      </c>
      <c r="J214" s="237">
        <v>9</v>
      </c>
      <c r="K214" s="100">
        <v>1.2</v>
      </c>
      <c r="L214" s="27" t="s">
        <v>52</v>
      </c>
      <c r="M214" s="241" t="s">
        <v>52</v>
      </c>
      <c r="N214" s="241" t="s">
        <v>1143</v>
      </c>
      <c r="O214" s="241" t="s">
        <v>1143</v>
      </c>
      <c r="P214" s="237">
        <v>1</v>
      </c>
      <c r="Q214" s="84" t="s">
        <v>295</v>
      </c>
      <c r="R214" s="103">
        <f t="shared" si="12"/>
        <v>1</v>
      </c>
      <c r="S214" s="82"/>
      <c r="T214" s="103">
        <f t="shared" si="15"/>
        <v>0</v>
      </c>
      <c r="U214" s="242">
        <v>1</v>
      </c>
      <c r="V214" s="103">
        <f t="shared" si="13"/>
        <v>1</v>
      </c>
      <c r="W214" s="241"/>
      <c r="X214" s="324">
        <f t="shared" si="14"/>
        <v>0</v>
      </c>
      <c r="Y214" s="235" t="s">
        <v>322</v>
      </c>
      <c r="Z214" s="340" t="s">
        <v>323</v>
      </c>
      <c r="AA214" s="237" t="s">
        <v>70</v>
      </c>
      <c r="AB214" s="83"/>
      <c r="AC214" s="242"/>
      <c r="AD214" s="27"/>
      <c r="AE214" s="243"/>
      <c r="AF214" s="79"/>
      <c r="AG214" s="237"/>
    </row>
    <row r="215" spans="1:33" s="15" customFormat="1" ht="45" x14ac:dyDescent="0.15">
      <c r="A215" s="237" t="s">
        <v>292</v>
      </c>
      <c r="B215" s="238">
        <v>260</v>
      </c>
      <c r="C215" s="237" t="s">
        <v>44</v>
      </c>
      <c r="D215" s="237" t="s">
        <v>70</v>
      </c>
      <c r="E215" s="237">
        <v>1</v>
      </c>
      <c r="F215" s="237" t="s">
        <v>324</v>
      </c>
      <c r="G215" s="239" t="s">
        <v>325</v>
      </c>
      <c r="H215" s="240">
        <v>44246.761388888888</v>
      </c>
      <c r="I215" s="237" t="s">
        <v>48</v>
      </c>
      <c r="J215" s="237">
        <v>9</v>
      </c>
      <c r="K215" s="100">
        <v>1.2</v>
      </c>
      <c r="L215" s="27" t="s">
        <v>52</v>
      </c>
      <c r="M215" s="241" t="s">
        <v>52</v>
      </c>
      <c r="N215" s="241" t="s">
        <v>1143</v>
      </c>
      <c r="O215" s="241" t="s">
        <v>1143</v>
      </c>
      <c r="P215" s="237">
        <v>1</v>
      </c>
      <c r="Q215" s="84" t="s">
        <v>102</v>
      </c>
      <c r="R215" s="103">
        <f t="shared" si="12"/>
        <v>1</v>
      </c>
      <c r="S215" s="82"/>
      <c r="T215" s="103">
        <f t="shared" si="15"/>
        <v>0</v>
      </c>
      <c r="U215" s="242">
        <v>1</v>
      </c>
      <c r="V215" s="103">
        <f t="shared" si="13"/>
        <v>1</v>
      </c>
      <c r="W215" s="241" t="s">
        <v>58</v>
      </c>
      <c r="X215" s="324">
        <f t="shared" si="14"/>
        <v>1</v>
      </c>
      <c r="Y215" s="235" t="s">
        <v>324</v>
      </c>
      <c r="Z215" s="340" t="s">
        <v>325</v>
      </c>
      <c r="AA215" s="237" t="s">
        <v>70</v>
      </c>
      <c r="AB215" s="83"/>
      <c r="AC215" s="242"/>
      <c r="AD215" s="27"/>
      <c r="AE215" s="243"/>
      <c r="AF215" s="79"/>
      <c r="AG215" s="237"/>
    </row>
    <row r="216" spans="1:33" s="15" customFormat="1" ht="15" x14ac:dyDescent="0.15">
      <c r="A216" s="237" t="s">
        <v>292</v>
      </c>
      <c r="B216" s="238">
        <v>260</v>
      </c>
      <c r="C216" s="237" t="s">
        <v>44</v>
      </c>
      <c r="D216" s="237" t="s">
        <v>70</v>
      </c>
      <c r="E216" s="237">
        <v>1</v>
      </c>
      <c r="F216" s="237" t="s">
        <v>322</v>
      </c>
      <c r="G216" s="239" t="s">
        <v>326</v>
      </c>
      <c r="H216" s="240">
        <v>44246.761817129627</v>
      </c>
      <c r="I216" s="237" t="s">
        <v>48</v>
      </c>
      <c r="J216" s="237">
        <v>9</v>
      </c>
      <c r="K216" s="100">
        <v>1.2</v>
      </c>
      <c r="L216" s="27" t="s">
        <v>52</v>
      </c>
      <c r="M216" s="241" t="s">
        <v>52</v>
      </c>
      <c r="N216" s="241" t="s">
        <v>1143</v>
      </c>
      <c r="O216" s="241" t="s">
        <v>1143</v>
      </c>
      <c r="P216" s="237">
        <v>1</v>
      </c>
      <c r="Q216" s="84" t="s">
        <v>102</v>
      </c>
      <c r="R216" s="103">
        <f t="shared" si="12"/>
        <v>1</v>
      </c>
      <c r="S216" s="82"/>
      <c r="T216" s="103">
        <f t="shared" si="15"/>
        <v>0</v>
      </c>
      <c r="U216" s="242">
        <v>1</v>
      </c>
      <c r="V216" s="103">
        <f t="shared" si="13"/>
        <v>1</v>
      </c>
      <c r="W216" s="241" t="s">
        <v>58</v>
      </c>
      <c r="X216" s="324">
        <f t="shared" si="14"/>
        <v>1</v>
      </c>
      <c r="Y216" s="235" t="s">
        <v>322</v>
      </c>
      <c r="Z216" s="340" t="s">
        <v>326</v>
      </c>
      <c r="AA216" s="237" t="s">
        <v>70</v>
      </c>
      <c r="AB216" s="83"/>
      <c r="AC216" s="242"/>
      <c r="AD216" s="27"/>
      <c r="AE216" s="243"/>
      <c r="AF216" s="79"/>
      <c r="AG216" s="237"/>
    </row>
    <row r="217" spans="1:33" s="15" customFormat="1" ht="30" x14ac:dyDescent="0.15">
      <c r="A217" s="237" t="s">
        <v>292</v>
      </c>
      <c r="B217" s="238">
        <v>260</v>
      </c>
      <c r="C217" s="237" t="s">
        <v>44</v>
      </c>
      <c r="D217" s="237" t="s">
        <v>70</v>
      </c>
      <c r="E217" s="237">
        <v>1</v>
      </c>
      <c r="F217" s="237" t="s">
        <v>324</v>
      </c>
      <c r="G217" s="239" t="s">
        <v>327</v>
      </c>
      <c r="H217" s="240">
        <v>44246.76222222222</v>
      </c>
      <c r="I217" s="237" t="s">
        <v>48</v>
      </c>
      <c r="J217" s="237">
        <v>9</v>
      </c>
      <c r="K217" s="100">
        <v>1.2</v>
      </c>
      <c r="L217" s="27" t="s">
        <v>52</v>
      </c>
      <c r="M217" s="241" t="s">
        <v>52</v>
      </c>
      <c r="N217" s="241" t="s">
        <v>1143</v>
      </c>
      <c r="O217" s="241" t="s">
        <v>1143</v>
      </c>
      <c r="P217" s="237">
        <v>1</v>
      </c>
      <c r="Q217" s="84" t="s">
        <v>102</v>
      </c>
      <c r="R217" s="103">
        <f t="shared" si="12"/>
        <v>1</v>
      </c>
      <c r="S217" s="82"/>
      <c r="T217" s="103">
        <f t="shared" si="15"/>
        <v>0</v>
      </c>
      <c r="U217" s="242">
        <v>1</v>
      </c>
      <c r="V217" s="103">
        <f t="shared" si="13"/>
        <v>1</v>
      </c>
      <c r="W217" s="241" t="s">
        <v>58</v>
      </c>
      <c r="X217" s="324">
        <f t="shared" si="14"/>
        <v>1</v>
      </c>
      <c r="Y217" s="235" t="s">
        <v>324</v>
      </c>
      <c r="Z217" s="340" t="s">
        <v>327</v>
      </c>
      <c r="AA217" s="237" t="s">
        <v>70</v>
      </c>
      <c r="AB217" s="83"/>
      <c r="AC217" s="242"/>
      <c r="AD217" s="27"/>
      <c r="AE217" s="243"/>
      <c r="AF217" s="79"/>
      <c r="AG217" s="237"/>
    </row>
    <row r="218" spans="1:33" s="15" customFormat="1" ht="30" x14ac:dyDescent="0.15">
      <c r="A218" s="237" t="s">
        <v>292</v>
      </c>
      <c r="B218" s="238">
        <v>260</v>
      </c>
      <c r="C218" s="237" t="s">
        <v>44</v>
      </c>
      <c r="D218" s="237" t="s">
        <v>70</v>
      </c>
      <c r="E218" s="237">
        <v>1</v>
      </c>
      <c r="F218" s="237" t="s">
        <v>328</v>
      </c>
      <c r="G218" s="239" t="s">
        <v>329</v>
      </c>
      <c r="H218" s="240">
        <v>44246.762395833335</v>
      </c>
      <c r="I218" s="237" t="s">
        <v>48</v>
      </c>
      <c r="J218" s="237">
        <v>9</v>
      </c>
      <c r="K218" s="100">
        <v>1.2</v>
      </c>
      <c r="L218" s="27" t="s">
        <v>52</v>
      </c>
      <c r="M218" s="241" t="s">
        <v>52</v>
      </c>
      <c r="N218" s="241" t="s">
        <v>1143</v>
      </c>
      <c r="O218" s="241" t="s">
        <v>1143</v>
      </c>
      <c r="P218" s="237">
        <v>1</v>
      </c>
      <c r="Q218" s="84" t="s">
        <v>102</v>
      </c>
      <c r="R218" s="103">
        <f t="shared" si="12"/>
        <v>1</v>
      </c>
      <c r="S218" s="82" t="s">
        <v>58</v>
      </c>
      <c r="T218" s="103">
        <f t="shared" si="15"/>
        <v>0</v>
      </c>
      <c r="U218" s="242">
        <v>1</v>
      </c>
      <c r="V218" s="103">
        <f t="shared" si="13"/>
        <v>1</v>
      </c>
      <c r="W218" s="241" t="s">
        <v>58</v>
      </c>
      <c r="X218" s="324">
        <f t="shared" si="14"/>
        <v>1</v>
      </c>
      <c r="Y218" s="235" t="s">
        <v>328</v>
      </c>
      <c r="Z218" s="340" t="s">
        <v>329</v>
      </c>
      <c r="AA218" s="237" t="s">
        <v>70</v>
      </c>
      <c r="AB218" s="83"/>
      <c r="AC218" s="242"/>
      <c r="AD218" s="27"/>
      <c r="AE218" s="243"/>
      <c r="AF218" s="79"/>
      <c r="AG218" s="237"/>
    </row>
    <row r="219" spans="1:33" s="15" customFormat="1" ht="30" x14ac:dyDescent="0.15">
      <c r="A219" s="237" t="s">
        <v>292</v>
      </c>
      <c r="B219" s="238">
        <v>260</v>
      </c>
      <c r="C219" s="237" t="s">
        <v>44</v>
      </c>
      <c r="D219" s="237" t="s">
        <v>70</v>
      </c>
      <c r="E219" s="237">
        <v>1</v>
      </c>
      <c r="F219" s="237" t="s">
        <v>322</v>
      </c>
      <c r="G219" s="239" t="s">
        <v>330</v>
      </c>
      <c r="H219" s="240">
        <v>44246.762418981481</v>
      </c>
      <c r="I219" s="237" t="s">
        <v>48</v>
      </c>
      <c r="J219" s="237">
        <v>9</v>
      </c>
      <c r="K219" s="100">
        <v>1.2</v>
      </c>
      <c r="L219" s="27" t="s">
        <v>52</v>
      </c>
      <c r="M219" s="241" t="s">
        <v>52</v>
      </c>
      <c r="N219" s="241" t="s">
        <v>1143</v>
      </c>
      <c r="O219" s="241" t="s">
        <v>1143</v>
      </c>
      <c r="P219" s="237">
        <v>1</v>
      </c>
      <c r="Q219" s="84" t="s">
        <v>102</v>
      </c>
      <c r="R219" s="103">
        <f t="shared" si="12"/>
        <v>1</v>
      </c>
      <c r="S219" s="82"/>
      <c r="T219" s="103">
        <f t="shared" si="15"/>
        <v>1</v>
      </c>
      <c r="U219" s="242">
        <v>1</v>
      </c>
      <c r="V219" s="103">
        <f t="shared" si="13"/>
        <v>1</v>
      </c>
      <c r="W219" s="241" t="s">
        <v>331</v>
      </c>
      <c r="X219" s="324">
        <f t="shared" si="14"/>
        <v>1</v>
      </c>
      <c r="Y219" s="235" t="s">
        <v>322</v>
      </c>
      <c r="Z219" s="340" t="s">
        <v>330</v>
      </c>
      <c r="AA219" s="237" t="s">
        <v>70</v>
      </c>
      <c r="AB219" s="83" t="s">
        <v>74</v>
      </c>
      <c r="AC219" s="242" t="s">
        <v>74</v>
      </c>
      <c r="AD219" s="27"/>
      <c r="AE219" s="243"/>
      <c r="AF219" s="79"/>
      <c r="AG219" s="237"/>
    </row>
    <row r="220" spans="1:33" s="15" customFormat="1" ht="15" x14ac:dyDescent="0.15">
      <c r="A220" s="237" t="s">
        <v>292</v>
      </c>
      <c r="B220" s="238">
        <v>260</v>
      </c>
      <c r="C220" s="237" t="s">
        <v>44</v>
      </c>
      <c r="D220" s="237" t="s">
        <v>70</v>
      </c>
      <c r="E220" s="237">
        <v>1</v>
      </c>
      <c r="F220" s="237" t="s">
        <v>322</v>
      </c>
      <c r="G220" s="239" t="s">
        <v>332</v>
      </c>
      <c r="H220" s="240">
        <v>44246.764467592591</v>
      </c>
      <c r="I220" s="237" t="s">
        <v>48</v>
      </c>
      <c r="J220" s="237">
        <v>9</v>
      </c>
      <c r="K220" s="100">
        <v>1.2</v>
      </c>
      <c r="L220" s="27" t="s">
        <v>52</v>
      </c>
      <c r="M220" s="241" t="s">
        <v>52</v>
      </c>
      <c r="N220" s="241" t="s">
        <v>1143</v>
      </c>
      <c r="O220" s="241" t="s">
        <v>1143</v>
      </c>
      <c r="P220" s="237">
        <v>1</v>
      </c>
      <c r="Q220" s="84" t="s">
        <v>312</v>
      </c>
      <c r="R220" s="103">
        <f t="shared" si="12"/>
        <v>1</v>
      </c>
      <c r="S220" s="82"/>
      <c r="T220" s="103">
        <f t="shared" si="15"/>
        <v>0</v>
      </c>
      <c r="U220" s="242">
        <v>1</v>
      </c>
      <c r="V220" s="103">
        <f t="shared" si="13"/>
        <v>1</v>
      </c>
      <c r="W220" s="241"/>
      <c r="X220" s="324">
        <f t="shared" si="14"/>
        <v>0</v>
      </c>
      <c r="Y220" s="235" t="s">
        <v>322</v>
      </c>
      <c r="Z220" s="340" t="s">
        <v>332</v>
      </c>
      <c r="AA220" s="237" t="s">
        <v>70</v>
      </c>
      <c r="AB220" s="83"/>
      <c r="AC220" s="242"/>
      <c r="AD220" s="27"/>
      <c r="AE220" s="243"/>
      <c r="AF220" s="79"/>
      <c r="AG220" s="237"/>
    </row>
    <row r="221" spans="1:33" s="15" customFormat="1" ht="15" x14ac:dyDescent="0.15">
      <c r="A221" s="237" t="s">
        <v>292</v>
      </c>
      <c r="B221" s="238">
        <v>260</v>
      </c>
      <c r="C221" s="237" t="s">
        <v>44</v>
      </c>
      <c r="D221" s="237" t="s">
        <v>153</v>
      </c>
      <c r="E221" s="237">
        <v>1</v>
      </c>
      <c r="F221" s="237" t="s">
        <v>333</v>
      </c>
      <c r="G221" s="239" t="s">
        <v>334</v>
      </c>
      <c r="H221" s="240">
        <v>44241.899699074071</v>
      </c>
      <c r="I221" s="237" t="s">
        <v>48</v>
      </c>
      <c r="J221" s="237">
        <v>10</v>
      </c>
      <c r="K221" s="100">
        <v>1.3</v>
      </c>
      <c r="L221" s="27" t="s">
        <v>52</v>
      </c>
      <c r="M221" s="241" t="s">
        <v>52</v>
      </c>
      <c r="N221" s="241" t="s">
        <v>1143</v>
      </c>
      <c r="O221" s="241" t="s">
        <v>1143</v>
      </c>
      <c r="P221" s="237">
        <v>1</v>
      </c>
      <c r="Q221" s="84" t="s">
        <v>295</v>
      </c>
      <c r="R221" s="103">
        <f t="shared" si="12"/>
        <v>1</v>
      </c>
      <c r="S221" s="82"/>
      <c r="T221" s="103">
        <f t="shared" si="15"/>
        <v>0</v>
      </c>
      <c r="U221" s="242">
        <v>1</v>
      </c>
      <c r="V221" s="103">
        <f t="shared" si="13"/>
        <v>1</v>
      </c>
      <c r="W221" s="241"/>
      <c r="X221" s="324">
        <f t="shared" si="14"/>
        <v>0</v>
      </c>
      <c r="Y221" s="235" t="s">
        <v>333</v>
      </c>
      <c r="Z221" s="340" t="s">
        <v>334</v>
      </c>
      <c r="AA221" s="237" t="s">
        <v>153</v>
      </c>
      <c r="AB221" s="83"/>
      <c r="AC221" s="242"/>
      <c r="AD221" s="27"/>
      <c r="AE221" s="243"/>
      <c r="AF221" s="79"/>
      <c r="AG221" s="237"/>
    </row>
    <row r="222" spans="1:33" s="15" customFormat="1" ht="75" x14ac:dyDescent="0.15">
      <c r="A222" s="237" t="s">
        <v>292</v>
      </c>
      <c r="B222" s="238">
        <v>260</v>
      </c>
      <c r="C222" s="237" t="s">
        <v>44</v>
      </c>
      <c r="D222" s="237" t="s">
        <v>153</v>
      </c>
      <c r="E222" s="237">
        <v>1</v>
      </c>
      <c r="F222" s="237" t="s">
        <v>335</v>
      </c>
      <c r="G222" s="239" t="s">
        <v>336</v>
      </c>
      <c r="H222" s="240">
        <v>44244.880277777775</v>
      </c>
      <c r="I222" s="237" t="s">
        <v>48</v>
      </c>
      <c r="J222" s="237">
        <v>8</v>
      </c>
      <c r="K222" s="100">
        <v>1.3</v>
      </c>
      <c r="L222" s="27" t="s">
        <v>52</v>
      </c>
      <c r="M222" s="241" t="s">
        <v>52</v>
      </c>
      <c r="N222" s="241" t="s">
        <v>1143</v>
      </c>
      <c r="O222" s="241" t="s">
        <v>1143</v>
      </c>
      <c r="P222" s="237">
        <v>1</v>
      </c>
      <c r="Q222" s="84" t="s">
        <v>102</v>
      </c>
      <c r="R222" s="103">
        <f t="shared" si="12"/>
        <v>1</v>
      </c>
      <c r="S222" s="82"/>
      <c r="T222" s="103">
        <f t="shared" si="15"/>
        <v>0</v>
      </c>
      <c r="U222" s="242">
        <v>1</v>
      </c>
      <c r="V222" s="103">
        <f t="shared" si="13"/>
        <v>1</v>
      </c>
      <c r="W222" s="241" t="s">
        <v>302</v>
      </c>
      <c r="X222" s="324">
        <f t="shared" si="14"/>
        <v>1</v>
      </c>
      <c r="Y222" s="235" t="s">
        <v>335</v>
      </c>
      <c r="Z222" s="340" t="s">
        <v>336</v>
      </c>
      <c r="AA222" s="237" t="s">
        <v>153</v>
      </c>
      <c r="AB222" s="83"/>
      <c r="AC222" s="242"/>
      <c r="AD222" s="27"/>
      <c r="AE222" s="243"/>
      <c r="AF222" s="79"/>
      <c r="AG222" s="237"/>
    </row>
    <row r="223" spans="1:33" s="15" customFormat="1" ht="105" x14ac:dyDescent="0.15">
      <c r="A223" s="237" t="s">
        <v>292</v>
      </c>
      <c r="B223" s="238">
        <v>260</v>
      </c>
      <c r="C223" s="237" t="s">
        <v>44</v>
      </c>
      <c r="D223" s="237" t="s">
        <v>153</v>
      </c>
      <c r="E223" s="237">
        <v>1</v>
      </c>
      <c r="F223" s="237" t="s">
        <v>337</v>
      </c>
      <c r="G223" s="239" t="s">
        <v>338</v>
      </c>
      <c r="H223" s="240">
        <v>44249.509768518517</v>
      </c>
      <c r="I223" s="237" t="s">
        <v>48</v>
      </c>
      <c r="J223" s="237">
        <v>10</v>
      </c>
      <c r="K223" s="100">
        <v>1.3</v>
      </c>
      <c r="L223" s="27" t="s">
        <v>52</v>
      </c>
      <c r="M223" s="241" t="s">
        <v>52</v>
      </c>
      <c r="N223" s="241" t="s">
        <v>1143</v>
      </c>
      <c r="O223" s="241" t="s">
        <v>1143</v>
      </c>
      <c r="P223" s="237">
        <v>1</v>
      </c>
      <c r="Q223" s="84" t="s">
        <v>102</v>
      </c>
      <c r="R223" s="103">
        <f t="shared" si="12"/>
        <v>1</v>
      </c>
      <c r="S223" s="82"/>
      <c r="T223" s="103">
        <f t="shared" si="15"/>
        <v>0</v>
      </c>
      <c r="U223" s="242">
        <v>1</v>
      </c>
      <c r="V223" s="103">
        <f t="shared" si="13"/>
        <v>1</v>
      </c>
      <c r="W223" s="241" t="s">
        <v>305</v>
      </c>
      <c r="X223" s="324">
        <f t="shared" si="14"/>
        <v>1</v>
      </c>
      <c r="Y223" s="235" t="s">
        <v>337</v>
      </c>
      <c r="Z223" s="340" t="s">
        <v>338</v>
      </c>
      <c r="AA223" s="237" t="s">
        <v>153</v>
      </c>
      <c r="AB223" s="83"/>
      <c r="AC223" s="242"/>
      <c r="AD223" s="27"/>
      <c r="AE223" s="243"/>
      <c r="AF223" s="79"/>
      <c r="AG223" s="237"/>
    </row>
    <row r="224" spans="1:33" s="15" customFormat="1" ht="60" x14ac:dyDescent="0.15">
      <c r="A224" s="237" t="s">
        <v>292</v>
      </c>
      <c r="B224" s="238">
        <v>260</v>
      </c>
      <c r="C224" s="237" t="s">
        <v>44</v>
      </c>
      <c r="D224" s="237" t="s">
        <v>153</v>
      </c>
      <c r="E224" s="237">
        <v>1</v>
      </c>
      <c r="F224" s="237" t="s">
        <v>333</v>
      </c>
      <c r="G224" s="239" t="s">
        <v>339</v>
      </c>
      <c r="H224" s="240">
        <v>44249.595960648148</v>
      </c>
      <c r="I224" s="237" t="s">
        <v>48</v>
      </c>
      <c r="J224" s="237">
        <v>10</v>
      </c>
      <c r="K224" s="100">
        <v>1.3</v>
      </c>
      <c r="L224" s="27" t="s">
        <v>52</v>
      </c>
      <c r="M224" s="241" t="s">
        <v>52</v>
      </c>
      <c r="N224" s="241" t="s">
        <v>1143</v>
      </c>
      <c r="O224" s="241" t="s">
        <v>1143</v>
      </c>
      <c r="P224" s="237">
        <v>1</v>
      </c>
      <c r="Q224" s="84" t="s">
        <v>102</v>
      </c>
      <c r="R224" s="103">
        <f t="shared" si="12"/>
        <v>1</v>
      </c>
      <c r="S224" s="82" t="s">
        <v>340</v>
      </c>
      <c r="T224" s="103">
        <f t="shared" si="15"/>
        <v>0</v>
      </c>
      <c r="U224" s="242">
        <v>1</v>
      </c>
      <c r="V224" s="103">
        <f t="shared" si="13"/>
        <v>1</v>
      </c>
      <c r="W224" s="241" t="s">
        <v>58</v>
      </c>
      <c r="X224" s="324">
        <f t="shared" si="14"/>
        <v>1</v>
      </c>
      <c r="Y224" s="235" t="s">
        <v>333</v>
      </c>
      <c r="Z224" s="340" t="s">
        <v>339</v>
      </c>
      <c r="AA224" s="237" t="s">
        <v>153</v>
      </c>
      <c r="AB224" s="83"/>
      <c r="AC224" s="242"/>
      <c r="AD224" s="27"/>
      <c r="AE224" s="243"/>
      <c r="AF224" s="79"/>
      <c r="AG224" s="237"/>
    </row>
    <row r="225" spans="1:33" s="15" customFormat="1" ht="90" x14ac:dyDescent="0.15">
      <c r="A225" s="237" t="s">
        <v>292</v>
      </c>
      <c r="B225" s="238">
        <v>260</v>
      </c>
      <c r="C225" s="237" t="s">
        <v>44</v>
      </c>
      <c r="D225" s="237" t="s">
        <v>153</v>
      </c>
      <c r="E225" s="237">
        <v>1</v>
      </c>
      <c r="F225" s="237" t="s">
        <v>333</v>
      </c>
      <c r="G225" s="239" t="s">
        <v>341</v>
      </c>
      <c r="H225" s="240">
        <v>44249.596203703702</v>
      </c>
      <c r="I225" s="237" t="s">
        <v>48</v>
      </c>
      <c r="J225" s="237"/>
      <c r="K225" s="100">
        <v>1.3</v>
      </c>
      <c r="L225" s="27" t="s">
        <v>52</v>
      </c>
      <c r="M225" s="241" t="s">
        <v>52</v>
      </c>
      <c r="N225" s="241" t="s">
        <v>1143</v>
      </c>
      <c r="O225" s="241" t="s">
        <v>1143</v>
      </c>
      <c r="P225" s="237">
        <v>1</v>
      </c>
      <c r="Q225" s="84" t="s">
        <v>102</v>
      </c>
      <c r="R225" s="103">
        <f t="shared" si="12"/>
        <v>1</v>
      </c>
      <c r="S225" s="82"/>
      <c r="T225" s="103">
        <f t="shared" si="15"/>
        <v>1</v>
      </c>
      <c r="U225" s="242">
        <v>1</v>
      </c>
      <c r="V225" s="103">
        <f t="shared" si="13"/>
        <v>1</v>
      </c>
      <c r="W225" s="241" t="s">
        <v>305</v>
      </c>
      <c r="X225" s="324">
        <f t="shared" si="14"/>
        <v>1</v>
      </c>
      <c r="Y225" s="235" t="s">
        <v>333</v>
      </c>
      <c r="Z225" s="340" t="s">
        <v>341</v>
      </c>
      <c r="AA225" s="237" t="s">
        <v>153</v>
      </c>
      <c r="AB225" s="83"/>
      <c r="AC225" s="242"/>
      <c r="AD225" s="27"/>
      <c r="AE225" s="243"/>
      <c r="AF225" s="79"/>
      <c r="AG225" s="237"/>
    </row>
    <row r="226" spans="1:33" s="15" customFormat="1" ht="45" x14ac:dyDescent="0.15">
      <c r="A226" s="237" t="s">
        <v>292</v>
      </c>
      <c r="B226" s="238">
        <v>260</v>
      </c>
      <c r="C226" s="237" t="s">
        <v>44</v>
      </c>
      <c r="D226" s="237" t="s">
        <v>153</v>
      </c>
      <c r="E226" s="237">
        <v>1</v>
      </c>
      <c r="F226" s="237" t="s">
        <v>335</v>
      </c>
      <c r="G226" s="239" t="s">
        <v>342</v>
      </c>
      <c r="H226" s="240">
        <v>44249.765393518515</v>
      </c>
      <c r="I226" s="237" t="s">
        <v>48</v>
      </c>
      <c r="J226" s="237">
        <v>10</v>
      </c>
      <c r="K226" s="100">
        <v>1.3</v>
      </c>
      <c r="L226" s="27"/>
      <c r="M226" s="241" t="s">
        <v>52</v>
      </c>
      <c r="N226" s="241" t="s">
        <v>1143</v>
      </c>
      <c r="O226" s="241" t="s">
        <v>1143</v>
      </c>
      <c r="P226" s="237">
        <v>1</v>
      </c>
      <c r="Q226" s="84" t="s">
        <v>102</v>
      </c>
      <c r="R226" s="103">
        <f t="shared" si="12"/>
        <v>1</v>
      </c>
      <c r="S226" s="82"/>
      <c r="T226" s="103">
        <f t="shared" si="15"/>
        <v>0</v>
      </c>
      <c r="U226" s="242">
        <v>1</v>
      </c>
      <c r="V226" s="103">
        <f t="shared" si="13"/>
        <v>1</v>
      </c>
      <c r="W226" s="241"/>
      <c r="X226" s="324">
        <f t="shared" si="14"/>
        <v>0</v>
      </c>
      <c r="Y226" s="235" t="s">
        <v>335</v>
      </c>
      <c r="Z226" s="340" t="s">
        <v>342</v>
      </c>
      <c r="AA226" s="237" t="s">
        <v>153</v>
      </c>
      <c r="AB226" s="83"/>
      <c r="AC226" s="242"/>
      <c r="AD226" s="27"/>
      <c r="AE226" s="243"/>
      <c r="AF226" s="79"/>
      <c r="AG226" s="237"/>
    </row>
    <row r="227" spans="1:33" s="15" customFormat="1" ht="15" x14ac:dyDescent="0.15">
      <c r="A227" s="237" t="s">
        <v>292</v>
      </c>
      <c r="B227" s="238">
        <v>260</v>
      </c>
      <c r="C227" s="237" t="s">
        <v>44</v>
      </c>
      <c r="D227" s="237" t="s">
        <v>153</v>
      </c>
      <c r="E227" s="237">
        <v>1</v>
      </c>
      <c r="F227" s="237" t="s">
        <v>337</v>
      </c>
      <c r="G227" s="239" t="s">
        <v>343</v>
      </c>
      <c r="H227" s="240">
        <v>44250.49150462963</v>
      </c>
      <c r="I227" s="237" t="s">
        <v>48</v>
      </c>
      <c r="J227" s="237">
        <v>10</v>
      </c>
      <c r="K227" s="100">
        <v>1.3</v>
      </c>
      <c r="L227" s="27" t="s">
        <v>52</v>
      </c>
      <c r="M227" s="241" t="s">
        <v>52</v>
      </c>
      <c r="N227" s="241" t="s">
        <v>1143</v>
      </c>
      <c r="O227" s="241" t="s">
        <v>1143</v>
      </c>
      <c r="P227" s="237">
        <v>1</v>
      </c>
      <c r="Q227" s="84" t="s">
        <v>102</v>
      </c>
      <c r="R227" s="103">
        <f t="shared" si="12"/>
        <v>1</v>
      </c>
      <c r="S227" s="82"/>
      <c r="T227" s="103">
        <f t="shared" si="15"/>
        <v>0</v>
      </c>
      <c r="U227" s="242">
        <v>1</v>
      </c>
      <c r="V227" s="103">
        <f t="shared" si="13"/>
        <v>1</v>
      </c>
      <c r="W227" s="241"/>
      <c r="X227" s="324">
        <f t="shared" si="14"/>
        <v>0</v>
      </c>
      <c r="Y227" s="235" t="s">
        <v>337</v>
      </c>
      <c r="Z227" s="340" t="s">
        <v>343</v>
      </c>
      <c r="AA227" s="237" t="s">
        <v>153</v>
      </c>
      <c r="AB227" s="83"/>
      <c r="AC227" s="242"/>
      <c r="AD227" s="27"/>
      <c r="AE227" s="243"/>
      <c r="AF227" s="79"/>
      <c r="AG227" s="237"/>
    </row>
    <row r="228" spans="1:33" s="15" customFormat="1" ht="30" x14ac:dyDescent="0.15">
      <c r="A228" s="237" t="s">
        <v>292</v>
      </c>
      <c r="B228" s="238">
        <v>260</v>
      </c>
      <c r="C228" s="237" t="s">
        <v>44</v>
      </c>
      <c r="D228" s="237" t="s">
        <v>153</v>
      </c>
      <c r="E228" s="237">
        <v>1</v>
      </c>
      <c r="F228" s="237" t="s">
        <v>337</v>
      </c>
      <c r="G228" s="239" t="s">
        <v>344</v>
      </c>
      <c r="H228" s="240">
        <v>44250.491875</v>
      </c>
      <c r="I228" s="237" t="s">
        <v>48</v>
      </c>
      <c r="J228" s="237">
        <v>10</v>
      </c>
      <c r="K228" s="100">
        <v>1.3</v>
      </c>
      <c r="L228" s="27" t="s">
        <v>308</v>
      </c>
      <c r="M228" s="241" t="s">
        <v>308</v>
      </c>
      <c r="N228" s="241" t="s">
        <v>1143</v>
      </c>
      <c r="O228" s="241" t="s">
        <v>1143</v>
      </c>
      <c r="P228" s="237">
        <v>1</v>
      </c>
      <c r="Q228" s="84" t="s">
        <v>102</v>
      </c>
      <c r="R228" s="103">
        <f t="shared" si="12"/>
        <v>1</v>
      </c>
      <c r="S228" s="82" t="s">
        <v>58</v>
      </c>
      <c r="T228" s="103">
        <f t="shared" si="15"/>
        <v>0</v>
      </c>
      <c r="U228" s="242">
        <v>1</v>
      </c>
      <c r="V228" s="103">
        <f t="shared" si="13"/>
        <v>1</v>
      </c>
      <c r="W228" s="241" t="s">
        <v>58</v>
      </c>
      <c r="X228" s="324">
        <f t="shared" si="14"/>
        <v>1</v>
      </c>
      <c r="Y228" s="235" t="s">
        <v>337</v>
      </c>
      <c r="Z228" s="340" t="s">
        <v>344</v>
      </c>
      <c r="AA228" s="237" t="s">
        <v>153</v>
      </c>
      <c r="AB228" s="83" t="s">
        <v>112</v>
      </c>
      <c r="AC228" s="242" t="s">
        <v>112</v>
      </c>
      <c r="AD228" s="27" t="s">
        <v>109</v>
      </c>
      <c r="AE228" s="243"/>
      <c r="AF228" s="79"/>
      <c r="AG228" s="237"/>
    </row>
    <row r="229" spans="1:33" s="15" customFormat="1" ht="60" x14ac:dyDescent="0.15">
      <c r="A229" s="237" t="s">
        <v>292</v>
      </c>
      <c r="B229" s="238">
        <v>260</v>
      </c>
      <c r="C229" s="237" t="s">
        <v>44</v>
      </c>
      <c r="D229" s="237" t="s">
        <v>153</v>
      </c>
      <c r="E229" s="237">
        <v>1</v>
      </c>
      <c r="F229" s="237" t="s">
        <v>333</v>
      </c>
      <c r="G229" s="239" t="s">
        <v>345</v>
      </c>
      <c r="H229" s="240">
        <v>44250.731736111113</v>
      </c>
      <c r="I229" s="237" t="s">
        <v>48</v>
      </c>
      <c r="J229" s="237">
        <v>10</v>
      </c>
      <c r="K229" s="100">
        <v>1.3</v>
      </c>
      <c r="L229" s="27" t="s">
        <v>346</v>
      </c>
      <c r="M229" s="241" t="s">
        <v>52</v>
      </c>
      <c r="N229" s="241" t="s">
        <v>1143</v>
      </c>
      <c r="O229" s="241" t="s">
        <v>1143</v>
      </c>
      <c r="P229" s="237">
        <v>1</v>
      </c>
      <c r="Q229" s="84" t="s">
        <v>102</v>
      </c>
      <c r="R229" s="103">
        <f t="shared" si="12"/>
        <v>1</v>
      </c>
      <c r="S229" s="82" t="s">
        <v>305</v>
      </c>
      <c r="T229" s="103">
        <f t="shared" si="15"/>
        <v>1</v>
      </c>
      <c r="U229" s="242">
        <v>1</v>
      </c>
      <c r="V229" s="103">
        <f t="shared" si="13"/>
        <v>1</v>
      </c>
      <c r="W229" s="241" t="s">
        <v>305</v>
      </c>
      <c r="X229" s="324">
        <f t="shared" si="14"/>
        <v>1</v>
      </c>
      <c r="Y229" s="235" t="s">
        <v>333</v>
      </c>
      <c r="Z229" s="340" t="s">
        <v>345</v>
      </c>
      <c r="AA229" s="237" t="s">
        <v>153</v>
      </c>
      <c r="AB229" s="83"/>
      <c r="AC229" s="242"/>
      <c r="AD229" s="27" t="s">
        <v>219</v>
      </c>
      <c r="AE229" s="243"/>
      <c r="AF229" s="79"/>
      <c r="AG229" s="237"/>
    </row>
    <row r="230" spans="1:33" s="15" customFormat="1" ht="60" x14ac:dyDescent="0.15">
      <c r="A230" s="237" t="s">
        <v>292</v>
      </c>
      <c r="B230" s="238">
        <v>260</v>
      </c>
      <c r="C230" s="237" t="s">
        <v>44</v>
      </c>
      <c r="D230" s="237" t="s">
        <v>153</v>
      </c>
      <c r="E230" s="237">
        <v>1</v>
      </c>
      <c r="F230" s="237" t="s">
        <v>337</v>
      </c>
      <c r="G230" s="239" t="s">
        <v>347</v>
      </c>
      <c r="H230" s="240">
        <v>44250.736759259256</v>
      </c>
      <c r="I230" s="237" t="s">
        <v>48</v>
      </c>
      <c r="J230" s="237">
        <v>10</v>
      </c>
      <c r="K230" s="100">
        <v>1.3</v>
      </c>
      <c r="L230" s="27" t="s">
        <v>52</v>
      </c>
      <c r="M230" s="241" t="s">
        <v>52</v>
      </c>
      <c r="N230" s="241" t="s">
        <v>1143</v>
      </c>
      <c r="O230" s="241" t="s">
        <v>1143</v>
      </c>
      <c r="P230" s="237">
        <v>1</v>
      </c>
      <c r="Q230" s="84" t="s">
        <v>102</v>
      </c>
      <c r="R230" s="103">
        <f t="shared" si="12"/>
        <v>1</v>
      </c>
      <c r="S230" s="82" t="s">
        <v>348</v>
      </c>
      <c r="T230" s="103">
        <f t="shared" si="15"/>
        <v>1</v>
      </c>
      <c r="U230" s="242">
        <v>1</v>
      </c>
      <c r="V230" s="103">
        <f t="shared" si="13"/>
        <v>1</v>
      </c>
      <c r="W230" s="241" t="s">
        <v>58</v>
      </c>
      <c r="X230" s="324">
        <f t="shared" si="14"/>
        <v>1</v>
      </c>
      <c r="Y230" s="235" t="s">
        <v>337</v>
      </c>
      <c r="Z230" s="340" t="s">
        <v>347</v>
      </c>
      <c r="AA230" s="237" t="s">
        <v>153</v>
      </c>
      <c r="AB230" s="83" t="s">
        <v>74</v>
      </c>
      <c r="AC230" s="242" t="s">
        <v>74</v>
      </c>
      <c r="AD230" s="27"/>
      <c r="AE230" s="243"/>
      <c r="AF230" s="79"/>
      <c r="AG230" s="237"/>
    </row>
    <row r="231" spans="1:33" s="15" customFormat="1" ht="30" x14ac:dyDescent="0.15">
      <c r="A231" s="237" t="s">
        <v>292</v>
      </c>
      <c r="B231" s="238">
        <v>260</v>
      </c>
      <c r="C231" s="237" t="s">
        <v>44</v>
      </c>
      <c r="D231" s="237" t="s">
        <v>153</v>
      </c>
      <c r="E231" s="237">
        <v>1</v>
      </c>
      <c r="F231" s="237" t="s">
        <v>335</v>
      </c>
      <c r="G231" s="239" t="s">
        <v>349</v>
      </c>
      <c r="H231" s="240">
        <v>44250.881504629629</v>
      </c>
      <c r="I231" s="237" t="s">
        <v>48</v>
      </c>
      <c r="J231" s="237">
        <v>10</v>
      </c>
      <c r="K231" s="100">
        <v>1.3</v>
      </c>
      <c r="L231" s="27" t="s">
        <v>52</v>
      </c>
      <c r="M231" s="241" t="s">
        <v>52</v>
      </c>
      <c r="N231" s="241" t="s">
        <v>1143</v>
      </c>
      <c r="O231" s="241" t="s">
        <v>1143</v>
      </c>
      <c r="P231" s="237">
        <v>1</v>
      </c>
      <c r="Q231" s="84" t="s">
        <v>312</v>
      </c>
      <c r="R231" s="103">
        <f t="shared" si="12"/>
        <v>1</v>
      </c>
      <c r="S231" s="82" t="s">
        <v>58</v>
      </c>
      <c r="T231" s="103">
        <f t="shared" si="15"/>
        <v>1</v>
      </c>
      <c r="U231" s="242">
        <v>1</v>
      </c>
      <c r="V231" s="103">
        <f t="shared" si="13"/>
        <v>1</v>
      </c>
      <c r="W231" s="241" t="s">
        <v>58</v>
      </c>
      <c r="X231" s="324">
        <f t="shared" si="14"/>
        <v>1</v>
      </c>
      <c r="Y231" s="235" t="s">
        <v>335</v>
      </c>
      <c r="Z231" s="340" t="s">
        <v>349</v>
      </c>
      <c r="AA231" s="237" t="s">
        <v>153</v>
      </c>
      <c r="AB231" s="83"/>
      <c r="AC231" s="242"/>
      <c r="AD231" s="27"/>
      <c r="AE231" s="243"/>
      <c r="AF231" s="79"/>
      <c r="AG231" s="237"/>
    </row>
    <row r="232" spans="1:33" s="15" customFormat="1" ht="60" x14ac:dyDescent="0.15">
      <c r="A232" s="237" t="s">
        <v>292</v>
      </c>
      <c r="B232" s="238">
        <v>260</v>
      </c>
      <c r="C232" s="237" t="s">
        <v>44</v>
      </c>
      <c r="D232" s="237" t="s">
        <v>153</v>
      </c>
      <c r="E232" s="237">
        <v>1</v>
      </c>
      <c r="F232" s="237" t="s">
        <v>337</v>
      </c>
      <c r="G232" s="239" t="s">
        <v>350</v>
      </c>
      <c r="H232" s="240">
        <v>44252.434814814813</v>
      </c>
      <c r="I232" s="237" t="s">
        <v>48</v>
      </c>
      <c r="J232" s="237">
        <v>10</v>
      </c>
      <c r="K232" s="100">
        <v>1.3</v>
      </c>
      <c r="L232" s="27" t="s">
        <v>1145</v>
      </c>
      <c r="M232" s="241" t="s">
        <v>108</v>
      </c>
      <c r="N232" s="241" t="s">
        <v>108</v>
      </c>
      <c r="O232" s="241" t="s">
        <v>108</v>
      </c>
      <c r="P232" s="237">
        <v>1</v>
      </c>
      <c r="Q232" s="84"/>
      <c r="R232" s="103">
        <f t="shared" si="12"/>
        <v>0</v>
      </c>
      <c r="S232" s="82"/>
      <c r="T232" s="103">
        <f t="shared" si="15"/>
        <v>1</v>
      </c>
      <c r="U232" s="242"/>
      <c r="V232" s="103">
        <f t="shared" si="13"/>
        <v>0</v>
      </c>
      <c r="W232" s="241" t="s">
        <v>331</v>
      </c>
      <c r="X232" s="324">
        <f t="shared" si="14"/>
        <v>1</v>
      </c>
      <c r="Y232" s="235" t="s">
        <v>337</v>
      </c>
      <c r="Z232" s="340" t="s">
        <v>350</v>
      </c>
      <c r="AA232" s="237" t="s">
        <v>153</v>
      </c>
      <c r="AB232" s="83" t="s">
        <v>112</v>
      </c>
      <c r="AC232" s="242" t="s">
        <v>261</v>
      </c>
      <c r="AD232" s="27" t="s">
        <v>1147</v>
      </c>
      <c r="AE232" s="243" t="s">
        <v>109</v>
      </c>
      <c r="AF232" s="79"/>
      <c r="AG232" s="237"/>
    </row>
    <row r="233" spans="1:33" s="15" customFormat="1" ht="15" x14ac:dyDescent="0.15">
      <c r="A233" s="237" t="s">
        <v>43</v>
      </c>
      <c r="B233" s="238">
        <v>260</v>
      </c>
      <c r="C233" s="237" t="s">
        <v>44</v>
      </c>
      <c r="D233" s="237" t="s">
        <v>45</v>
      </c>
      <c r="E233" s="237">
        <v>1</v>
      </c>
      <c r="F233" s="237" t="s">
        <v>351</v>
      </c>
      <c r="G233" s="239" t="s">
        <v>352</v>
      </c>
      <c r="H233" s="240">
        <v>44244.825254629628</v>
      </c>
      <c r="I233" s="237" t="s">
        <v>48</v>
      </c>
      <c r="J233" s="237">
        <v>8</v>
      </c>
      <c r="K233" s="100">
        <v>2.1</v>
      </c>
      <c r="L233" s="27" t="s">
        <v>108</v>
      </c>
      <c r="M233" s="241" t="s">
        <v>108</v>
      </c>
      <c r="N233" s="241" t="s">
        <v>108</v>
      </c>
      <c r="O233" s="241" t="s">
        <v>108</v>
      </c>
      <c r="P233" s="237">
        <v>1</v>
      </c>
      <c r="Q233" s="84" t="s">
        <v>295</v>
      </c>
      <c r="R233" s="103">
        <f t="shared" si="12"/>
        <v>1</v>
      </c>
      <c r="S233" s="82"/>
      <c r="T233" s="103">
        <f t="shared" si="15"/>
        <v>0</v>
      </c>
      <c r="U233" s="242">
        <v>1</v>
      </c>
      <c r="V233" s="103">
        <f t="shared" si="13"/>
        <v>1</v>
      </c>
      <c r="W233" s="241"/>
      <c r="X233" s="324">
        <f t="shared" si="14"/>
        <v>0</v>
      </c>
      <c r="Y233" s="235" t="s">
        <v>351</v>
      </c>
      <c r="Z233" s="340" t="s">
        <v>352</v>
      </c>
      <c r="AA233" s="237" t="s">
        <v>45</v>
      </c>
      <c r="AB233" s="83"/>
      <c r="AC233" s="242"/>
      <c r="AD233" s="27"/>
      <c r="AE233" s="243"/>
      <c r="AF233" s="79"/>
      <c r="AG233" s="237"/>
    </row>
    <row r="234" spans="1:33" s="15" customFormat="1" ht="15" x14ac:dyDescent="0.15">
      <c r="A234" s="237" t="s">
        <v>43</v>
      </c>
      <c r="B234" s="238">
        <v>260</v>
      </c>
      <c r="C234" s="237" t="s">
        <v>44</v>
      </c>
      <c r="D234" s="237" t="s">
        <v>45</v>
      </c>
      <c r="E234" s="237">
        <v>1</v>
      </c>
      <c r="F234" s="237" t="s">
        <v>353</v>
      </c>
      <c r="G234" s="239" t="s">
        <v>354</v>
      </c>
      <c r="H234" s="240">
        <v>44244.825462962966</v>
      </c>
      <c r="I234" s="237" t="s">
        <v>48</v>
      </c>
      <c r="J234" s="237">
        <v>9</v>
      </c>
      <c r="K234" s="100">
        <v>2.1</v>
      </c>
      <c r="L234" s="27" t="s">
        <v>108</v>
      </c>
      <c r="M234" s="241" t="s">
        <v>108</v>
      </c>
      <c r="N234" s="241" t="s">
        <v>108</v>
      </c>
      <c r="O234" s="241" t="s">
        <v>108</v>
      </c>
      <c r="P234" s="237">
        <v>1</v>
      </c>
      <c r="Q234" s="84" t="s">
        <v>102</v>
      </c>
      <c r="R234" s="103">
        <f t="shared" si="12"/>
        <v>1</v>
      </c>
      <c r="S234" s="82"/>
      <c r="T234" s="103">
        <f t="shared" si="15"/>
        <v>0</v>
      </c>
      <c r="U234" s="242">
        <v>1</v>
      </c>
      <c r="V234" s="103">
        <f t="shared" si="13"/>
        <v>1</v>
      </c>
      <c r="W234" s="241" t="s">
        <v>331</v>
      </c>
      <c r="X234" s="324">
        <f t="shared" si="14"/>
        <v>1</v>
      </c>
      <c r="Y234" s="235" t="s">
        <v>353</v>
      </c>
      <c r="Z234" s="340" t="s">
        <v>354</v>
      </c>
      <c r="AA234" s="237" t="s">
        <v>45</v>
      </c>
      <c r="AB234" s="83" t="s">
        <v>112</v>
      </c>
      <c r="AC234" s="242" t="s">
        <v>112</v>
      </c>
      <c r="AD234" s="27"/>
      <c r="AE234" s="243"/>
      <c r="AF234" s="79"/>
      <c r="AG234" s="237"/>
    </row>
    <row r="235" spans="1:33" s="15" customFormat="1" ht="60" x14ac:dyDescent="0.15">
      <c r="A235" s="237" t="s">
        <v>43</v>
      </c>
      <c r="B235" s="238">
        <v>260</v>
      </c>
      <c r="C235" s="237" t="s">
        <v>44</v>
      </c>
      <c r="D235" s="237" t="s">
        <v>45</v>
      </c>
      <c r="E235" s="237">
        <v>1</v>
      </c>
      <c r="F235" s="237" t="s">
        <v>353</v>
      </c>
      <c r="G235" s="239" t="s">
        <v>355</v>
      </c>
      <c r="H235" s="240">
        <v>44244.826296296298</v>
      </c>
      <c r="I235" s="237" t="s">
        <v>48</v>
      </c>
      <c r="J235" s="237">
        <v>9</v>
      </c>
      <c r="K235" s="100">
        <v>2.1</v>
      </c>
      <c r="L235" s="27" t="s">
        <v>1145</v>
      </c>
      <c r="M235" s="241" t="s">
        <v>108</v>
      </c>
      <c r="N235" s="241" t="s">
        <v>108</v>
      </c>
      <c r="O235" s="241" t="s">
        <v>108</v>
      </c>
      <c r="P235" s="237">
        <v>1</v>
      </c>
      <c r="Q235" s="84" t="s">
        <v>102</v>
      </c>
      <c r="R235" s="103">
        <f t="shared" si="12"/>
        <v>1</v>
      </c>
      <c r="S235" s="82"/>
      <c r="T235" s="103">
        <f t="shared" si="15"/>
        <v>0</v>
      </c>
      <c r="U235" s="242">
        <v>1</v>
      </c>
      <c r="V235" s="103">
        <f t="shared" si="13"/>
        <v>1</v>
      </c>
      <c r="W235" s="241" t="s">
        <v>305</v>
      </c>
      <c r="X235" s="324">
        <f t="shared" si="14"/>
        <v>1</v>
      </c>
      <c r="Y235" s="235" t="s">
        <v>353</v>
      </c>
      <c r="Z235" s="340" t="s">
        <v>355</v>
      </c>
      <c r="AA235" s="237" t="s">
        <v>45</v>
      </c>
      <c r="AB235" s="83"/>
      <c r="AC235" s="242"/>
      <c r="AD235" s="27" t="s">
        <v>1148</v>
      </c>
      <c r="AE235" s="243"/>
      <c r="AF235" s="79"/>
      <c r="AG235" s="237"/>
    </row>
    <row r="236" spans="1:33" s="15" customFormat="1" ht="45" x14ac:dyDescent="0.15">
      <c r="A236" s="237" t="s">
        <v>43</v>
      </c>
      <c r="B236" s="238">
        <v>260</v>
      </c>
      <c r="C236" s="237" t="s">
        <v>44</v>
      </c>
      <c r="D236" s="237" t="s">
        <v>45</v>
      </c>
      <c r="E236" s="237">
        <v>1</v>
      </c>
      <c r="F236" s="237" t="s">
        <v>351</v>
      </c>
      <c r="G236" s="239" t="s">
        <v>357</v>
      </c>
      <c r="H236" s="240">
        <v>44244.826319444444</v>
      </c>
      <c r="I236" s="237" t="s">
        <v>48</v>
      </c>
      <c r="J236" s="237">
        <v>8</v>
      </c>
      <c r="K236" s="100">
        <v>2.1</v>
      </c>
      <c r="L236" s="27" t="s">
        <v>108</v>
      </c>
      <c r="M236" s="241" t="s">
        <v>108</v>
      </c>
      <c r="N236" s="241" t="s">
        <v>108</v>
      </c>
      <c r="O236" s="241" t="s">
        <v>108</v>
      </c>
      <c r="P236" s="237">
        <v>1</v>
      </c>
      <c r="Q236" s="84" t="s">
        <v>102</v>
      </c>
      <c r="R236" s="103">
        <f t="shared" si="12"/>
        <v>1</v>
      </c>
      <c r="S236" s="82" t="s">
        <v>58</v>
      </c>
      <c r="T236" s="103">
        <f t="shared" si="15"/>
        <v>0</v>
      </c>
      <c r="U236" s="242">
        <v>1</v>
      </c>
      <c r="V236" s="103">
        <f t="shared" si="13"/>
        <v>1</v>
      </c>
      <c r="W236" s="241" t="s">
        <v>58</v>
      </c>
      <c r="X236" s="324">
        <f t="shared" si="14"/>
        <v>1</v>
      </c>
      <c r="Y236" s="235" t="s">
        <v>351</v>
      </c>
      <c r="Z236" s="340" t="s">
        <v>357</v>
      </c>
      <c r="AA236" s="237" t="s">
        <v>45</v>
      </c>
      <c r="AB236" s="83" t="s">
        <v>261</v>
      </c>
      <c r="AC236" s="242" t="s">
        <v>74</v>
      </c>
      <c r="AD236" s="27" t="s">
        <v>1150</v>
      </c>
      <c r="AE236" s="243"/>
      <c r="AF236" s="79"/>
      <c r="AG236" s="237"/>
    </row>
    <row r="237" spans="1:33" s="15" customFormat="1" ht="60" x14ac:dyDescent="0.15">
      <c r="A237" s="237" t="s">
        <v>43</v>
      </c>
      <c r="B237" s="238">
        <v>260</v>
      </c>
      <c r="C237" s="237" t="s">
        <v>44</v>
      </c>
      <c r="D237" s="237" t="s">
        <v>45</v>
      </c>
      <c r="E237" s="237">
        <v>1</v>
      </c>
      <c r="F237" s="237" t="s">
        <v>351</v>
      </c>
      <c r="G237" s="239" t="s">
        <v>359</v>
      </c>
      <c r="H237" s="240">
        <v>44244.827175925922</v>
      </c>
      <c r="I237" s="237" t="s">
        <v>48</v>
      </c>
      <c r="J237" s="237">
        <v>8</v>
      </c>
      <c r="K237" s="100">
        <v>2.1</v>
      </c>
      <c r="L237" s="27" t="s">
        <v>1145</v>
      </c>
      <c r="M237" s="241" t="s">
        <v>108</v>
      </c>
      <c r="N237" s="241" t="s">
        <v>108</v>
      </c>
      <c r="O237" s="241" t="s">
        <v>108</v>
      </c>
      <c r="P237" s="237">
        <v>1</v>
      </c>
      <c r="Q237" s="84" t="s">
        <v>102</v>
      </c>
      <c r="R237" s="103">
        <f t="shared" si="12"/>
        <v>1</v>
      </c>
      <c r="S237" s="82"/>
      <c r="T237" s="103">
        <f t="shared" si="15"/>
        <v>1</v>
      </c>
      <c r="U237" s="242">
        <v>1</v>
      </c>
      <c r="V237" s="103">
        <f t="shared" si="13"/>
        <v>1</v>
      </c>
      <c r="W237" s="241" t="s">
        <v>58</v>
      </c>
      <c r="X237" s="324">
        <f t="shared" si="14"/>
        <v>1</v>
      </c>
      <c r="Y237" s="235" t="s">
        <v>351</v>
      </c>
      <c r="Z237" s="340" t="s">
        <v>359</v>
      </c>
      <c r="AA237" s="237" t="s">
        <v>45</v>
      </c>
      <c r="AB237" s="83"/>
      <c r="AC237" s="242"/>
      <c r="AD237" s="27" t="s">
        <v>1148</v>
      </c>
      <c r="AE237" s="243"/>
      <c r="AF237" s="79"/>
      <c r="AG237" s="237"/>
    </row>
    <row r="238" spans="1:33" s="15" customFormat="1" ht="60" x14ac:dyDescent="0.15">
      <c r="A238" s="237" t="s">
        <v>43</v>
      </c>
      <c r="B238" s="238">
        <v>260</v>
      </c>
      <c r="C238" s="237" t="s">
        <v>44</v>
      </c>
      <c r="D238" s="237" t="s">
        <v>45</v>
      </c>
      <c r="E238" s="237">
        <v>1</v>
      </c>
      <c r="F238" s="237" t="s">
        <v>360</v>
      </c>
      <c r="G238" s="239" t="s">
        <v>361</v>
      </c>
      <c r="H238" s="240">
        <v>44244.827523148146</v>
      </c>
      <c r="I238" s="237" t="s">
        <v>48</v>
      </c>
      <c r="J238" s="237">
        <v>8</v>
      </c>
      <c r="K238" s="100">
        <v>2.1</v>
      </c>
      <c r="L238" s="27" t="s">
        <v>1145</v>
      </c>
      <c r="M238" s="241" t="s">
        <v>108</v>
      </c>
      <c r="N238" s="241" t="s">
        <v>108</v>
      </c>
      <c r="O238" s="241" t="s">
        <v>108</v>
      </c>
      <c r="P238" s="237">
        <v>1</v>
      </c>
      <c r="Q238" s="84" t="s">
        <v>102</v>
      </c>
      <c r="R238" s="103">
        <f t="shared" si="12"/>
        <v>1</v>
      </c>
      <c r="S238" s="82"/>
      <c r="T238" s="103">
        <f t="shared" si="15"/>
        <v>0</v>
      </c>
      <c r="U238" s="242">
        <v>1</v>
      </c>
      <c r="V238" s="103">
        <f t="shared" si="13"/>
        <v>1</v>
      </c>
      <c r="W238" s="241" t="s">
        <v>305</v>
      </c>
      <c r="X238" s="324">
        <f t="shared" si="14"/>
        <v>1</v>
      </c>
      <c r="Y238" s="235" t="s">
        <v>360</v>
      </c>
      <c r="Z238" s="340" t="s">
        <v>361</v>
      </c>
      <c r="AA238" s="237" t="s">
        <v>45</v>
      </c>
      <c r="AB238" s="83"/>
      <c r="AC238" s="242"/>
      <c r="AD238" s="27" t="s">
        <v>1149</v>
      </c>
      <c r="AE238" s="243"/>
      <c r="AF238" s="79"/>
      <c r="AG238" s="237"/>
    </row>
    <row r="239" spans="1:33" s="15" customFormat="1" ht="60" x14ac:dyDescent="0.15">
      <c r="A239" s="237" t="s">
        <v>43</v>
      </c>
      <c r="B239" s="238">
        <v>260</v>
      </c>
      <c r="C239" s="237" t="s">
        <v>44</v>
      </c>
      <c r="D239" s="237" t="s">
        <v>45</v>
      </c>
      <c r="E239" s="237">
        <v>1</v>
      </c>
      <c r="F239" s="237" t="s">
        <v>353</v>
      </c>
      <c r="G239" s="239" t="s">
        <v>362</v>
      </c>
      <c r="H239" s="240">
        <v>44244.828009259261</v>
      </c>
      <c r="I239" s="237" t="s">
        <v>48</v>
      </c>
      <c r="J239" s="237">
        <v>10</v>
      </c>
      <c r="K239" s="100">
        <v>2.1</v>
      </c>
      <c r="L239" s="27" t="s">
        <v>1145</v>
      </c>
      <c r="M239" s="241" t="s">
        <v>363</v>
      </c>
      <c r="N239" s="241" t="s">
        <v>49</v>
      </c>
      <c r="O239" s="241" t="s">
        <v>1163</v>
      </c>
      <c r="P239" s="237">
        <v>1</v>
      </c>
      <c r="Q239" s="84" t="s">
        <v>102</v>
      </c>
      <c r="R239" s="103">
        <f t="shared" si="12"/>
        <v>1</v>
      </c>
      <c r="S239" s="82"/>
      <c r="T239" s="103">
        <f t="shared" si="15"/>
        <v>0</v>
      </c>
      <c r="U239" s="242">
        <v>1</v>
      </c>
      <c r="V239" s="103">
        <f t="shared" si="13"/>
        <v>1</v>
      </c>
      <c r="W239" s="241" t="s">
        <v>58</v>
      </c>
      <c r="X239" s="324">
        <f t="shared" si="14"/>
        <v>1</v>
      </c>
      <c r="Y239" s="235" t="s">
        <v>353</v>
      </c>
      <c r="Z239" s="340" t="s">
        <v>362</v>
      </c>
      <c r="AA239" s="237" t="s">
        <v>45</v>
      </c>
      <c r="AB239" s="83"/>
      <c r="AC239" s="242"/>
      <c r="AD239" s="27" t="s">
        <v>1149</v>
      </c>
      <c r="AE239" s="243"/>
      <c r="AF239" s="79"/>
      <c r="AG239" s="237"/>
    </row>
    <row r="240" spans="1:33" s="15" customFormat="1" ht="45" x14ac:dyDescent="0.15">
      <c r="A240" s="237" t="s">
        <v>43</v>
      </c>
      <c r="B240" s="238">
        <v>260</v>
      </c>
      <c r="C240" s="237" t="s">
        <v>44</v>
      </c>
      <c r="D240" s="237" t="s">
        <v>45</v>
      </c>
      <c r="E240" s="237">
        <v>1</v>
      </c>
      <c r="F240" s="237" t="s">
        <v>360</v>
      </c>
      <c r="G240" s="239" t="s">
        <v>364</v>
      </c>
      <c r="H240" s="240">
        <v>44244.828101851854</v>
      </c>
      <c r="I240" s="237" t="s">
        <v>48</v>
      </c>
      <c r="J240" s="237">
        <v>8</v>
      </c>
      <c r="K240" s="100">
        <v>2.1</v>
      </c>
      <c r="L240" s="27" t="s">
        <v>108</v>
      </c>
      <c r="M240" s="241" t="s">
        <v>108</v>
      </c>
      <c r="N240" s="241" t="s">
        <v>108</v>
      </c>
      <c r="O240" s="241" t="s">
        <v>108</v>
      </c>
      <c r="P240" s="237">
        <v>1</v>
      </c>
      <c r="Q240" s="84" t="s">
        <v>102</v>
      </c>
      <c r="R240" s="103">
        <f t="shared" si="12"/>
        <v>1</v>
      </c>
      <c r="S240" s="82"/>
      <c r="T240" s="103">
        <f t="shared" si="15"/>
        <v>0</v>
      </c>
      <c r="U240" s="242">
        <v>1</v>
      </c>
      <c r="V240" s="103">
        <f t="shared" si="13"/>
        <v>1</v>
      </c>
      <c r="W240" s="241"/>
      <c r="X240" s="324">
        <f t="shared" si="14"/>
        <v>0</v>
      </c>
      <c r="Y240" s="235" t="s">
        <v>360</v>
      </c>
      <c r="Z240" s="340" t="s">
        <v>364</v>
      </c>
      <c r="AA240" s="237" t="s">
        <v>45</v>
      </c>
      <c r="AB240" s="83"/>
      <c r="AC240" s="242"/>
      <c r="AD240" s="27" t="s">
        <v>1150</v>
      </c>
      <c r="AE240" s="243"/>
      <c r="AF240" s="79"/>
      <c r="AG240" s="237"/>
    </row>
    <row r="241" spans="1:33" s="15" customFormat="1" ht="30" x14ac:dyDescent="0.15">
      <c r="A241" s="237" t="s">
        <v>43</v>
      </c>
      <c r="B241" s="238">
        <v>260</v>
      </c>
      <c r="C241" s="237" t="s">
        <v>44</v>
      </c>
      <c r="D241" s="237" t="s">
        <v>45</v>
      </c>
      <c r="E241" s="237">
        <v>1</v>
      </c>
      <c r="F241" s="237" t="s">
        <v>351</v>
      </c>
      <c r="G241" s="239" t="s">
        <v>365</v>
      </c>
      <c r="H241" s="240">
        <v>44244.828275462962</v>
      </c>
      <c r="I241" s="237" t="s">
        <v>48</v>
      </c>
      <c r="J241" s="237">
        <v>8</v>
      </c>
      <c r="K241" s="100">
        <v>2.1</v>
      </c>
      <c r="L241" s="27" t="s">
        <v>108</v>
      </c>
      <c r="M241" s="241" t="s">
        <v>108</v>
      </c>
      <c r="N241" s="241" t="s">
        <v>108</v>
      </c>
      <c r="O241" s="241" t="s">
        <v>108</v>
      </c>
      <c r="P241" s="237">
        <v>1</v>
      </c>
      <c r="Q241" s="84" t="s">
        <v>102</v>
      </c>
      <c r="R241" s="103">
        <f t="shared" si="12"/>
        <v>1</v>
      </c>
      <c r="S241" s="82" t="s">
        <v>58</v>
      </c>
      <c r="T241" s="103">
        <f t="shared" si="15"/>
        <v>0</v>
      </c>
      <c r="U241" s="242">
        <v>1</v>
      </c>
      <c r="V241" s="103">
        <f t="shared" si="13"/>
        <v>1</v>
      </c>
      <c r="W241" s="241" t="s">
        <v>58</v>
      </c>
      <c r="X241" s="324">
        <f t="shared" si="14"/>
        <v>1</v>
      </c>
      <c r="Y241" s="235" t="s">
        <v>351</v>
      </c>
      <c r="Z241" s="340" t="s">
        <v>365</v>
      </c>
      <c r="AA241" s="237" t="s">
        <v>45</v>
      </c>
      <c r="AB241" s="83" t="s">
        <v>261</v>
      </c>
      <c r="AC241" s="242" t="s">
        <v>261</v>
      </c>
      <c r="AD241" s="27"/>
      <c r="AE241" s="243"/>
      <c r="AF241" s="79"/>
      <c r="AG241" s="237"/>
    </row>
    <row r="242" spans="1:33" s="15" customFormat="1" ht="15" x14ac:dyDescent="0.15">
      <c r="A242" s="237" t="s">
        <v>43</v>
      </c>
      <c r="B242" s="238">
        <v>260</v>
      </c>
      <c r="C242" s="237" t="s">
        <v>44</v>
      </c>
      <c r="D242" s="237" t="s">
        <v>45</v>
      </c>
      <c r="E242" s="237">
        <v>1</v>
      </c>
      <c r="F242" s="237" t="s">
        <v>360</v>
      </c>
      <c r="G242" s="239" t="s">
        <v>366</v>
      </c>
      <c r="H242" s="240">
        <v>44244.828368055554</v>
      </c>
      <c r="I242" s="237" t="s">
        <v>48</v>
      </c>
      <c r="J242" s="237">
        <v>8</v>
      </c>
      <c r="K242" s="100">
        <v>2.1</v>
      </c>
      <c r="L242" s="27" t="s">
        <v>108</v>
      </c>
      <c r="M242" s="241" t="s">
        <v>108</v>
      </c>
      <c r="N242" s="241" t="s">
        <v>108</v>
      </c>
      <c r="O242" s="241" t="s">
        <v>108</v>
      </c>
      <c r="P242" s="237">
        <v>1</v>
      </c>
      <c r="Q242" s="84" t="s">
        <v>102</v>
      </c>
      <c r="R242" s="103">
        <f t="shared" si="12"/>
        <v>1</v>
      </c>
      <c r="S242" s="82"/>
      <c r="T242" s="103">
        <f t="shared" si="15"/>
        <v>1</v>
      </c>
      <c r="U242" s="242"/>
      <c r="V242" s="103">
        <f t="shared" si="13"/>
        <v>0</v>
      </c>
      <c r="W242" s="241"/>
      <c r="X242" s="324">
        <f t="shared" si="14"/>
        <v>0</v>
      </c>
      <c r="Y242" s="235" t="s">
        <v>360</v>
      </c>
      <c r="Z242" s="340" t="s">
        <v>366</v>
      </c>
      <c r="AA242" s="237" t="s">
        <v>45</v>
      </c>
      <c r="AB242" s="83"/>
      <c r="AC242" s="242"/>
      <c r="AD242" s="27"/>
      <c r="AE242" s="243"/>
      <c r="AF242" s="79"/>
      <c r="AG242" s="237"/>
    </row>
    <row r="243" spans="1:33" s="15" customFormat="1" ht="15" x14ac:dyDescent="0.15">
      <c r="A243" s="237" t="s">
        <v>43</v>
      </c>
      <c r="B243" s="238">
        <v>260</v>
      </c>
      <c r="C243" s="237" t="s">
        <v>44</v>
      </c>
      <c r="D243" s="237" t="s">
        <v>45</v>
      </c>
      <c r="E243" s="237">
        <v>1</v>
      </c>
      <c r="F243" s="237" t="s">
        <v>353</v>
      </c>
      <c r="G243" s="239" t="s">
        <v>367</v>
      </c>
      <c r="H243" s="240">
        <v>44244.828784722224</v>
      </c>
      <c r="I243" s="237" t="s">
        <v>48</v>
      </c>
      <c r="J243" s="237">
        <v>10</v>
      </c>
      <c r="K243" s="100">
        <v>2.1</v>
      </c>
      <c r="L243" s="27" t="s">
        <v>108</v>
      </c>
      <c r="M243" s="241" t="s">
        <v>108</v>
      </c>
      <c r="N243" s="241" t="s">
        <v>108</v>
      </c>
      <c r="O243" s="241" t="s">
        <v>108</v>
      </c>
      <c r="P243" s="237">
        <v>1</v>
      </c>
      <c r="Q243" s="84" t="s">
        <v>102</v>
      </c>
      <c r="R243" s="103">
        <f t="shared" si="12"/>
        <v>1</v>
      </c>
      <c r="S243" s="82"/>
      <c r="T243" s="103">
        <f t="shared" si="15"/>
        <v>0</v>
      </c>
      <c r="U243" s="242">
        <v>1</v>
      </c>
      <c r="V243" s="103">
        <f t="shared" si="13"/>
        <v>1</v>
      </c>
      <c r="W243" s="241" t="s">
        <v>331</v>
      </c>
      <c r="X243" s="324">
        <f t="shared" si="14"/>
        <v>1</v>
      </c>
      <c r="Y243" s="235" t="s">
        <v>353</v>
      </c>
      <c r="Z243" s="340" t="s">
        <v>367</v>
      </c>
      <c r="AA243" s="237" t="s">
        <v>45</v>
      </c>
      <c r="AB243" s="83" t="s">
        <v>112</v>
      </c>
      <c r="AC243" s="242" t="s">
        <v>368</v>
      </c>
      <c r="AD243" s="27"/>
      <c r="AE243" s="243"/>
      <c r="AF243" s="79"/>
      <c r="AG243" s="237"/>
    </row>
    <row r="244" spans="1:33" s="15" customFormat="1" ht="15" x14ac:dyDescent="0.15">
      <c r="A244" s="237" t="s">
        <v>43</v>
      </c>
      <c r="B244" s="238">
        <v>260</v>
      </c>
      <c r="C244" s="237" t="s">
        <v>44</v>
      </c>
      <c r="D244" s="237" t="s">
        <v>45</v>
      </c>
      <c r="E244" s="237">
        <v>1</v>
      </c>
      <c r="F244" s="237" t="s">
        <v>360</v>
      </c>
      <c r="G244" s="239" t="s">
        <v>369</v>
      </c>
      <c r="H244" s="240">
        <v>44244.829050925924</v>
      </c>
      <c r="I244" s="237" t="s">
        <v>48</v>
      </c>
      <c r="J244" s="237">
        <v>8</v>
      </c>
      <c r="K244" s="100">
        <v>2.1</v>
      </c>
      <c r="L244" s="27" t="s">
        <v>108</v>
      </c>
      <c r="M244" s="241" t="s">
        <v>108</v>
      </c>
      <c r="N244" s="241" t="s">
        <v>108</v>
      </c>
      <c r="O244" s="241" t="s">
        <v>108</v>
      </c>
      <c r="P244" s="237">
        <v>1</v>
      </c>
      <c r="Q244" s="84" t="s">
        <v>102</v>
      </c>
      <c r="R244" s="103">
        <f t="shared" si="12"/>
        <v>1</v>
      </c>
      <c r="S244" s="82"/>
      <c r="T244" s="103">
        <f t="shared" si="15"/>
        <v>0</v>
      </c>
      <c r="U244" s="242">
        <v>1</v>
      </c>
      <c r="V244" s="103">
        <f t="shared" si="13"/>
        <v>1</v>
      </c>
      <c r="W244" s="241" t="s">
        <v>305</v>
      </c>
      <c r="X244" s="324">
        <f t="shared" si="14"/>
        <v>1</v>
      </c>
      <c r="Y244" s="235" t="s">
        <v>360</v>
      </c>
      <c r="Z244" s="340" t="s">
        <v>369</v>
      </c>
      <c r="AA244" s="237" t="s">
        <v>45</v>
      </c>
      <c r="AB244" s="83"/>
      <c r="AC244" s="242"/>
      <c r="AD244" s="27"/>
      <c r="AE244" s="243"/>
      <c r="AF244" s="79"/>
      <c r="AG244" s="237"/>
    </row>
    <row r="245" spans="1:33" s="15" customFormat="1" ht="15" x14ac:dyDescent="0.15">
      <c r="A245" s="237" t="s">
        <v>43</v>
      </c>
      <c r="B245" s="238">
        <v>260</v>
      </c>
      <c r="C245" s="237" t="s">
        <v>44</v>
      </c>
      <c r="D245" s="237" t="s">
        <v>45</v>
      </c>
      <c r="E245" s="237">
        <v>1</v>
      </c>
      <c r="F245" s="237" t="s">
        <v>360</v>
      </c>
      <c r="G245" s="239" t="s">
        <v>370</v>
      </c>
      <c r="H245" s="240">
        <v>44244.829351851855</v>
      </c>
      <c r="I245" s="237" t="s">
        <v>48</v>
      </c>
      <c r="J245" s="237">
        <v>8</v>
      </c>
      <c r="K245" s="100">
        <v>2.1</v>
      </c>
      <c r="L245" s="27" t="s">
        <v>108</v>
      </c>
      <c r="M245" s="241" t="s">
        <v>108</v>
      </c>
      <c r="N245" s="241" t="s">
        <v>108</v>
      </c>
      <c r="O245" s="241" t="s">
        <v>108</v>
      </c>
      <c r="P245" s="237">
        <v>1</v>
      </c>
      <c r="Q245" s="84" t="s">
        <v>102</v>
      </c>
      <c r="R245" s="103">
        <f t="shared" si="12"/>
        <v>1</v>
      </c>
      <c r="S245" s="82"/>
      <c r="T245" s="103">
        <f t="shared" si="15"/>
        <v>0</v>
      </c>
      <c r="U245" s="242">
        <v>1</v>
      </c>
      <c r="V245" s="103">
        <f t="shared" si="13"/>
        <v>1</v>
      </c>
      <c r="W245" s="241" t="s">
        <v>305</v>
      </c>
      <c r="X245" s="324">
        <f t="shared" si="14"/>
        <v>1</v>
      </c>
      <c r="Y245" s="235" t="s">
        <v>360</v>
      </c>
      <c r="Z245" s="340" t="s">
        <v>370</v>
      </c>
      <c r="AA245" s="237" t="s">
        <v>45</v>
      </c>
      <c r="AB245" s="83"/>
      <c r="AC245" s="242"/>
      <c r="AD245" s="27"/>
      <c r="AE245" s="243"/>
      <c r="AF245" s="79"/>
      <c r="AG245" s="237"/>
    </row>
    <row r="246" spans="1:33" s="15" customFormat="1" ht="15" x14ac:dyDescent="0.15">
      <c r="A246" s="237" t="s">
        <v>43</v>
      </c>
      <c r="B246" s="238">
        <v>260</v>
      </c>
      <c r="C246" s="237" t="s">
        <v>44</v>
      </c>
      <c r="D246" s="237" t="s">
        <v>45</v>
      </c>
      <c r="E246" s="237">
        <v>1</v>
      </c>
      <c r="F246" s="237" t="s">
        <v>351</v>
      </c>
      <c r="G246" s="239" t="s">
        <v>371</v>
      </c>
      <c r="H246" s="240">
        <v>44244.829594907409</v>
      </c>
      <c r="I246" s="237" t="s">
        <v>48</v>
      </c>
      <c r="J246" s="237">
        <v>8</v>
      </c>
      <c r="K246" s="100">
        <v>2.1</v>
      </c>
      <c r="L246" s="27" t="s">
        <v>108</v>
      </c>
      <c r="M246" s="241" t="s">
        <v>108</v>
      </c>
      <c r="N246" s="241" t="s">
        <v>108</v>
      </c>
      <c r="O246" s="241" t="s">
        <v>108</v>
      </c>
      <c r="P246" s="237">
        <v>1</v>
      </c>
      <c r="Q246" s="84" t="s">
        <v>102</v>
      </c>
      <c r="R246" s="103">
        <f t="shared" si="12"/>
        <v>1</v>
      </c>
      <c r="S246" s="82"/>
      <c r="T246" s="103">
        <f t="shared" si="15"/>
        <v>0</v>
      </c>
      <c r="U246" s="242">
        <v>1</v>
      </c>
      <c r="V246" s="103">
        <f t="shared" si="13"/>
        <v>1</v>
      </c>
      <c r="W246" s="241" t="s">
        <v>305</v>
      </c>
      <c r="X246" s="324">
        <f t="shared" si="14"/>
        <v>1</v>
      </c>
      <c r="Y246" s="235" t="s">
        <v>351</v>
      </c>
      <c r="Z246" s="340" t="s">
        <v>371</v>
      </c>
      <c r="AA246" s="237" t="s">
        <v>45</v>
      </c>
      <c r="AB246" s="83"/>
      <c r="AC246" s="242"/>
      <c r="AD246" s="27"/>
      <c r="AE246" s="243"/>
      <c r="AF246" s="79"/>
      <c r="AG246" s="237"/>
    </row>
    <row r="247" spans="1:33" s="15" customFormat="1" ht="30" x14ac:dyDescent="0.15">
      <c r="A247" s="237" t="s">
        <v>43</v>
      </c>
      <c r="B247" s="238">
        <v>260</v>
      </c>
      <c r="C247" s="237" t="s">
        <v>44</v>
      </c>
      <c r="D247" s="237" t="s">
        <v>45</v>
      </c>
      <c r="E247" s="237">
        <v>1</v>
      </c>
      <c r="F247" s="237" t="s">
        <v>360</v>
      </c>
      <c r="G247" s="239" t="s">
        <v>372</v>
      </c>
      <c r="H247" s="240">
        <v>44244.829907407409</v>
      </c>
      <c r="I247" s="237" t="s">
        <v>48</v>
      </c>
      <c r="J247" s="237">
        <v>8</v>
      </c>
      <c r="K247" s="100">
        <v>2.1</v>
      </c>
      <c r="L247" s="27" t="s">
        <v>346</v>
      </c>
      <c r="M247" s="241" t="s">
        <v>346</v>
      </c>
      <c r="N247" s="241" t="s">
        <v>108</v>
      </c>
      <c r="O247" s="241" t="s">
        <v>108</v>
      </c>
      <c r="P247" s="237">
        <v>1</v>
      </c>
      <c r="Q247" s="84" t="s">
        <v>102</v>
      </c>
      <c r="R247" s="103">
        <f t="shared" si="12"/>
        <v>1</v>
      </c>
      <c r="S247" s="82"/>
      <c r="T247" s="103">
        <f t="shared" si="15"/>
        <v>0</v>
      </c>
      <c r="U247" s="242">
        <v>1</v>
      </c>
      <c r="V247" s="103">
        <f t="shared" si="13"/>
        <v>1</v>
      </c>
      <c r="W247" s="241" t="s">
        <v>305</v>
      </c>
      <c r="X247" s="324">
        <f t="shared" si="14"/>
        <v>1</v>
      </c>
      <c r="Y247" s="235" t="s">
        <v>360</v>
      </c>
      <c r="Z247" s="340" t="s">
        <v>372</v>
      </c>
      <c r="AA247" s="237" t="s">
        <v>45</v>
      </c>
      <c r="AB247" s="83"/>
      <c r="AC247" s="242"/>
      <c r="AD247" s="27" t="s">
        <v>219</v>
      </c>
      <c r="AE247" s="243"/>
      <c r="AF247" s="79"/>
      <c r="AG247" s="237"/>
    </row>
    <row r="248" spans="1:33" s="15" customFormat="1" ht="15" x14ac:dyDescent="0.15">
      <c r="A248" s="237" t="s">
        <v>43</v>
      </c>
      <c r="B248" s="238">
        <v>260</v>
      </c>
      <c r="C248" s="237" t="s">
        <v>44</v>
      </c>
      <c r="D248" s="237" t="s">
        <v>45</v>
      </c>
      <c r="E248" s="237">
        <v>1</v>
      </c>
      <c r="F248" s="237" t="s">
        <v>351</v>
      </c>
      <c r="G248" s="239" t="s">
        <v>373</v>
      </c>
      <c r="H248" s="240">
        <v>44244.830069444448</v>
      </c>
      <c r="I248" s="237" t="s">
        <v>48</v>
      </c>
      <c r="J248" s="237">
        <v>8</v>
      </c>
      <c r="K248" s="100">
        <v>2.1</v>
      </c>
      <c r="L248" s="27" t="s">
        <v>108</v>
      </c>
      <c r="M248" s="241" t="s">
        <v>108</v>
      </c>
      <c r="N248" s="241" t="s">
        <v>108</v>
      </c>
      <c r="O248" s="241" t="s">
        <v>108</v>
      </c>
      <c r="P248" s="237">
        <v>1</v>
      </c>
      <c r="Q248" s="84" t="s">
        <v>102</v>
      </c>
      <c r="R248" s="103">
        <f t="shared" si="12"/>
        <v>1</v>
      </c>
      <c r="S248" s="82"/>
      <c r="T248" s="103">
        <f t="shared" si="15"/>
        <v>0</v>
      </c>
      <c r="U248" s="242">
        <v>1</v>
      </c>
      <c r="V248" s="103">
        <f t="shared" si="13"/>
        <v>1</v>
      </c>
      <c r="W248" s="241" t="s">
        <v>58</v>
      </c>
      <c r="X248" s="324">
        <f t="shared" si="14"/>
        <v>1</v>
      </c>
      <c r="Y248" s="235" t="s">
        <v>351</v>
      </c>
      <c r="Z248" s="340" t="s">
        <v>373</v>
      </c>
      <c r="AA248" s="237" t="s">
        <v>45</v>
      </c>
      <c r="AB248" s="83"/>
      <c r="AC248" s="242"/>
      <c r="AD248" s="27"/>
      <c r="AE248" s="243"/>
      <c r="AF248" s="79"/>
      <c r="AG248" s="237"/>
    </row>
    <row r="249" spans="1:33" s="15" customFormat="1" ht="30" x14ac:dyDescent="0.15">
      <c r="A249" s="237" t="s">
        <v>43</v>
      </c>
      <c r="B249" s="238">
        <v>260</v>
      </c>
      <c r="C249" s="237" t="s">
        <v>44</v>
      </c>
      <c r="D249" s="237" t="s">
        <v>45</v>
      </c>
      <c r="E249" s="237">
        <v>1</v>
      </c>
      <c r="F249" s="237" t="s">
        <v>353</v>
      </c>
      <c r="G249" s="239" t="s">
        <v>374</v>
      </c>
      <c r="H249" s="240">
        <v>44244.830358796295</v>
      </c>
      <c r="I249" s="237" t="s">
        <v>48</v>
      </c>
      <c r="J249" s="237">
        <v>10</v>
      </c>
      <c r="K249" s="100">
        <v>2.1</v>
      </c>
      <c r="L249" s="27" t="s">
        <v>52</v>
      </c>
      <c r="M249" s="241" t="s">
        <v>52</v>
      </c>
      <c r="N249" s="241" t="s">
        <v>1143</v>
      </c>
      <c r="O249" s="241" t="s">
        <v>1143</v>
      </c>
      <c r="P249" s="237">
        <v>1</v>
      </c>
      <c r="Q249" s="84" t="s">
        <v>102</v>
      </c>
      <c r="R249" s="103">
        <f t="shared" si="12"/>
        <v>1</v>
      </c>
      <c r="S249" s="82" t="s">
        <v>302</v>
      </c>
      <c r="T249" s="103">
        <f t="shared" si="15"/>
        <v>0</v>
      </c>
      <c r="U249" s="242">
        <v>1</v>
      </c>
      <c r="V249" s="103">
        <f t="shared" si="13"/>
        <v>1</v>
      </c>
      <c r="W249" s="241" t="s">
        <v>305</v>
      </c>
      <c r="X249" s="324">
        <f t="shared" si="14"/>
        <v>1</v>
      </c>
      <c r="Y249" s="235" t="s">
        <v>353</v>
      </c>
      <c r="Z249" s="340" t="s">
        <v>374</v>
      </c>
      <c r="AA249" s="237" t="s">
        <v>45</v>
      </c>
      <c r="AB249" s="83"/>
      <c r="AC249" s="242"/>
      <c r="AD249" s="27"/>
      <c r="AE249" s="243"/>
      <c r="AF249" s="79"/>
      <c r="AG249" s="237"/>
    </row>
    <row r="250" spans="1:33" s="15" customFormat="1" ht="255" x14ac:dyDescent="0.15">
      <c r="A250" s="237" t="s">
        <v>43</v>
      </c>
      <c r="B250" s="238">
        <v>260</v>
      </c>
      <c r="C250" s="237" t="s">
        <v>44</v>
      </c>
      <c r="D250" s="237" t="s">
        <v>45</v>
      </c>
      <c r="E250" s="237">
        <v>1</v>
      </c>
      <c r="F250" s="237" t="s">
        <v>360</v>
      </c>
      <c r="G250" s="239" t="s">
        <v>375</v>
      </c>
      <c r="H250" s="240">
        <v>44244.830416666664</v>
      </c>
      <c r="I250" s="237" t="s">
        <v>48</v>
      </c>
      <c r="J250" s="237">
        <v>8</v>
      </c>
      <c r="K250" s="100">
        <v>2.1</v>
      </c>
      <c r="L250" s="27" t="s">
        <v>108</v>
      </c>
      <c r="M250" s="241" t="s">
        <v>108</v>
      </c>
      <c r="N250" s="241" t="s">
        <v>108</v>
      </c>
      <c r="O250" s="241" t="s">
        <v>108</v>
      </c>
      <c r="P250" s="237">
        <v>1</v>
      </c>
      <c r="Q250" s="84" t="s">
        <v>102</v>
      </c>
      <c r="R250" s="103">
        <f t="shared" si="12"/>
        <v>1</v>
      </c>
      <c r="S250" s="82"/>
      <c r="T250" s="103">
        <f t="shared" si="15"/>
        <v>1</v>
      </c>
      <c r="U250" s="242">
        <v>1</v>
      </c>
      <c r="V250" s="103">
        <f t="shared" si="13"/>
        <v>1</v>
      </c>
      <c r="W250" s="241" t="s">
        <v>305</v>
      </c>
      <c r="X250" s="324">
        <f t="shared" si="14"/>
        <v>1</v>
      </c>
      <c r="Y250" s="235" t="s">
        <v>360</v>
      </c>
      <c r="Z250" s="340" t="s">
        <v>375</v>
      </c>
      <c r="AA250" s="237" t="s">
        <v>45</v>
      </c>
      <c r="AB250" s="83"/>
      <c r="AC250" s="242"/>
      <c r="AD250" s="27" t="s">
        <v>109</v>
      </c>
      <c r="AE250" s="243"/>
      <c r="AF250" s="85" t="s">
        <v>376</v>
      </c>
      <c r="AG250" s="237"/>
    </row>
    <row r="251" spans="1:33" s="15" customFormat="1" ht="135" x14ac:dyDescent="0.15">
      <c r="A251" s="237" t="s">
        <v>43</v>
      </c>
      <c r="B251" s="238">
        <v>260</v>
      </c>
      <c r="C251" s="237" t="s">
        <v>44</v>
      </c>
      <c r="D251" s="237" t="s">
        <v>45</v>
      </c>
      <c r="E251" s="237">
        <v>1</v>
      </c>
      <c r="F251" s="237" t="s">
        <v>360</v>
      </c>
      <c r="G251" s="239" t="s">
        <v>377</v>
      </c>
      <c r="H251" s="240">
        <v>44244.830821759257</v>
      </c>
      <c r="I251" s="237" t="s">
        <v>48</v>
      </c>
      <c r="J251" s="237">
        <v>8</v>
      </c>
      <c r="K251" s="100">
        <v>2.1</v>
      </c>
      <c r="L251" s="27" t="s">
        <v>52</v>
      </c>
      <c r="M251" s="241" t="s">
        <v>52</v>
      </c>
      <c r="N251" s="241" t="s">
        <v>1143</v>
      </c>
      <c r="O251" s="241" t="s">
        <v>1143</v>
      </c>
      <c r="P251" s="237">
        <v>1</v>
      </c>
      <c r="Q251" s="84" t="s">
        <v>102</v>
      </c>
      <c r="R251" s="103">
        <f t="shared" si="12"/>
        <v>1</v>
      </c>
      <c r="S251" s="82" t="s">
        <v>58</v>
      </c>
      <c r="T251" s="103">
        <f t="shared" si="15"/>
        <v>0</v>
      </c>
      <c r="U251" s="242">
        <v>1</v>
      </c>
      <c r="V251" s="103">
        <f t="shared" si="13"/>
        <v>1</v>
      </c>
      <c r="W251" s="241" t="s">
        <v>58</v>
      </c>
      <c r="X251" s="324">
        <f t="shared" si="14"/>
        <v>1</v>
      </c>
      <c r="Y251" s="235" t="s">
        <v>360</v>
      </c>
      <c r="Z251" s="340" t="s">
        <v>377</v>
      </c>
      <c r="AA251" s="237" t="s">
        <v>45</v>
      </c>
      <c r="AB251" s="83"/>
      <c r="AC251" s="242"/>
      <c r="AD251" s="27" t="s">
        <v>219</v>
      </c>
      <c r="AE251" s="243"/>
      <c r="AF251" s="79" t="s">
        <v>378</v>
      </c>
      <c r="AG251" s="237"/>
    </row>
    <row r="252" spans="1:33" s="15" customFormat="1" ht="30" x14ac:dyDescent="0.15">
      <c r="A252" s="237" t="s">
        <v>43</v>
      </c>
      <c r="B252" s="238">
        <v>260</v>
      </c>
      <c r="C252" s="237" t="s">
        <v>44</v>
      </c>
      <c r="D252" s="237" t="s">
        <v>45</v>
      </c>
      <c r="E252" s="237">
        <v>1</v>
      </c>
      <c r="F252" s="237" t="s">
        <v>351</v>
      </c>
      <c r="G252" s="239" t="s">
        <v>379</v>
      </c>
      <c r="H252" s="240">
        <v>44244.831041666665</v>
      </c>
      <c r="I252" s="237" t="s">
        <v>48</v>
      </c>
      <c r="J252" s="237">
        <v>8</v>
      </c>
      <c r="K252" s="100">
        <v>2.1</v>
      </c>
      <c r="L252" s="27" t="s">
        <v>108</v>
      </c>
      <c r="M252" s="241" t="s">
        <v>108</v>
      </c>
      <c r="N252" s="241" t="s">
        <v>108</v>
      </c>
      <c r="O252" s="241" t="s">
        <v>108</v>
      </c>
      <c r="P252" s="237">
        <v>1</v>
      </c>
      <c r="Q252" s="84" t="s">
        <v>102</v>
      </c>
      <c r="R252" s="103">
        <f t="shared" si="12"/>
        <v>1</v>
      </c>
      <c r="S252" s="82"/>
      <c r="T252" s="103">
        <f t="shared" si="15"/>
        <v>1</v>
      </c>
      <c r="U252" s="242">
        <v>1</v>
      </c>
      <c r="V252" s="103">
        <f t="shared" si="13"/>
        <v>1</v>
      </c>
      <c r="W252" s="241" t="s">
        <v>305</v>
      </c>
      <c r="X252" s="324">
        <f t="shared" si="14"/>
        <v>1</v>
      </c>
      <c r="Y252" s="235" t="s">
        <v>351</v>
      </c>
      <c r="Z252" s="340" t="s">
        <v>379</v>
      </c>
      <c r="AA252" s="237" t="s">
        <v>45</v>
      </c>
      <c r="AB252" s="83"/>
      <c r="AC252" s="242"/>
      <c r="AD252" s="27" t="s">
        <v>109</v>
      </c>
      <c r="AE252" s="243"/>
      <c r="AF252" s="79"/>
      <c r="AG252" s="237"/>
    </row>
    <row r="253" spans="1:33" s="15" customFormat="1" ht="15" x14ac:dyDescent="0.15">
      <c r="A253" s="237" t="s">
        <v>43</v>
      </c>
      <c r="B253" s="238">
        <v>260</v>
      </c>
      <c r="C253" s="237" t="s">
        <v>44</v>
      </c>
      <c r="D253" s="237" t="s">
        <v>45</v>
      </c>
      <c r="E253" s="237">
        <v>1</v>
      </c>
      <c r="F253" s="237" t="s">
        <v>353</v>
      </c>
      <c r="G253" s="239" t="s">
        <v>380</v>
      </c>
      <c r="H253" s="240">
        <v>44244.831400462965</v>
      </c>
      <c r="I253" s="237" t="s">
        <v>48</v>
      </c>
      <c r="J253" s="237">
        <v>10</v>
      </c>
      <c r="K253" s="100">
        <v>2.1</v>
      </c>
      <c r="L253" s="27" t="s">
        <v>108</v>
      </c>
      <c r="M253" s="241" t="s">
        <v>108</v>
      </c>
      <c r="N253" s="241" t="s">
        <v>108</v>
      </c>
      <c r="O253" s="241" t="s">
        <v>108</v>
      </c>
      <c r="P253" s="237">
        <v>1</v>
      </c>
      <c r="Q253" s="84" t="s">
        <v>102</v>
      </c>
      <c r="R253" s="103">
        <f t="shared" si="12"/>
        <v>1</v>
      </c>
      <c r="S253" s="82"/>
      <c r="T253" s="103">
        <f t="shared" si="15"/>
        <v>0</v>
      </c>
      <c r="U253" s="242">
        <v>1</v>
      </c>
      <c r="V253" s="103">
        <f t="shared" si="13"/>
        <v>1</v>
      </c>
      <c r="W253" s="241" t="s">
        <v>305</v>
      </c>
      <c r="X253" s="324">
        <f t="shared" si="14"/>
        <v>1</v>
      </c>
      <c r="Y253" s="235" t="s">
        <v>353</v>
      </c>
      <c r="Z253" s="340" t="s">
        <v>380</v>
      </c>
      <c r="AA253" s="237" t="s">
        <v>45</v>
      </c>
      <c r="AB253" s="83"/>
      <c r="AC253" s="242"/>
      <c r="AD253" s="27"/>
      <c r="AE253" s="243"/>
      <c r="AF253" s="79"/>
      <c r="AG253" s="237"/>
    </row>
    <row r="254" spans="1:33" s="15" customFormat="1" ht="15" x14ac:dyDescent="0.15">
      <c r="A254" s="237" t="s">
        <v>43</v>
      </c>
      <c r="B254" s="238">
        <v>260</v>
      </c>
      <c r="C254" s="237" t="s">
        <v>44</v>
      </c>
      <c r="D254" s="237" t="s">
        <v>45</v>
      </c>
      <c r="E254" s="237">
        <v>1</v>
      </c>
      <c r="F254" s="237" t="s">
        <v>353</v>
      </c>
      <c r="G254" s="239" t="s">
        <v>381</v>
      </c>
      <c r="H254" s="240">
        <v>44244.831620370373</v>
      </c>
      <c r="I254" s="237" t="s">
        <v>48</v>
      </c>
      <c r="J254" s="237">
        <v>10</v>
      </c>
      <c r="K254" s="100">
        <v>2.1</v>
      </c>
      <c r="L254" s="27" t="s">
        <v>108</v>
      </c>
      <c r="M254" s="241" t="s">
        <v>108</v>
      </c>
      <c r="N254" s="241" t="s">
        <v>108</v>
      </c>
      <c r="O254" s="241" t="s">
        <v>108</v>
      </c>
      <c r="P254" s="237">
        <v>1</v>
      </c>
      <c r="Q254" s="84" t="s">
        <v>102</v>
      </c>
      <c r="R254" s="103">
        <f t="shared" si="12"/>
        <v>1</v>
      </c>
      <c r="S254" s="82"/>
      <c r="T254" s="103">
        <f t="shared" si="15"/>
        <v>0</v>
      </c>
      <c r="U254" s="242">
        <v>1</v>
      </c>
      <c r="V254" s="103">
        <f t="shared" si="13"/>
        <v>1</v>
      </c>
      <c r="W254" s="241" t="s">
        <v>305</v>
      </c>
      <c r="X254" s="324">
        <f t="shared" si="14"/>
        <v>1</v>
      </c>
      <c r="Y254" s="235" t="s">
        <v>353</v>
      </c>
      <c r="Z254" s="340" t="s">
        <v>381</v>
      </c>
      <c r="AA254" s="237" t="s">
        <v>45</v>
      </c>
      <c r="AB254" s="83"/>
      <c r="AC254" s="242"/>
      <c r="AD254" s="27"/>
      <c r="AE254" s="243"/>
      <c r="AF254" s="79"/>
      <c r="AG254" s="237"/>
    </row>
    <row r="255" spans="1:33" s="15" customFormat="1" ht="45" x14ac:dyDescent="0.15">
      <c r="A255" s="237" t="s">
        <v>43</v>
      </c>
      <c r="B255" s="238">
        <v>260</v>
      </c>
      <c r="C255" s="237" t="s">
        <v>44</v>
      </c>
      <c r="D255" s="237" t="s">
        <v>45</v>
      </c>
      <c r="E255" s="237">
        <v>1</v>
      </c>
      <c r="F255" s="237" t="s">
        <v>360</v>
      </c>
      <c r="G255" s="239" t="s">
        <v>382</v>
      </c>
      <c r="H255" s="240">
        <v>44244.831909722219</v>
      </c>
      <c r="I255" s="237" t="s">
        <v>48</v>
      </c>
      <c r="J255" s="237">
        <v>8</v>
      </c>
      <c r="K255" s="100">
        <v>2.1</v>
      </c>
      <c r="L255" s="27" t="s">
        <v>108</v>
      </c>
      <c r="M255" s="241" t="s">
        <v>52</v>
      </c>
      <c r="N255" s="241" t="s">
        <v>1143</v>
      </c>
      <c r="O255" s="241" t="s">
        <v>1143</v>
      </c>
      <c r="P255" s="237">
        <v>1</v>
      </c>
      <c r="Q255" s="84" t="s">
        <v>102</v>
      </c>
      <c r="R255" s="103">
        <f t="shared" si="12"/>
        <v>1</v>
      </c>
      <c r="S255" s="82"/>
      <c r="T255" s="103">
        <f t="shared" si="15"/>
        <v>0</v>
      </c>
      <c r="U255" s="242">
        <v>1</v>
      </c>
      <c r="V255" s="103">
        <f t="shared" si="13"/>
        <v>1</v>
      </c>
      <c r="W255" s="241" t="s">
        <v>305</v>
      </c>
      <c r="X255" s="324">
        <f t="shared" si="14"/>
        <v>1</v>
      </c>
      <c r="Y255" s="235" t="s">
        <v>360</v>
      </c>
      <c r="Z255" s="340" t="s">
        <v>382</v>
      </c>
      <c r="AA255" s="237" t="s">
        <v>45</v>
      </c>
      <c r="AB255" s="83"/>
      <c r="AC255" s="242"/>
      <c r="AD255" s="27"/>
      <c r="AE255" s="243" t="s">
        <v>219</v>
      </c>
      <c r="AF255" s="79"/>
      <c r="AG255" s="237"/>
    </row>
    <row r="256" spans="1:33" s="15" customFormat="1" ht="30" x14ac:dyDescent="0.15">
      <c r="A256" s="237" t="s">
        <v>43</v>
      </c>
      <c r="B256" s="238">
        <v>260</v>
      </c>
      <c r="C256" s="237" t="s">
        <v>44</v>
      </c>
      <c r="D256" s="237" t="s">
        <v>45</v>
      </c>
      <c r="E256" s="237">
        <v>1</v>
      </c>
      <c r="F256" s="237" t="s">
        <v>360</v>
      </c>
      <c r="G256" s="239" t="s">
        <v>383</v>
      </c>
      <c r="H256" s="240">
        <v>44244.832245370373</v>
      </c>
      <c r="I256" s="237" t="s">
        <v>48</v>
      </c>
      <c r="J256" s="237">
        <v>8</v>
      </c>
      <c r="K256" s="100">
        <v>2.1</v>
      </c>
      <c r="L256" s="27" t="s">
        <v>52</v>
      </c>
      <c r="M256" s="241" t="s">
        <v>52</v>
      </c>
      <c r="N256" s="241" t="s">
        <v>1143</v>
      </c>
      <c r="O256" s="241" t="s">
        <v>1143</v>
      </c>
      <c r="P256" s="237">
        <v>1</v>
      </c>
      <c r="Q256" s="84" t="s">
        <v>102</v>
      </c>
      <c r="R256" s="103">
        <f t="shared" si="12"/>
        <v>1</v>
      </c>
      <c r="S256" s="82"/>
      <c r="T256" s="103">
        <f t="shared" si="15"/>
        <v>0</v>
      </c>
      <c r="U256" s="242">
        <v>1</v>
      </c>
      <c r="V256" s="103">
        <f t="shared" si="13"/>
        <v>1</v>
      </c>
      <c r="W256" s="241" t="s">
        <v>305</v>
      </c>
      <c r="X256" s="324">
        <f t="shared" si="14"/>
        <v>1</v>
      </c>
      <c r="Y256" s="235" t="s">
        <v>360</v>
      </c>
      <c r="Z256" s="340" t="s">
        <v>383</v>
      </c>
      <c r="AA256" s="237" t="s">
        <v>45</v>
      </c>
      <c r="AB256" s="83"/>
      <c r="AC256" s="242"/>
      <c r="AD256" s="27" t="s">
        <v>219</v>
      </c>
      <c r="AE256" s="243"/>
      <c r="AF256" s="79"/>
      <c r="AG256" s="237"/>
    </row>
    <row r="257" spans="1:33" s="15" customFormat="1" ht="60" x14ac:dyDescent="0.15">
      <c r="A257" s="237" t="s">
        <v>43</v>
      </c>
      <c r="B257" s="238">
        <v>260</v>
      </c>
      <c r="C257" s="237" t="s">
        <v>44</v>
      </c>
      <c r="D257" s="237" t="s">
        <v>45</v>
      </c>
      <c r="E257" s="237">
        <v>1</v>
      </c>
      <c r="F257" s="237" t="s">
        <v>351</v>
      </c>
      <c r="G257" s="239" t="s">
        <v>384</v>
      </c>
      <c r="H257" s="240">
        <v>44244.832592592589</v>
      </c>
      <c r="I257" s="237" t="s">
        <v>48</v>
      </c>
      <c r="J257" s="237">
        <v>8</v>
      </c>
      <c r="K257" s="100">
        <v>2.1</v>
      </c>
      <c r="L257" s="27" t="s">
        <v>52</v>
      </c>
      <c r="M257" s="241" t="s">
        <v>108</v>
      </c>
      <c r="N257" s="241" t="s">
        <v>108</v>
      </c>
      <c r="O257" s="241" t="s">
        <v>108</v>
      </c>
      <c r="P257" s="237">
        <v>1</v>
      </c>
      <c r="Q257" s="84" t="s">
        <v>102</v>
      </c>
      <c r="R257" s="103">
        <f t="shared" si="12"/>
        <v>1</v>
      </c>
      <c r="S257" s="82" t="s">
        <v>58</v>
      </c>
      <c r="T257" s="103">
        <f t="shared" si="15"/>
        <v>0</v>
      </c>
      <c r="U257" s="242">
        <v>1</v>
      </c>
      <c r="V257" s="103">
        <f t="shared" si="13"/>
        <v>1</v>
      </c>
      <c r="W257" s="241" t="s">
        <v>58</v>
      </c>
      <c r="X257" s="324">
        <f t="shared" si="14"/>
        <v>1</v>
      </c>
      <c r="Y257" s="235" t="s">
        <v>351</v>
      </c>
      <c r="Z257" s="340" t="s">
        <v>384</v>
      </c>
      <c r="AA257" s="237" t="s">
        <v>45</v>
      </c>
      <c r="AB257" s="83"/>
      <c r="AC257" s="242"/>
      <c r="AD257" s="27"/>
      <c r="AE257" s="243" t="s">
        <v>109</v>
      </c>
      <c r="AF257" s="79"/>
      <c r="AG257" s="237"/>
    </row>
    <row r="258" spans="1:33" s="15" customFormat="1" ht="30" x14ac:dyDescent="0.15">
      <c r="A258" s="237" t="s">
        <v>43</v>
      </c>
      <c r="B258" s="238">
        <v>260</v>
      </c>
      <c r="C258" s="237" t="s">
        <v>44</v>
      </c>
      <c r="D258" s="237" t="s">
        <v>45</v>
      </c>
      <c r="E258" s="237">
        <v>1</v>
      </c>
      <c r="F258" s="237" t="s">
        <v>360</v>
      </c>
      <c r="G258" s="239" t="s">
        <v>385</v>
      </c>
      <c r="H258" s="240">
        <v>44244.83289351852</v>
      </c>
      <c r="I258" s="237" t="s">
        <v>48</v>
      </c>
      <c r="J258" s="237">
        <v>8</v>
      </c>
      <c r="K258" s="100">
        <v>2.1</v>
      </c>
      <c r="L258" s="27" t="s">
        <v>108</v>
      </c>
      <c r="M258" s="241" t="s">
        <v>108</v>
      </c>
      <c r="N258" s="241" t="s">
        <v>108</v>
      </c>
      <c r="O258" s="241" t="s">
        <v>108</v>
      </c>
      <c r="P258" s="237">
        <v>1</v>
      </c>
      <c r="Q258" s="84" t="s">
        <v>102</v>
      </c>
      <c r="R258" s="103">
        <f t="shared" si="12"/>
        <v>1</v>
      </c>
      <c r="S258" s="82"/>
      <c r="T258" s="103">
        <f t="shared" si="15"/>
        <v>1</v>
      </c>
      <c r="U258" s="242">
        <v>1</v>
      </c>
      <c r="V258" s="103">
        <f t="shared" si="13"/>
        <v>1</v>
      </c>
      <c r="W258" s="241" t="s">
        <v>331</v>
      </c>
      <c r="X258" s="324">
        <f t="shared" si="14"/>
        <v>1</v>
      </c>
      <c r="Y258" s="235" t="s">
        <v>360</v>
      </c>
      <c r="Z258" s="340" t="s">
        <v>385</v>
      </c>
      <c r="AA258" s="237" t="s">
        <v>45</v>
      </c>
      <c r="AB258" s="83" t="s">
        <v>112</v>
      </c>
      <c r="AC258" s="242" t="s">
        <v>112</v>
      </c>
      <c r="AD258" s="27" t="s">
        <v>109</v>
      </c>
      <c r="AE258" s="243"/>
      <c r="AF258" s="79"/>
      <c r="AG258" s="237"/>
    </row>
    <row r="259" spans="1:33" s="15" customFormat="1" ht="15" x14ac:dyDescent="0.15">
      <c r="A259" s="237" t="s">
        <v>43</v>
      </c>
      <c r="B259" s="238">
        <v>260</v>
      </c>
      <c r="C259" s="237" t="s">
        <v>44</v>
      </c>
      <c r="D259" s="237" t="s">
        <v>45</v>
      </c>
      <c r="E259" s="237">
        <v>1</v>
      </c>
      <c r="F259" s="237" t="s">
        <v>351</v>
      </c>
      <c r="G259" s="239" t="s">
        <v>386</v>
      </c>
      <c r="H259" s="240">
        <v>44244.833136574074</v>
      </c>
      <c r="I259" s="237" t="s">
        <v>48</v>
      </c>
      <c r="J259" s="237">
        <v>8</v>
      </c>
      <c r="K259" s="100">
        <v>2.1</v>
      </c>
      <c r="L259" s="27" t="s">
        <v>108</v>
      </c>
      <c r="M259" s="241" t="s">
        <v>108</v>
      </c>
      <c r="N259" s="241" t="s">
        <v>108</v>
      </c>
      <c r="O259" s="241" t="s">
        <v>108</v>
      </c>
      <c r="P259" s="237">
        <v>1</v>
      </c>
      <c r="Q259" s="84" t="s">
        <v>102</v>
      </c>
      <c r="R259" s="103">
        <f t="shared" ref="R259:R322" si="16">IF(Q259&lt;&gt;"",1,0)</f>
        <v>1</v>
      </c>
      <c r="S259" s="82"/>
      <c r="T259" s="103">
        <f t="shared" si="15"/>
        <v>0</v>
      </c>
      <c r="U259" s="242">
        <v>1</v>
      </c>
      <c r="V259" s="103">
        <f t="shared" ref="V259:V322" si="17">IF(U259&lt;&gt;"",1,0)</f>
        <v>1</v>
      </c>
      <c r="W259" s="241" t="s">
        <v>305</v>
      </c>
      <c r="X259" s="324">
        <f t="shared" ref="X259:X322" si="18">IF(W259&lt;&gt;"",1,0)</f>
        <v>1</v>
      </c>
      <c r="Y259" s="235" t="s">
        <v>351</v>
      </c>
      <c r="Z259" s="340" t="s">
        <v>386</v>
      </c>
      <c r="AA259" s="237" t="s">
        <v>45</v>
      </c>
      <c r="AB259" s="83"/>
      <c r="AC259" s="242"/>
      <c r="AD259" s="27"/>
      <c r="AE259" s="243"/>
      <c r="AF259" s="79"/>
      <c r="AG259" s="237"/>
    </row>
    <row r="260" spans="1:33" s="15" customFormat="1" ht="15" x14ac:dyDescent="0.15">
      <c r="A260" s="237" t="s">
        <v>43</v>
      </c>
      <c r="B260" s="238">
        <v>260</v>
      </c>
      <c r="C260" s="237" t="s">
        <v>44</v>
      </c>
      <c r="D260" s="237" t="s">
        <v>45</v>
      </c>
      <c r="E260" s="237">
        <v>1</v>
      </c>
      <c r="F260" s="237" t="s">
        <v>360</v>
      </c>
      <c r="G260" s="239" t="s">
        <v>387</v>
      </c>
      <c r="H260" s="240">
        <v>44244.833275462966</v>
      </c>
      <c r="I260" s="237" t="s">
        <v>48</v>
      </c>
      <c r="J260" s="237">
        <v>8</v>
      </c>
      <c r="K260" s="100">
        <v>2.1</v>
      </c>
      <c r="L260" s="27" t="s">
        <v>108</v>
      </c>
      <c r="M260" s="241" t="s">
        <v>108</v>
      </c>
      <c r="N260" s="241" t="s">
        <v>108</v>
      </c>
      <c r="O260" s="241" t="s">
        <v>108</v>
      </c>
      <c r="P260" s="237">
        <v>1</v>
      </c>
      <c r="Q260" s="84" t="s">
        <v>102</v>
      </c>
      <c r="R260" s="103">
        <f t="shared" si="16"/>
        <v>1</v>
      </c>
      <c r="S260" s="82"/>
      <c r="T260" s="103">
        <f t="shared" ref="T260:T323" si="19">IF(S259&lt;&gt;"",1,0)</f>
        <v>0</v>
      </c>
      <c r="U260" s="242">
        <v>1</v>
      </c>
      <c r="V260" s="103">
        <f t="shared" si="17"/>
        <v>1</v>
      </c>
      <c r="W260" s="241" t="s">
        <v>58</v>
      </c>
      <c r="X260" s="324">
        <f t="shared" si="18"/>
        <v>1</v>
      </c>
      <c r="Y260" s="235" t="s">
        <v>360</v>
      </c>
      <c r="Z260" s="340" t="s">
        <v>387</v>
      </c>
      <c r="AA260" s="237" t="s">
        <v>45</v>
      </c>
      <c r="AB260" s="83"/>
      <c r="AC260" s="242"/>
      <c r="AD260" s="27"/>
      <c r="AE260" s="243"/>
      <c r="AF260" s="79"/>
      <c r="AG260" s="237"/>
    </row>
    <row r="261" spans="1:33" s="15" customFormat="1" ht="30" x14ac:dyDescent="0.15">
      <c r="A261" s="237" t="s">
        <v>43</v>
      </c>
      <c r="B261" s="238">
        <v>260</v>
      </c>
      <c r="C261" s="237" t="s">
        <v>44</v>
      </c>
      <c r="D261" s="237" t="s">
        <v>45</v>
      </c>
      <c r="E261" s="237">
        <v>1</v>
      </c>
      <c r="F261" s="237" t="s">
        <v>353</v>
      </c>
      <c r="G261" s="239" t="s">
        <v>388</v>
      </c>
      <c r="H261" s="240">
        <v>44244.833564814813</v>
      </c>
      <c r="I261" s="237" t="s">
        <v>48</v>
      </c>
      <c r="J261" s="237">
        <v>10</v>
      </c>
      <c r="K261" s="100">
        <v>2.1</v>
      </c>
      <c r="L261" s="27" t="s">
        <v>108</v>
      </c>
      <c r="M261" s="241" t="s">
        <v>638</v>
      </c>
      <c r="N261" s="241" t="s">
        <v>638</v>
      </c>
      <c r="O261" s="241" t="s">
        <v>1163</v>
      </c>
      <c r="P261" s="237">
        <v>1</v>
      </c>
      <c r="Q261" s="84" t="s">
        <v>102</v>
      </c>
      <c r="R261" s="103">
        <f t="shared" si="16"/>
        <v>1</v>
      </c>
      <c r="S261" s="82" t="s">
        <v>331</v>
      </c>
      <c r="T261" s="103">
        <f t="shared" si="19"/>
        <v>0</v>
      </c>
      <c r="U261" s="242">
        <v>1</v>
      </c>
      <c r="V261" s="103">
        <f t="shared" si="17"/>
        <v>1</v>
      </c>
      <c r="W261" s="241" t="s">
        <v>331</v>
      </c>
      <c r="X261" s="324">
        <f t="shared" si="18"/>
        <v>1</v>
      </c>
      <c r="Y261" s="235" t="s">
        <v>353</v>
      </c>
      <c r="Z261" s="340" t="s">
        <v>388</v>
      </c>
      <c r="AA261" s="237" t="s">
        <v>45</v>
      </c>
      <c r="AB261" s="83"/>
      <c r="AC261" s="242" t="s">
        <v>74</v>
      </c>
      <c r="AD261" s="27"/>
      <c r="AE261" s="243"/>
      <c r="AF261" s="79"/>
      <c r="AG261" s="237"/>
    </row>
    <row r="262" spans="1:33" s="15" customFormat="1" ht="15" x14ac:dyDescent="0.15">
      <c r="A262" s="237" t="s">
        <v>43</v>
      </c>
      <c r="B262" s="238">
        <v>260</v>
      </c>
      <c r="C262" s="237" t="s">
        <v>44</v>
      </c>
      <c r="D262" s="237" t="s">
        <v>45</v>
      </c>
      <c r="E262" s="237">
        <v>1</v>
      </c>
      <c r="F262" s="237" t="s">
        <v>360</v>
      </c>
      <c r="G262" s="239" t="s">
        <v>389</v>
      </c>
      <c r="H262" s="240">
        <v>44244.834537037037</v>
      </c>
      <c r="I262" s="237" t="s">
        <v>48</v>
      </c>
      <c r="J262" s="237">
        <v>8</v>
      </c>
      <c r="K262" s="100">
        <v>2.1</v>
      </c>
      <c r="L262" s="27" t="s">
        <v>108</v>
      </c>
      <c r="M262" s="241" t="s">
        <v>638</v>
      </c>
      <c r="N262" s="241" t="s">
        <v>638</v>
      </c>
      <c r="O262" s="241" t="s">
        <v>1163</v>
      </c>
      <c r="P262" s="237">
        <v>1</v>
      </c>
      <c r="Q262" s="84" t="s">
        <v>312</v>
      </c>
      <c r="R262" s="103">
        <f t="shared" si="16"/>
        <v>1</v>
      </c>
      <c r="S262" s="82"/>
      <c r="T262" s="103">
        <f t="shared" si="19"/>
        <v>1</v>
      </c>
      <c r="U262" s="242">
        <v>1</v>
      </c>
      <c r="V262" s="103">
        <f t="shared" si="17"/>
        <v>1</v>
      </c>
      <c r="W262" s="241"/>
      <c r="X262" s="324">
        <f t="shared" si="18"/>
        <v>0</v>
      </c>
      <c r="Y262" s="235" t="s">
        <v>360</v>
      </c>
      <c r="Z262" s="340" t="s">
        <v>389</v>
      </c>
      <c r="AA262" s="237" t="s">
        <v>45</v>
      </c>
      <c r="AB262" s="83"/>
      <c r="AC262" s="242"/>
      <c r="AD262" s="27"/>
      <c r="AE262" s="243"/>
      <c r="AF262" s="79"/>
      <c r="AG262" s="237"/>
    </row>
    <row r="263" spans="1:33" s="15" customFormat="1" ht="75" x14ac:dyDescent="0.15">
      <c r="A263" s="237" t="s">
        <v>43</v>
      </c>
      <c r="B263" s="238">
        <v>260</v>
      </c>
      <c r="C263" s="237" t="s">
        <v>44</v>
      </c>
      <c r="D263" s="237" t="s">
        <v>45</v>
      </c>
      <c r="E263" s="237">
        <v>1</v>
      </c>
      <c r="F263" s="237" t="s">
        <v>353</v>
      </c>
      <c r="G263" s="239" t="s">
        <v>390</v>
      </c>
      <c r="H263" s="240">
        <v>44244.835185185184</v>
      </c>
      <c r="I263" s="237" t="s">
        <v>48</v>
      </c>
      <c r="J263" s="237">
        <v>10</v>
      </c>
      <c r="K263" s="100">
        <v>2.1</v>
      </c>
      <c r="L263" s="27" t="s">
        <v>52</v>
      </c>
      <c r="M263" s="241" t="s">
        <v>52</v>
      </c>
      <c r="N263" s="241" t="s">
        <v>1143</v>
      </c>
      <c r="O263" s="241" t="s">
        <v>1143</v>
      </c>
      <c r="P263" s="237">
        <v>1</v>
      </c>
      <c r="Q263" s="84" t="s">
        <v>295</v>
      </c>
      <c r="R263" s="103">
        <f t="shared" si="16"/>
        <v>1</v>
      </c>
      <c r="S263" s="82"/>
      <c r="T263" s="103">
        <f t="shared" si="19"/>
        <v>0</v>
      </c>
      <c r="U263" s="242"/>
      <c r="V263" s="103">
        <f t="shared" si="17"/>
        <v>0</v>
      </c>
      <c r="W263" s="241"/>
      <c r="X263" s="324">
        <f t="shared" si="18"/>
        <v>0</v>
      </c>
      <c r="Y263" s="235" t="s">
        <v>353</v>
      </c>
      <c r="Z263" s="340" t="s">
        <v>390</v>
      </c>
      <c r="AA263" s="237" t="s">
        <v>45</v>
      </c>
      <c r="AB263" s="83"/>
      <c r="AC263" s="242"/>
      <c r="AD263" s="27" t="s">
        <v>219</v>
      </c>
      <c r="AE263" s="243"/>
      <c r="AF263" s="79"/>
      <c r="AG263" s="237"/>
    </row>
    <row r="264" spans="1:33" s="15" customFormat="1" ht="30" x14ac:dyDescent="0.15">
      <c r="A264" s="237" t="s">
        <v>43</v>
      </c>
      <c r="B264" s="238">
        <v>260</v>
      </c>
      <c r="C264" s="237" t="s">
        <v>44</v>
      </c>
      <c r="D264" s="237" t="s">
        <v>45</v>
      </c>
      <c r="E264" s="237">
        <v>1</v>
      </c>
      <c r="F264" s="237" t="s">
        <v>360</v>
      </c>
      <c r="G264" s="239" t="s">
        <v>391</v>
      </c>
      <c r="H264" s="240">
        <v>44244.835729166669</v>
      </c>
      <c r="I264" s="237" t="s">
        <v>48</v>
      </c>
      <c r="J264" s="237">
        <v>8</v>
      </c>
      <c r="K264" s="100">
        <v>2.1</v>
      </c>
      <c r="L264" s="27" t="s">
        <v>52</v>
      </c>
      <c r="M264" s="241" t="s">
        <v>52</v>
      </c>
      <c r="N264" s="241" t="s">
        <v>1143</v>
      </c>
      <c r="O264" s="241" t="s">
        <v>1143</v>
      </c>
      <c r="P264" s="237">
        <v>1</v>
      </c>
      <c r="Q264" s="84" t="s">
        <v>102</v>
      </c>
      <c r="R264" s="103">
        <f t="shared" si="16"/>
        <v>1</v>
      </c>
      <c r="S264" s="82" t="s">
        <v>58</v>
      </c>
      <c r="T264" s="103">
        <f t="shared" si="19"/>
        <v>0</v>
      </c>
      <c r="U264" s="242">
        <v>1</v>
      </c>
      <c r="V264" s="103">
        <f t="shared" si="17"/>
        <v>1</v>
      </c>
      <c r="W264" s="241" t="s">
        <v>58</v>
      </c>
      <c r="X264" s="324">
        <f t="shared" si="18"/>
        <v>1</v>
      </c>
      <c r="Y264" s="235" t="s">
        <v>360</v>
      </c>
      <c r="Z264" s="340" t="s">
        <v>391</v>
      </c>
      <c r="AA264" s="237" t="s">
        <v>45</v>
      </c>
      <c r="AB264" s="83"/>
      <c r="AC264" s="242"/>
      <c r="AD264" s="27"/>
      <c r="AE264" s="243"/>
      <c r="AF264" s="79"/>
      <c r="AG264" s="237"/>
    </row>
    <row r="265" spans="1:33" s="15" customFormat="1" ht="30" x14ac:dyDescent="0.15">
      <c r="A265" s="237" t="s">
        <v>43</v>
      </c>
      <c r="B265" s="238">
        <v>260</v>
      </c>
      <c r="C265" s="237" t="s">
        <v>44</v>
      </c>
      <c r="D265" s="237" t="s">
        <v>45</v>
      </c>
      <c r="E265" s="237">
        <v>1</v>
      </c>
      <c r="F265" s="237" t="s">
        <v>353</v>
      </c>
      <c r="G265" s="239" t="s">
        <v>392</v>
      </c>
      <c r="H265" s="240">
        <v>44244.837256944447</v>
      </c>
      <c r="I265" s="237" t="s">
        <v>48</v>
      </c>
      <c r="J265" s="237">
        <v>10</v>
      </c>
      <c r="K265" s="100">
        <v>2.1</v>
      </c>
      <c r="L265" s="27" t="s">
        <v>108</v>
      </c>
      <c r="M265" s="241" t="s">
        <v>108</v>
      </c>
      <c r="N265" s="241" t="s">
        <v>108</v>
      </c>
      <c r="O265" s="241" t="s">
        <v>108</v>
      </c>
      <c r="P265" s="237">
        <v>1</v>
      </c>
      <c r="Q265" s="84" t="s">
        <v>102</v>
      </c>
      <c r="R265" s="103">
        <f t="shared" si="16"/>
        <v>1</v>
      </c>
      <c r="S265" s="82"/>
      <c r="T265" s="103">
        <f t="shared" si="19"/>
        <v>1</v>
      </c>
      <c r="U265" s="242">
        <v>1</v>
      </c>
      <c r="V265" s="103">
        <f t="shared" si="17"/>
        <v>1</v>
      </c>
      <c r="W265" s="241" t="s">
        <v>331</v>
      </c>
      <c r="X265" s="324">
        <f t="shared" si="18"/>
        <v>1</v>
      </c>
      <c r="Y265" s="235" t="s">
        <v>353</v>
      </c>
      <c r="Z265" s="340" t="s">
        <v>392</v>
      </c>
      <c r="AA265" s="237" t="s">
        <v>45</v>
      </c>
      <c r="AB265" s="83" t="s">
        <v>112</v>
      </c>
      <c r="AC265" s="242" t="s">
        <v>112</v>
      </c>
      <c r="AD265" s="27" t="s">
        <v>109</v>
      </c>
      <c r="AE265" s="243"/>
      <c r="AF265" s="79"/>
      <c r="AG265" s="237"/>
    </row>
    <row r="266" spans="1:33" s="15" customFormat="1" ht="15" x14ac:dyDescent="0.15">
      <c r="A266" s="237" t="s">
        <v>43</v>
      </c>
      <c r="B266" s="238">
        <v>260</v>
      </c>
      <c r="C266" s="237" t="s">
        <v>44</v>
      </c>
      <c r="D266" s="237" t="s">
        <v>45</v>
      </c>
      <c r="E266" s="237">
        <v>1</v>
      </c>
      <c r="F266" s="237" t="s">
        <v>360</v>
      </c>
      <c r="G266" s="239" t="s">
        <v>393</v>
      </c>
      <c r="H266" s="240">
        <v>44244.837500000001</v>
      </c>
      <c r="I266" s="237" t="s">
        <v>48</v>
      </c>
      <c r="J266" s="237">
        <v>8</v>
      </c>
      <c r="K266" s="100">
        <v>2.1</v>
      </c>
      <c r="L266" s="27" t="s">
        <v>108</v>
      </c>
      <c r="M266" s="241" t="s">
        <v>108</v>
      </c>
      <c r="N266" s="241" t="s">
        <v>108</v>
      </c>
      <c r="O266" s="241" t="s">
        <v>108</v>
      </c>
      <c r="P266" s="237">
        <v>1</v>
      </c>
      <c r="Q266" s="84" t="s">
        <v>102</v>
      </c>
      <c r="R266" s="103">
        <f t="shared" si="16"/>
        <v>1</v>
      </c>
      <c r="S266" s="82"/>
      <c r="T266" s="103">
        <f t="shared" si="19"/>
        <v>0</v>
      </c>
      <c r="U266" s="242">
        <v>1</v>
      </c>
      <c r="V266" s="103">
        <f t="shared" si="17"/>
        <v>1</v>
      </c>
      <c r="W266" s="241" t="s">
        <v>305</v>
      </c>
      <c r="X266" s="324">
        <f t="shared" si="18"/>
        <v>1</v>
      </c>
      <c r="Y266" s="235" t="s">
        <v>360</v>
      </c>
      <c r="Z266" s="340" t="s">
        <v>393</v>
      </c>
      <c r="AA266" s="237" t="s">
        <v>45</v>
      </c>
      <c r="AB266" s="83"/>
      <c r="AC266" s="242"/>
      <c r="AD266" s="27"/>
      <c r="AE266" s="243"/>
      <c r="AF266" s="79"/>
      <c r="AG266" s="237"/>
    </row>
    <row r="267" spans="1:33" s="15" customFormat="1" ht="15" x14ac:dyDescent="0.15">
      <c r="A267" s="237" t="s">
        <v>43</v>
      </c>
      <c r="B267" s="238">
        <v>260</v>
      </c>
      <c r="C267" s="237" t="s">
        <v>44</v>
      </c>
      <c r="D267" s="237" t="s">
        <v>45</v>
      </c>
      <c r="E267" s="237">
        <v>1</v>
      </c>
      <c r="F267" s="237" t="s">
        <v>353</v>
      </c>
      <c r="G267" s="239" t="s">
        <v>394</v>
      </c>
      <c r="H267" s="240">
        <v>44244.838645833333</v>
      </c>
      <c r="I267" s="237" t="s">
        <v>48</v>
      </c>
      <c r="J267" s="237">
        <v>10</v>
      </c>
      <c r="K267" s="100">
        <v>2.1</v>
      </c>
      <c r="L267" s="27" t="s">
        <v>108</v>
      </c>
      <c r="M267" s="241" t="s">
        <v>108</v>
      </c>
      <c r="N267" s="241" t="s">
        <v>108</v>
      </c>
      <c r="O267" s="241" t="s">
        <v>108</v>
      </c>
      <c r="P267" s="237">
        <v>1</v>
      </c>
      <c r="Q267" s="84" t="s">
        <v>102</v>
      </c>
      <c r="R267" s="103">
        <f t="shared" si="16"/>
        <v>1</v>
      </c>
      <c r="S267" s="82"/>
      <c r="T267" s="103">
        <f t="shared" si="19"/>
        <v>0</v>
      </c>
      <c r="U267" s="242">
        <v>1</v>
      </c>
      <c r="V267" s="103">
        <f t="shared" si="17"/>
        <v>1</v>
      </c>
      <c r="W267" s="241" t="s">
        <v>331</v>
      </c>
      <c r="X267" s="324">
        <f t="shared" si="18"/>
        <v>1</v>
      </c>
      <c r="Y267" s="235" t="s">
        <v>353</v>
      </c>
      <c r="Z267" s="340" t="s">
        <v>394</v>
      </c>
      <c r="AA267" s="237" t="s">
        <v>45</v>
      </c>
      <c r="AB267" s="83" t="s">
        <v>112</v>
      </c>
      <c r="AC267" s="242" t="s">
        <v>74</v>
      </c>
      <c r="AD267" s="27"/>
      <c r="AE267" s="243"/>
      <c r="AF267" s="79"/>
      <c r="AG267" s="237"/>
    </row>
    <row r="268" spans="1:33" s="15" customFormat="1" ht="15" x14ac:dyDescent="0.15">
      <c r="A268" s="237" t="s">
        <v>43</v>
      </c>
      <c r="B268" s="238">
        <v>260</v>
      </c>
      <c r="C268" s="237" t="s">
        <v>44</v>
      </c>
      <c r="D268" s="237" t="s">
        <v>45</v>
      </c>
      <c r="E268" s="237">
        <v>1</v>
      </c>
      <c r="F268" s="237" t="s">
        <v>360</v>
      </c>
      <c r="G268" s="239" t="s">
        <v>395</v>
      </c>
      <c r="H268" s="240">
        <v>44244.838750000003</v>
      </c>
      <c r="I268" s="237" t="s">
        <v>48</v>
      </c>
      <c r="J268" s="237">
        <v>8</v>
      </c>
      <c r="K268" s="100">
        <v>2.1</v>
      </c>
      <c r="L268" s="27" t="s">
        <v>108</v>
      </c>
      <c r="M268" s="241" t="s">
        <v>52</v>
      </c>
      <c r="N268" s="241" t="s">
        <v>1143</v>
      </c>
      <c r="O268" s="241" t="s">
        <v>1143</v>
      </c>
      <c r="P268" s="237">
        <v>1</v>
      </c>
      <c r="Q268" s="84" t="s">
        <v>102</v>
      </c>
      <c r="R268" s="103">
        <f t="shared" si="16"/>
        <v>1</v>
      </c>
      <c r="S268" s="82"/>
      <c r="T268" s="103">
        <f t="shared" si="19"/>
        <v>0</v>
      </c>
      <c r="U268" s="242">
        <v>1</v>
      </c>
      <c r="V268" s="103">
        <f t="shared" si="17"/>
        <v>1</v>
      </c>
      <c r="W268" s="241" t="s">
        <v>305</v>
      </c>
      <c r="X268" s="324">
        <f t="shared" si="18"/>
        <v>1</v>
      </c>
      <c r="Y268" s="235" t="s">
        <v>360</v>
      </c>
      <c r="Z268" s="340" t="s">
        <v>395</v>
      </c>
      <c r="AA268" s="237" t="s">
        <v>45</v>
      </c>
      <c r="AB268" s="83"/>
      <c r="AC268" s="242"/>
      <c r="AD268" s="27"/>
      <c r="AE268" s="243"/>
      <c r="AF268" s="79"/>
      <c r="AG268" s="237"/>
    </row>
    <row r="269" spans="1:33" s="15" customFormat="1" ht="15" x14ac:dyDescent="0.15">
      <c r="A269" s="237" t="s">
        <v>43</v>
      </c>
      <c r="B269" s="238">
        <v>260</v>
      </c>
      <c r="C269" s="237" t="s">
        <v>44</v>
      </c>
      <c r="D269" s="237" t="s">
        <v>45</v>
      </c>
      <c r="E269" s="237">
        <v>1</v>
      </c>
      <c r="F269" s="237" t="s">
        <v>360</v>
      </c>
      <c r="G269" s="239" t="s">
        <v>396</v>
      </c>
      <c r="H269" s="240">
        <v>44244.838888888888</v>
      </c>
      <c r="I269" s="237" t="s">
        <v>48</v>
      </c>
      <c r="J269" s="237">
        <v>8</v>
      </c>
      <c r="K269" s="100">
        <v>2.1</v>
      </c>
      <c r="L269" s="27" t="s">
        <v>108</v>
      </c>
      <c r="M269" s="241" t="s">
        <v>108</v>
      </c>
      <c r="N269" s="241" t="s">
        <v>108</v>
      </c>
      <c r="O269" s="241" t="s">
        <v>108</v>
      </c>
      <c r="P269" s="237">
        <v>1</v>
      </c>
      <c r="Q269" s="84" t="s">
        <v>102</v>
      </c>
      <c r="R269" s="103">
        <f t="shared" si="16"/>
        <v>1</v>
      </c>
      <c r="S269" s="82"/>
      <c r="T269" s="103">
        <f t="shared" si="19"/>
        <v>0</v>
      </c>
      <c r="U269" s="242">
        <v>1</v>
      </c>
      <c r="V269" s="103">
        <f t="shared" si="17"/>
        <v>1</v>
      </c>
      <c r="W269" s="241" t="s">
        <v>58</v>
      </c>
      <c r="X269" s="324">
        <f t="shared" si="18"/>
        <v>1</v>
      </c>
      <c r="Y269" s="235" t="s">
        <v>360</v>
      </c>
      <c r="Z269" s="340" t="s">
        <v>396</v>
      </c>
      <c r="AA269" s="237" t="s">
        <v>45</v>
      </c>
      <c r="AB269" s="83"/>
      <c r="AC269" s="242"/>
      <c r="AD269" s="27"/>
      <c r="AE269" s="243"/>
      <c r="AF269" s="79"/>
      <c r="AG269" s="237"/>
    </row>
    <row r="270" spans="1:33" s="15" customFormat="1" ht="15" x14ac:dyDescent="0.15">
      <c r="A270" s="237" t="s">
        <v>43</v>
      </c>
      <c r="B270" s="238">
        <v>260</v>
      </c>
      <c r="C270" s="237" t="s">
        <v>44</v>
      </c>
      <c r="D270" s="237" t="s">
        <v>45</v>
      </c>
      <c r="E270" s="237">
        <v>1</v>
      </c>
      <c r="F270" s="237" t="s">
        <v>351</v>
      </c>
      <c r="G270" s="239" t="s">
        <v>397</v>
      </c>
      <c r="H270" s="240">
        <v>44244.839490740742</v>
      </c>
      <c r="I270" s="237" t="s">
        <v>48</v>
      </c>
      <c r="J270" s="237">
        <v>9</v>
      </c>
      <c r="K270" s="100">
        <v>2.1</v>
      </c>
      <c r="L270" s="27" t="s">
        <v>108</v>
      </c>
      <c r="M270" s="241" t="s">
        <v>108</v>
      </c>
      <c r="N270" s="241" t="s">
        <v>108</v>
      </c>
      <c r="O270" s="241" t="s">
        <v>108</v>
      </c>
      <c r="P270" s="237">
        <v>1</v>
      </c>
      <c r="Q270" s="84" t="s">
        <v>102</v>
      </c>
      <c r="R270" s="103">
        <f t="shared" si="16"/>
        <v>1</v>
      </c>
      <c r="S270" s="82"/>
      <c r="T270" s="103">
        <f t="shared" si="19"/>
        <v>0</v>
      </c>
      <c r="U270" s="242"/>
      <c r="V270" s="103">
        <f t="shared" si="17"/>
        <v>0</v>
      </c>
      <c r="W270" s="241"/>
      <c r="X270" s="324">
        <f t="shared" si="18"/>
        <v>0</v>
      </c>
      <c r="Y270" s="235" t="s">
        <v>351</v>
      </c>
      <c r="Z270" s="340" t="s">
        <v>397</v>
      </c>
      <c r="AA270" s="237" t="s">
        <v>45</v>
      </c>
      <c r="AB270" s="83"/>
      <c r="AC270" s="242"/>
      <c r="AD270" s="27"/>
      <c r="AE270" s="243"/>
      <c r="AF270" s="79"/>
      <c r="AG270" s="237"/>
    </row>
    <row r="271" spans="1:33" s="15" customFormat="1" ht="30" x14ac:dyDescent="0.15">
      <c r="A271" s="237" t="s">
        <v>43</v>
      </c>
      <c r="B271" s="238">
        <v>260</v>
      </c>
      <c r="C271" s="237" t="s">
        <v>44</v>
      </c>
      <c r="D271" s="237" t="s">
        <v>45</v>
      </c>
      <c r="E271" s="237">
        <v>1</v>
      </c>
      <c r="F271" s="237" t="s">
        <v>360</v>
      </c>
      <c r="G271" s="239" t="s">
        <v>398</v>
      </c>
      <c r="H271" s="240">
        <v>44244.839571759258</v>
      </c>
      <c r="I271" s="237" t="s">
        <v>48</v>
      </c>
      <c r="J271" s="237">
        <v>8</v>
      </c>
      <c r="K271" s="100">
        <v>2.1</v>
      </c>
      <c r="L271" s="27" t="s">
        <v>52</v>
      </c>
      <c r="M271" s="241" t="s">
        <v>52</v>
      </c>
      <c r="N271" s="241" t="s">
        <v>1143</v>
      </c>
      <c r="O271" s="241" t="s">
        <v>1143</v>
      </c>
      <c r="P271" s="237">
        <v>1</v>
      </c>
      <c r="Q271" s="84" t="s">
        <v>102</v>
      </c>
      <c r="R271" s="103">
        <f t="shared" si="16"/>
        <v>1</v>
      </c>
      <c r="S271" s="82"/>
      <c r="T271" s="103">
        <f t="shared" si="19"/>
        <v>0</v>
      </c>
      <c r="U271" s="242">
        <v>1</v>
      </c>
      <c r="V271" s="103">
        <f t="shared" si="17"/>
        <v>1</v>
      </c>
      <c r="W271" s="241" t="s">
        <v>305</v>
      </c>
      <c r="X271" s="324">
        <f t="shared" si="18"/>
        <v>1</v>
      </c>
      <c r="Y271" s="235" t="s">
        <v>360</v>
      </c>
      <c r="Z271" s="340" t="s">
        <v>398</v>
      </c>
      <c r="AA271" s="237" t="s">
        <v>45</v>
      </c>
      <c r="AB271" s="83"/>
      <c r="AC271" s="242"/>
      <c r="AD271" s="27" t="s">
        <v>219</v>
      </c>
      <c r="AE271" s="243"/>
      <c r="AF271" s="79"/>
      <c r="AG271" s="237"/>
    </row>
    <row r="272" spans="1:33" s="15" customFormat="1" ht="15" x14ac:dyDescent="0.15">
      <c r="A272" s="237" t="s">
        <v>43</v>
      </c>
      <c r="B272" s="238">
        <v>260</v>
      </c>
      <c r="C272" s="237" t="s">
        <v>44</v>
      </c>
      <c r="D272" s="237" t="s">
        <v>45</v>
      </c>
      <c r="E272" s="237">
        <v>1</v>
      </c>
      <c r="F272" s="237" t="s">
        <v>351</v>
      </c>
      <c r="G272" s="239" t="s">
        <v>399</v>
      </c>
      <c r="H272" s="240">
        <v>44244.839780092596</v>
      </c>
      <c r="I272" s="237" t="s">
        <v>48</v>
      </c>
      <c r="J272" s="237">
        <v>9</v>
      </c>
      <c r="K272" s="100">
        <v>2.1</v>
      </c>
      <c r="L272" s="27" t="s">
        <v>52</v>
      </c>
      <c r="M272" s="241" t="s">
        <v>52</v>
      </c>
      <c r="N272" s="241" t="s">
        <v>1143</v>
      </c>
      <c r="O272" s="241" t="s">
        <v>1143</v>
      </c>
      <c r="P272" s="237">
        <v>1</v>
      </c>
      <c r="Q272" s="84" t="s">
        <v>102</v>
      </c>
      <c r="R272" s="103">
        <f t="shared" si="16"/>
        <v>1</v>
      </c>
      <c r="S272" s="82"/>
      <c r="T272" s="103">
        <f t="shared" si="19"/>
        <v>0</v>
      </c>
      <c r="U272" s="242">
        <v>1</v>
      </c>
      <c r="V272" s="103">
        <f t="shared" si="17"/>
        <v>1</v>
      </c>
      <c r="W272" s="241" t="s">
        <v>305</v>
      </c>
      <c r="X272" s="324">
        <f t="shared" si="18"/>
        <v>1</v>
      </c>
      <c r="Y272" s="235" t="s">
        <v>351</v>
      </c>
      <c r="Z272" s="340" t="s">
        <v>399</v>
      </c>
      <c r="AA272" s="237" t="s">
        <v>45</v>
      </c>
      <c r="AB272" s="83"/>
      <c r="AC272" s="242"/>
      <c r="AD272" s="27"/>
      <c r="AE272" s="243"/>
      <c r="AF272" s="79"/>
      <c r="AG272" s="237"/>
    </row>
    <row r="273" spans="1:33" s="15" customFormat="1" ht="15" x14ac:dyDescent="0.15">
      <c r="A273" s="237" t="s">
        <v>43</v>
      </c>
      <c r="B273" s="238">
        <v>260</v>
      </c>
      <c r="C273" s="237" t="s">
        <v>44</v>
      </c>
      <c r="D273" s="237" t="s">
        <v>45</v>
      </c>
      <c r="E273" s="237">
        <v>1</v>
      </c>
      <c r="F273" s="237" t="s">
        <v>353</v>
      </c>
      <c r="G273" s="239" t="s">
        <v>400</v>
      </c>
      <c r="H273" s="240">
        <v>44244.839988425927</v>
      </c>
      <c r="I273" s="237" t="s">
        <v>48</v>
      </c>
      <c r="J273" s="237">
        <v>10</v>
      </c>
      <c r="K273" s="100">
        <v>2.1</v>
      </c>
      <c r="L273" s="27" t="s">
        <v>52</v>
      </c>
      <c r="M273" s="241" t="s">
        <v>52</v>
      </c>
      <c r="N273" s="241" t="s">
        <v>1143</v>
      </c>
      <c r="O273" s="241" t="s">
        <v>1143</v>
      </c>
      <c r="P273" s="237">
        <v>1</v>
      </c>
      <c r="Q273" s="84" t="s">
        <v>312</v>
      </c>
      <c r="R273" s="103">
        <f t="shared" si="16"/>
        <v>1</v>
      </c>
      <c r="S273" s="82"/>
      <c r="T273" s="103">
        <f t="shared" si="19"/>
        <v>0</v>
      </c>
      <c r="U273" s="242">
        <v>1</v>
      </c>
      <c r="V273" s="103">
        <f t="shared" si="17"/>
        <v>1</v>
      </c>
      <c r="W273" s="241" t="s">
        <v>305</v>
      </c>
      <c r="X273" s="324">
        <f t="shared" si="18"/>
        <v>1</v>
      </c>
      <c r="Y273" s="235" t="s">
        <v>353</v>
      </c>
      <c r="Z273" s="340" t="s">
        <v>400</v>
      </c>
      <c r="AA273" s="237" t="s">
        <v>45</v>
      </c>
      <c r="AB273" s="83"/>
      <c r="AC273" s="242"/>
      <c r="AD273" s="27"/>
      <c r="AE273" s="243"/>
      <c r="AF273" s="79"/>
      <c r="AG273" s="237"/>
    </row>
    <row r="274" spans="1:33" s="15" customFormat="1" ht="30" x14ac:dyDescent="0.15">
      <c r="A274" s="237" t="s">
        <v>43</v>
      </c>
      <c r="B274" s="238">
        <v>260</v>
      </c>
      <c r="C274" s="237" t="s">
        <v>44</v>
      </c>
      <c r="D274" s="237" t="s">
        <v>45</v>
      </c>
      <c r="E274" s="237">
        <v>1</v>
      </c>
      <c r="F274" s="237" t="s">
        <v>351</v>
      </c>
      <c r="G274" s="239" t="s">
        <v>401</v>
      </c>
      <c r="H274" s="240">
        <v>44244.84070601852</v>
      </c>
      <c r="I274" s="237" t="s">
        <v>48</v>
      </c>
      <c r="J274" s="237">
        <v>9</v>
      </c>
      <c r="K274" s="100">
        <v>2.1</v>
      </c>
      <c r="L274" s="27" t="s">
        <v>108</v>
      </c>
      <c r="M274" s="241" t="s">
        <v>108</v>
      </c>
      <c r="N274" s="241" t="s">
        <v>108</v>
      </c>
      <c r="O274" s="241" t="s">
        <v>108</v>
      </c>
      <c r="P274" s="237">
        <v>1</v>
      </c>
      <c r="Q274" s="84" t="s">
        <v>295</v>
      </c>
      <c r="R274" s="103">
        <f t="shared" si="16"/>
        <v>1</v>
      </c>
      <c r="S274" s="82"/>
      <c r="T274" s="103">
        <f t="shared" si="19"/>
        <v>0</v>
      </c>
      <c r="U274" s="242">
        <v>1</v>
      </c>
      <c r="V274" s="103">
        <f t="shared" si="17"/>
        <v>1</v>
      </c>
      <c r="W274" s="241" t="s">
        <v>331</v>
      </c>
      <c r="X274" s="324">
        <f t="shared" si="18"/>
        <v>1</v>
      </c>
      <c r="Y274" s="235" t="s">
        <v>351</v>
      </c>
      <c r="Z274" s="340" t="s">
        <v>401</v>
      </c>
      <c r="AA274" s="237" t="s">
        <v>45</v>
      </c>
      <c r="AB274" s="83" t="s">
        <v>112</v>
      </c>
      <c r="AC274" s="242"/>
      <c r="AD274" s="27" t="s">
        <v>109</v>
      </c>
      <c r="AE274" s="243"/>
      <c r="AF274" s="79"/>
      <c r="AG274" s="237"/>
    </row>
    <row r="275" spans="1:33" s="15" customFormat="1" ht="30" x14ac:dyDescent="0.15">
      <c r="A275" s="237" t="s">
        <v>43</v>
      </c>
      <c r="B275" s="238">
        <v>260</v>
      </c>
      <c r="C275" s="237" t="s">
        <v>44</v>
      </c>
      <c r="D275" s="237" t="s">
        <v>45</v>
      </c>
      <c r="E275" s="237">
        <v>1</v>
      </c>
      <c r="F275" s="237" t="s">
        <v>351</v>
      </c>
      <c r="G275" s="239" t="s">
        <v>402</v>
      </c>
      <c r="H275" s="240">
        <v>44244.840868055559</v>
      </c>
      <c r="I275" s="237" t="s">
        <v>48</v>
      </c>
      <c r="J275" s="237">
        <v>9</v>
      </c>
      <c r="K275" s="100">
        <v>2.1</v>
      </c>
      <c r="L275" s="27" t="s">
        <v>52</v>
      </c>
      <c r="M275" s="241" t="s">
        <v>108</v>
      </c>
      <c r="N275" s="241" t="s">
        <v>108</v>
      </c>
      <c r="O275" s="241" t="s">
        <v>108</v>
      </c>
      <c r="P275" s="237">
        <v>1</v>
      </c>
      <c r="Q275" s="84" t="s">
        <v>102</v>
      </c>
      <c r="R275" s="103">
        <f t="shared" si="16"/>
        <v>1</v>
      </c>
      <c r="S275" s="82"/>
      <c r="T275" s="103">
        <f t="shared" si="19"/>
        <v>0</v>
      </c>
      <c r="U275" s="242"/>
      <c r="V275" s="103">
        <f t="shared" si="17"/>
        <v>0</v>
      </c>
      <c r="W275" s="241" t="s">
        <v>58</v>
      </c>
      <c r="X275" s="324">
        <f t="shared" si="18"/>
        <v>1</v>
      </c>
      <c r="Y275" s="235" t="s">
        <v>351</v>
      </c>
      <c r="Z275" s="340" t="s">
        <v>402</v>
      </c>
      <c r="AA275" s="237" t="s">
        <v>45</v>
      </c>
      <c r="AB275" s="83"/>
      <c r="AC275" s="242"/>
      <c r="AD275" s="27" t="s">
        <v>219</v>
      </c>
      <c r="AE275" s="243"/>
      <c r="AF275" s="79"/>
      <c r="AG275" s="237"/>
    </row>
    <row r="276" spans="1:33" s="15" customFormat="1" ht="30" x14ac:dyDescent="0.15">
      <c r="A276" s="237" t="s">
        <v>43</v>
      </c>
      <c r="B276" s="238">
        <v>260</v>
      </c>
      <c r="C276" s="237" t="s">
        <v>44</v>
      </c>
      <c r="D276" s="237" t="s">
        <v>45</v>
      </c>
      <c r="E276" s="237">
        <v>1</v>
      </c>
      <c r="F276" s="237" t="s">
        <v>360</v>
      </c>
      <c r="G276" s="239" t="s">
        <v>403</v>
      </c>
      <c r="H276" s="240">
        <v>44244.841620370367</v>
      </c>
      <c r="I276" s="237" t="s">
        <v>48</v>
      </c>
      <c r="J276" s="237">
        <v>10</v>
      </c>
      <c r="K276" s="100">
        <v>2.1</v>
      </c>
      <c r="L276" s="27" t="s">
        <v>108</v>
      </c>
      <c r="M276" s="241" t="s">
        <v>638</v>
      </c>
      <c r="N276" s="241" t="s">
        <v>638</v>
      </c>
      <c r="O276" s="241" t="s">
        <v>1163</v>
      </c>
      <c r="P276" s="237">
        <v>1</v>
      </c>
      <c r="Q276" s="84" t="s">
        <v>102</v>
      </c>
      <c r="R276" s="103">
        <f t="shared" si="16"/>
        <v>1</v>
      </c>
      <c r="S276" s="82"/>
      <c r="T276" s="103">
        <f t="shared" si="19"/>
        <v>0</v>
      </c>
      <c r="U276" s="242"/>
      <c r="V276" s="103">
        <f t="shared" si="17"/>
        <v>0</v>
      </c>
      <c r="W276" s="241"/>
      <c r="X276" s="324">
        <f t="shared" si="18"/>
        <v>0</v>
      </c>
      <c r="Y276" s="235" t="s">
        <v>360</v>
      </c>
      <c r="Z276" s="340" t="s">
        <v>403</v>
      </c>
      <c r="AA276" s="237" t="s">
        <v>45</v>
      </c>
      <c r="AB276" s="83"/>
      <c r="AC276" s="242"/>
      <c r="AD276" s="27" t="s">
        <v>109</v>
      </c>
      <c r="AE276" s="243"/>
      <c r="AF276" s="79"/>
      <c r="AG276" s="237"/>
    </row>
    <row r="277" spans="1:33" s="15" customFormat="1" ht="45" x14ac:dyDescent="0.15">
      <c r="A277" s="237" t="s">
        <v>43</v>
      </c>
      <c r="B277" s="238">
        <v>260</v>
      </c>
      <c r="C277" s="237" t="s">
        <v>44</v>
      </c>
      <c r="D277" s="237" t="s">
        <v>45</v>
      </c>
      <c r="E277" s="237">
        <v>1</v>
      </c>
      <c r="F277" s="237" t="s">
        <v>353</v>
      </c>
      <c r="G277" s="239" t="s">
        <v>404</v>
      </c>
      <c r="H277" s="240">
        <v>44244.84170138889</v>
      </c>
      <c r="I277" s="237" t="s">
        <v>48</v>
      </c>
      <c r="J277" s="237">
        <v>10</v>
      </c>
      <c r="K277" s="100">
        <v>2.1</v>
      </c>
      <c r="L277" s="27" t="s">
        <v>108</v>
      </c>
      <c r="M277" s="241" t="s">
        <v>638</v>
      </c>
      <c r="N277" s="241" t="s">
        <v>638</v>
      </c>
      <c r="O277" s="241" t="s">
        <v>1163</v>
      </c>
      <c r="P277" s="237">
        <v>1</v>
      </c>
      <c r="Q277" s="84" t="s">
        <v>102</v>
      </c>
      <c r="R277" s="103">
        <f t="shared" si="16"/>
        <v>1</v>
      </c>
      <c r="S277" s="82"/>
      <c r="T277" s="103">
        <f t="shared" si="19"/>
        <v>0</v>
      </c>
      <c r="U277" s="242"/>
      <c r="V277" s="103">
        <f t="shared" si="17"/>
        <v>0</v>
      </c>
      <c r="W277" s="241"/>
      <c r="X277" s="324">
        <f t="shared" si="18"/>
        <v>0</v>
      </c>
      <c r="Y277" s="235" t="s">
        <v>353</v>
      </c>
      <c r="Z277" s="340" t="s">
        <v>404</v>
      </c>
      <c r="AA277" s="237" t="s">
        <v>45</v>
      </c>
      <c r="AB277" s="83"/>
      <c r="AC277" s="242"/>
      <c r="AD277" s="27"/>
      <c r="AE277" s="243"/>
      <c r="AF277" s="79"/>
      <c r="AG277" s="237"/>
    </row>
    <row r="278" spans="1:33" s="15" customFormat="1" ht="15" x14ac:dyDescent="0.15">
      <c r="A278" s="237" t="s">
        <v>43</v>
      </c>
      <c r="B278" s="238">
        <v>260</v>
      </c>
      <c r="C278" s="237" t="s">
        <v>44</v>
      </c>
      <c r="D278" s="237" t="s">
        <v>45</v>
      </c>
      <c r="E278" s="237">
        <v>1</v>
      </c>
      <c r="F278" s="237" t="s">
        <v>360</v>
      </c>
      <c r="G278" s="239" t="s">
        <v>405</v>
      </c>
      <c r="H278" s="240">
        <v>44244.842002314814</v>
      </c>
      <c r="I278" s="237" t="s">
        <v>48</v>
      </c>
      <c r="J278" s="237">
        <v>10</v>
      </c>
      <c r="K278" s="100">
        <v>2.1</v>
      </c>
      <c r="L278" s="27" t="s">
        <v>108</v>
      </c>
      <c r="M278" s="241" t="s">
        <v>638</v>
      </c>
      <c r="N278" s="241" t="s">
        <v>638</v>
      </c>
      <c r="O278" s="241" t="s">
        <v>1163</v>
      </c>
      <c r="P278" s="237">
        <v>1</v>
      </c>
      <c r="Q278" s="84" t="s">
        <v>102</v>
      </c>
      <c r="R278" s="103">
        <f t="shared" si="16"/>
        <v>1</v>
      </c>
      <c r="S278" s="82"/>
      <c r="T278" s="103">
        <f t="shared" si="19"/>
        <v>0</v>
      </c>
      <c r="U278" s="242"/>
      <c r="V278" s="103">
        <f t="shared" si="17"/>
        <v>0</v>
      </c>
      <c r="W278" s="241"/>
      <c r="X278" s="324">
        <f t="shared" si="18"/>
        <v>0</v>
      </c>
      <c r="Y278" s="235" t="s">
        <v>360</v>
      </c>
      <c r="Z278" s="340" t="s">
        <v>405</v>
      </c>
      <c r="AA278" s="237" t="s">
        <v>45</v>
      </c>
      <c r="AB278" s="83"/>
      <c r="AC278" s="242"/>
      <c r="AD278" s="27"/>
      <c r="AE278" s="243"/>
      <c r="AF278" s="79"/>
      <c r="AG278" s="237"/>
    </row>
    <row r="279" spans="1:33" s="15" customFormat="1" ht="30" x14ac:dyDescent="0.15">
      <c r="A279" s="237" t="s">
        <v>43</v>
      </c>
      <c r="B279" s="238">
        <v>260</v>
      </c>
      <c r="C279" s="237" t="s">
        <v>44</v>
      </c>
      <c r="D279" s="237" t="s">
        <v>45</v>
      </c>
      <c r="E279" s="237">
        <v>1</v>
      </c>
      <c r="F279" s="237" t="s">
        <v>353</v>
      </c>
      <c r="G279" s="239" t="s">
        <v>406</v>
      </c>
      <c r="H279" s="240">
        <v>44244.842430555553</v>
      </c>
      <c r="I279" s="237" t="s">
        <v>48</v>
      </c>
      <c r="J279" s="237">
        <v>10</v>
      </c>
      <c r="K279" s="100">
        <v>2.1</v>
      </c>
      <c r="L279" s="27" t="s">
        <v>108</v>
      </c>
      <c r="M279" s="241" t="s">
        <v>638</v>
      </c>
      <c r="N279" s="241" t="s">
        <v>638</v>
      </c>
      <c r="O279" s="241" t="s">
        <v>1163</v>
      </c>
      <c r="P279" s="237">
        <v>1</v>
      </c>
      <c r="Q279" s="84" t="s">
        <v>102</v>
      </c>
      <c r="R279" s="103">
        <f t="shared" si="16"/>
        <v>1</v>
      </c>
      <c r="S279" s="82"/>
      <c r="T279" s="103">
        <f t="shared" si="19"/>
        <v>0</v>
      </c>
      <c r="U279" s="242">
        <v>2</v>
      </c>
      <c r="V279" s="103">
        <f t="shared" si="17"/>
        <v>1</v>
      </c>
      <c r="W279" s="241" t="s">
        <v>331</v>
      </c>
      <c r="X279" s="324">
        <f t="shared" si="18"/>
        <v>1</v>
      </c>
      <c r="Y279" s="235" t="s">
        <v>353</v>
      </c>
      <c r="Z279" s="340" t="s">
        <v>406</v>
      </c>
      <c r="AA279" s="237" t="s">
        <v>45</v>
      </c>
      <c r="AB279" s="83"/>
      <c r="AC279" s="242" t="s">
        <v>112</v>
      </c>
      <c r="AD279" s="27"/>
      <c r="AE279" s="243"/>
      <c r="AF279" s="79"/>
      <c r="AG279" s="237"/>
    </row>
    <row r="280" spans="1:33" s="15" customFormat="1" ht="15" x14ac:dyDescent="0.15">
      <c r="A280" s="237" t="s">
        <v>43</v>
      </c>
      <c r="B280" s="238">
        <v>260</v>
      </c>
      <c r="C280" s="237" t="s">
        <v>44</v>
      </c>
      <c r="D280" s="237" t="s">
        <v>45</v>
      </c>
      <c r="E280" s="237">
        <v>1</v>
      </c>
      <c r="F280" s="237" t="s">
        <v>360</v>
      </c>
      <c r="G280" s="239" t="s">
        <v>407</v>
      </c>
      <c r="H280" s="240">
        <v>44244.842638888891</v>
      </c>
      <c r="I280" s="237" t="s">
        <v>48</v>
      </c>
      <c r="J280" s="237">
        <v>10</v>
      </c>
      <c r="K280" s="100">
        <v>2.1</v>
      </c>
      <c r="L280" s="27" t="s">
        <v>108</v>
      </c>
      <c r="M280" s="241" t="s">
        <v>638</v>
      </c>
      <c r="N280" s="241" t="s">
        <v>638</v>
      </c>
      <c r="O280" s="241" t="s">
        <v>1163</v>
      </c>
      <c r="P280" s="237">
        <v>1</v>
      </c>
      <c r="Q280" s="84" t="s">
        <v>102</v>
      </c>
      <c r="R280" s="103">
        <f t="shared" si="16"/>
        <v>1</v>
      </c>
      <c r="S280" s="82"/>
      <c r="T280" s="103">
        <f t="shared" si="19"/>
        <v>0</v>
      </c>
      <c r="U280" s="242">
        <v>2</v>
      </c>
      <c r="V280" s="103">
        <f t="shared" si="17"/>
        <v>1</v>
      </c>
      <c r="W280" s="241" t="s">
        <v>637</v>
      </c>
      <c r="X280" s="324">
        <f t="shared" si="18"/>
        <v>1</v>
      </c>
      <c r="Y280" s="235" t="s">
        <v>360</v>
      </c>
      <c r="Z280" s="340" t="s">
        <v>407</v>
      </c>
      <c r="AA280" s="237" t="s">
        <v>45</v>
      </c>
      <c r="AB280" s="83"/>
      <c r="AC280" s="242"/>
      <c r="AD280" s="27"/>
      <c r="AE280" s="243"/>
      <c r="AF280" s="79"/>
      <c r="AG280" s="237"/>
    </row>
    <row r="281" spans="1:33" s="15" customFormat="1" ht="15" x14ac:dyDescent="0.15">
      <c r="A281" s="237" t="s">
        <v>43</v>
      </c>
      <c r="B281" s="238">
        <v>260</v>
      </c>
      <c r="C281" s="237" t="s">
        <v>44</v>
      </c>
      <c r="D281" s="237" t="s">
        <v>45</v>
      </c>
      <c r="E281" s="237">
        <v>1</v>
      </c>
      <c r="F281" s="237" t="s">
        <v>351</v>
      </c>
      <c r="G281" s="239" t="s">
        <v>408</v>
      </c>
      <c r="H281" s="240">
        <v>44244.842685185184</v>
      </c>
      <c r="I281" s="237" t="s">
        <v>48</v>
      </c>
      <c r="J281" s="237">
        <v>10</v>
      </c>
      <c r="K281" s="100">
        <v>2.1</v>
      </c>
      <c r="L281" s="27" t="s">
        <v>108</v>
      </c>
      <c r="M281" s="241" t="s">
        <v>638</v>
      </c>
      <c r="N281" s="241" t="s">
        <v>638</v>
      </c>
      <c r="O281" s="241" t="s">
        <v>1163</v>
      </c>
      <c r="P281" s="237">
        <v>1</v>
      </c>
      <c r="Q281" s="84" t="s">
        <v>102</v>
      </c>
      <c r="R281" s="103">
        <f t="shared" si="16"/>
        <v>1</v>
      </c>
      <c r="S281" s="82"/>
      <c r="T281" s="103">
        <f t="shared" si="19"/>
        <v>0</v>
      </c>
      <c r="U281" s="242">
        <v>2</v>
      </c>
      <c r="V281" s="103">
        <f t="shared" si="17"/>
        <v>1</v>
      </c>
      <c r="W281" s="241" t="s">
        <v>637</v>
      </c>
      <c r="X281" s="324">
        <f t="shared" si="18"/>
        <v>1</v>
      </c>
      <c r="Y281" s="235" t="s">
        <v>351</v>
      </c>
      <c r="Z281" s="340" t="s">
        <v>408</v>
      </c>
      <c r="AA281" s="237" t="s">
        <v>45</v>
      </c>
      <c r="AB281" s="83"/>
      <c r="AC281" s="242"/>
      <c r="AD281" s="27"/>
      <c r="AE281" s="243"/>
      <c r="AF281" s="79"/>
      <c r="AG281" s="237"/>
    </row>
    <row r="282" spans="1:33" s="15" customFormat="1" ht="15" x14ac:dyDescent="0.15">
      <c r="A282" s="237" t="s">
        <v>43</v>
      </c>
      <c r="B282" s="238">
        <v>260</v>
      </c>
      <c r="C282" s="237" t="s">
        <v>44</v>
      </c>
      <c r="D282" s="237" t="s">
        <v>45</v>
      </c>
      <c r="E282" s="237">
        <v>1</v>
      </c>
      <c r="F282" s="237" t="s">
        <v>353</v>
      </c>
      <c r="G282" s="239" t="s">
        <v>409</v>
      </c>
      <c r="H282" s="240">
        <v>44244.842951388891</v>
      </c>
      <c r="I282" s="237" t="s">
        <v>48</v>
      </c>
      <c r="J282" s="237">
        <v>10</v>
      </c>
      <c r="K282" s="100">
        <v>2.1</v>
      </c>
      <c r="L282" s="27" t="s">
        <v>108</v>
      </c>
      <c r="M282" s="241" t="s">
        <v>108</v>
      </c>
      <c r="N282" s="241" t="s">
        <v>108</v>
      </c>
      <c r="O282" s="241" t="s">
        <v>108</v>
      </c>
      <c r="P282" s="237">
        <v>1</v>
      </c>
      <c r="Q282" s="84" t="s">
        <v>102</v>
      </c>
      <c r="R282" s="103">
        <f t="shared" si="16"/>
        <v>1</v>
      </c>
      <c r="S282" s="82"/>
      <c r="T282" s="103">
        <f t="shared" si="19"/>
        <v>0</v>
      </c>
      <c r="U282" s="242">
        <v>2</v>
      </c>
      <c r="V282" s="103">
        <f t="shared" si="17"/>
        <v>1</v>
      </c>
      <c r="W282" s="241" t="s">
        <v>305</v>
      </c>
      <c r="X282" s="324">
        <f t="shared" si="18"/>
        <v>1</v>
      </c>
      <c r="Y282" s="235" t="s">
        <v>353</v>
      </c>
      <c r="Z282" s="340" t="s">
        <v>409</v>
      </c>
      <c r="AA282" s="237" t="s">
        <v>45</v>
      </c>
      <c r="AB282" s="83"/>
      <c r="AC282" s="242"/>
      <c r="AD282" s="27"/>
      <c r="AE282" s="243"/>
      <c r="AF282" s="79"/>
      <c r="AG282" s="237"/>
    </row>
    <row r="283" spans="1:33" s="15" customFormat="1" ht="15" x14ac:dyDescent="0.15">
      <c r="A283" s="237" t="s">
        <v>43</v>
      </c>
      <c r="B283" s="238">
        <v>260</v>
      </c>
      <c r="C283" s="237" t="s">
        <v>44</v>
      </c>
      <c r="D283" s="237" t="s">
        <v>45</v>
      </c>
      <c r="E283" s="237">
        <v>1</v>
      </c>
      <c r="F283" s="237" t="s">
        <v>351</v>
      </c>
      <c r="G283" s="239" t="s">
        <v>67</v>
      </c>
      <c r="H283" s="240">
        <v>44244.843425925923</v>
      </c>
      <c r="I283" s="237" t="s">
        <v>48</v>
      </c>
      <c r="J283" s="237">
        <v>10</v>
      </c>
      <c r="K283" s="100">
        <v>2.1</v>
      </c>
      <c r="L283" s="27" t="s">
        <v>108</v>
      </c>
      <c r="M283" s="241" t="s">
        <v>108</v>
      </c>
      <c r="N283" s="241" t="s">
        <v>108</v>
      </c>
      <c r="O283" s="241" t="s">
        <v>108</v>
      </c>
      <c r="P283" s="237">
        <v>1</v>
      </c>
      <c r="Q283" s="84" t="s">
        <v>102</v>
      </c>
      <c r="R283" s="103">
        <f t="shared" si="16"/>
        <v>1</v>
      </c>
      <c r="S283" s="82"/>
      <c r="T283" s="103">
        <f t="shared" si="19"/>
        <v>0</v>
      </c>
      <c r="U283" s="242">
        <v>2</v>
      </c>
      <c r="V283" s="103">
        <f t="shared" si="17"/>
        <v>1</v>
      </c>
      <c r="W283" s="241" t="s">
        <v>305</v>
      </c>
      <c r="X283" s="324">
        <f t="shared" si="18"/>
        <v>1</v>
      </c>
      <c r="Y283" s="235" t="s">
        <v>351</v>
      </c>
      <c r="Z283" s="340" t="s">
        <v>67</v>
      </c>
      <c r="AA283" s="237" t="s">
        <v>45</v>
      </c>
      <c r="AB283" s="83"/>
      <c r="AC283" s="242"/>
      <c r="AD283" s="27"/>
      <c r="AE283" s="243"/>
      <c r="AF283" s="79"/>
      <c r="AG283" s="237"/>
    </row>
    <row r="284" spans="1:33" s="15" customFormat="1" ht="15" x14ac:dyDescent="0.15">
      <c r="A284" s="237" t="s">
        <v>43</v>
      </c>
      <c r="B284" s="238">
        <v>260</v>
      </c>
      <c r="C284" s="237" t="s">
        <v>44</v>
      </c>
      <c r="D284" s="237" t="s">
        <v>45</v>
      </c>
      <c r="E284" s="237">
        <v>1</v>
      </c>
      <c r="F284" s="237" t="s">
        <v>353</v>
      </c>
      <c r="G284" s="239" t="s">
        <v>410</v>
      </c>
      <c r="H284" s="240">
        <v>44244.843622685185</v>
      </c>
      <c r="I284" s="237" t="s">
        <v>48</v>
      </c>
      <c r="J284" s="237">
        <v>10</v>
      </c>
      <c r="K284" s="100">
        <v>2.1</v>
      </c>
      <c r="L284" s="27" t="s">
        <v>108</v>
      </c>
      <c r="M284" s="241" t="s">
        <v>108</v>
      </c>
      <c r="N284" s="241" t="s">
        <v>108</v>
      </c>
      <c r="O284" s="241" t="s">
        <v>108</v>
      </c>
      <c r="P284" s="237">
        <v>1</v>
      </c>
      <c r="Q284" s="84" t="s">
        <v>102</v>
      </c>
      <c r="R284" s="103">
        <f t="shared" si="16"/>
        <v>1</v>
      </c>
      <c r="S284" s="82"/>
      <c r="T284" s="103">
        <f t="shared" si="19"/>
        <v>0</v>
      </c>
      <c r="U284" s="242">
        <v>2</v>
      </c>
      <c r="V284" s="103">
        <f t="shared" si="17"/>
        <v>1</v>
      </c>
      <c r="W284" s="241" t="s">
        <v>331</v>
      </c>
      <c r="X284" s="324">
        <f t="shared" si="18"/>
        <v>1</v>
      </c>
      <c r="Y284" s="235" t="s">
        <v>353</v>
      </c>
      <c r="Z284" s="340" t="s">
        <v>410</v>
      </c>
      <c r="AA284" s="237" t="s">
        <v>45</v>
      </c>
      <c r="AB284" s="83" t="s">
        <v>112</v>
      </c>
      <c r="AC284" s="242" t="s">
        <v>261</v>
      </c>
      <c r="AD284" s="27"/>
      <c r="AE284" s="243"/>
      <c r="AF284" s="79"/>
      <c r="AG284" s="237"/>
    </row>
    <row r="285" spans="1:33" s="15" customFormat="1" ht="30" x14ac:dyDescent="0.15">
      <c r="A285" s="237" t="s">
        <v>43</v>
      </c>
      <c r="B285" s="238">
        <v>260</v>
      </c>
      <c r="C285" s="237" t="s">
        <v>44</v>
      </c>
      <c r="D285" s="237" t="s">
        <v>45</v>
      </c>
      <c r="E285" s="237">
        <v>1</v>
      </c>
      <c r="F285" s="237" t="s">
        <v>351</v>
      </c>
      <c r="G285" s="239" t="s">
        <v>411</v>
      </c>
      <c r="H285" s="240">
        <v>44244.843807870369</v>
      </c>
      <c r="I285" s="237" t="s">
        <v>48</v>
      </c>
      <c r="J285" s="237">
        <v>10</v>
      </c>
      <c r="K285" s="100">
        <v>2.1</v>
      </c>
      <c r="L285" s="27" t="s">
        <v>108</v>
      </c>
      <c r="M285" s="241" t="s">
        <v>108</v>
      </c>
      <c r="N285" s="241" t="s">
        <v>108</v>
      </c>
      <c r="O285" s="241" t="s">
        <v>108</v>
      </c>
      <c r="P285" s="237">
        <v>1</v>
      </c>
      <c r="Q285" s="84" t="s">
        <v>312</v>
      </c>
      <c r="R285" s="103">
        <f t="shared" si="16"/>
        <v>1</v>
      </c>
      <c r="S285" s="82"/>
      <c r="T285" s="103">
        <f t="shared" si="19"/>
        <v>0</v>
      </c>
      <c r="U285" s="242">
        <v>2</v>
      </c>
      <c r="V285" s="103">
        <f t="shared" si="17"/>
        <v>1</v>
      </c>
      <c r="W285" s="241" t="s">
        <v>305</v>
      </c>
      <c r="X285" s="324">
        <f t="shared" si="18"/>
        <v>1</v>
      </c>
      <c r="Y285" s="235" t="s">
        <v>351</v>
      </c>
      <c r="Z285" s="340" t="s">
        <v>411</v>
      </c>
      <c r="AA285" s="237" t="s">
        <v>45</v>
      </c>
      <c r="AB285" s="83"/>
      <c r="AC285" s="242"/>
      <c r="AD285" s="27"/>
      <c r="AE285" s="243"/>
      <c r="AF285" s="79"/>
      <c r="AG285" s="237"/>
    </row>
    <row r="286" spans="1:33" s="15" customFormat="1" ht="60" x14ac:dyDescent="0.15">
      <c r="A286" s="237" t="s">
        <v>43</v>
      </c>
      <c r="B286" s="238">
        <v>260</v>
      </c>
      <c r="C286" s="237" t="s">
        <v>44</v>
      </c>
      <c r="D286" s="237" t="s">
        <v>45</v>
      </c>
      <c r="E286" s="237">
        <v>1</v>
      </c>
      <c r="F286" s="237" t="s">
        <v>353</v>
      </c>
      <c r="G286" s="239" t="s">
        <v>412</v>
      </c>
      <c r="H286" s="240">
        <v>44244.844212962962</v>
      </c>
      <c r="I286" s="237" t="s">
        <v>48</v>
      </c>
      <c r="J286" s="237">
        <v>10</v>
      </c>
      <c r="K286" s="100">
        <v>2.1</v>
      </c>
      <c r="L286" s="27" t="s">
        <v>1145</v>
      </c>
      <c r="M286" s="241" t="s">
        <v>108</v>
      </c>
      <c r="N286" s="241" t="s">
        <v>108</v>
      </c>
      <c r="O286" s="241" t="s">
        <v>108</v>
      </c>
      <c r="P286" s="237">
        <v>1</v>
      </c>
      <c r="Q286" s="84"/>
      <c r="R286" s="103">
        <f t="shared" si="16"/>
        <v>0</v>
      </c>
      <c r="S286" s="82"/>
      <c r="T286" s="103">
        <f t="shared" si="19"/>
        <v>0</v>
      </c>
      <c r="U286" s="242">
        <v>2</v>
      </c>
      <c r="V286" s="103">
        <f t="shared" si="17"/>
        <v>1</v>
      </c>
      <c r="W286" s="241" t="s">
        <v>637</v>
      </c>
      <c r="X286" s="324">
        <f t="shared" si="18"/>
        <v>1</v>
      </c>
      <c r="Y286" s="235" t="s">
        <v>353</v>
      </c>
      <c r="Z286" s="340" t="s">
        <v>412</v>
      </c>
      <c r="AA286" s="237" t="s">
        <v>45</v>
      </c>
      <c r="AB286" s="83"/>
      <c r="AC286" s="242"/>
      <c r="AD286" s="27" t="s">
        <v>1148</v>
      </c>
      <c r="AE286" s="243"/>
      <c r="AF286" s="79"/>
      <c r="AG286" s="237"/>
    </row>
    <row r="287" spans="1:33" s="15" customFormat="1" ht="45" x14ac:dyDescent="0.15">
      <c r="A287" s="237" t="s">
        <v>43</v>
      </c>
      <c r="B287" s="238">
        <v>260</v>
      </c>
      <c r="C287" s="237" t="s">
        <v>44</v>
      </c>
      <c r="D287" s="237" t="s">
        <v>45</v>
      </c>
      <c r="E287" s="237">
        <v>1</v>
      </c>
      <c r="F287" s="237" t="s">
        <v>351</v>
      </c>
      <c r="G287" s="239" t="s">
        <v>413</v>
      </c>
      <c r="H287" s="240">
        <v>44244.844328703701</v>
      </c>
      <c r="I287" s="237" t="s">
        <v>48</v>
      </c>
      <c r="J287" s="237">
        <v>10</v>
      </c>
      <c r="K287" s="100">
        <v>2.1</v>
      </c>
      <c r="L287" s="27" t="s">
        <v>108</v>
      </c>
      <c r="M287" s="241" t="s">
        <v>108</v>
      </c>
      <c r="N287" s="241" t="s">
        <v>108</v>
      </c>
      <c r="O287" s="241" t="s">
        <v>108</v>
      </c>
      <c r="P287" s="237">
        <v>1</v>
      </c>
      <c r="Q287" s="84"/>
      <c r="R287" s="103">
        <f t="shared" si="16"/>
        <v>0</v>
      </c>
      <c r="S287" s="82"/>
      <c r="T287" s="103">
        <f t="shared" si="19"/>
        <v>0</v>
      </c>
      <c r="U287" s="242">
        <v>2</v>
      </c>
      <c r="V287" s="103">
        <f t="shared" si="17"/>
        <v>1</v>
      </c>
      <c r="W287" s="241" t="s">
        <v>305</v>
      </c>
      <c r="X287" s="324">
        <f t="shared" si="18"/>
        <v>1</v>
      </c>
      <c r="Y287" s="235" t="s">
        <v>351</v>
      </c>
      <c r="Z287" s="340" t="s">
        <v>413</v>
      </c>
      <c r="AA287" s="237" t="s">
        <v>45</v>
      </c>
      <c r="AB287" s="83"/>
      <c r="AC287" s="242"/>
      <c r="AD287" s="27" t="s">
        <v>1150</v>
      </c>
      <c r="AE287" s="243"/>
      <c r="AF287" s="79"/>
      <c r="AG287" s="237"/>
    </row>
    <row r="288" spans="1:33" s="15" customFormat="1" ht="60" x14ac:dyDescent="0.15">
      <c r="A288" s="237" t="s">
        <v>43</v>
      </c>
      <c r="B288" s="238">
        <v>260</v>
      </c>
      <c r="C288" s="237" t="s">
        <v>44</v>
      </c>
      <c r="D288" s="237" t="s">
        <v>45</v>
      </c>
      <c r="E288" s="237">
        <v>1</v>
      </c>
      <c r="F288" s="237" t="s">
        <v>360</v>
      </c>
      <c r="G288" s="239" t="s">
        <v>414</v>
      </c>
      <c r="H288" s="240">
        <v>44244.844618055555</v>
      </c>
      <c r="I288" s="237" t="s">
        <v>48</v>
      </c>
      <c r="J288" s="237">
        <v>10</v>
      </c>
      <c r="K288" s="100">
        <v>2.1</v>
      </c>
      <c r="L288" s="27" t="s">
        <v>1145</v>
      </c>
      <c r="M288" s="241" t="s">
        <v>49</v>
      </c>
      <c r="N288" s="241" t="s">
        <v>49</v>
      </c>
      <c r="O288" s="241" t="s">
        <v>1163</v>
      </c>
      <c r="P288" s="237">
        <v>1</v>
      </c>
      <c r="Q288" s="84"/>
      <c r="R288" s="103">
        <f t="shared" si="16"/>
        <v>0</v>
      </c>
      <c r="S288" s="82"/>
      <c r="T288" s="103">
        <f t="shared" si="19"/>
        <v>0</v>
      </c>
      <c r="U288" s="242">
        <v>2</v>
      </c>
      <c r="V288" s="103">
        <f t="shared" si="17"/>
        <v>1</v>
      </c>
      <c r="W288" s="241" t="s">
        <v>637</v>
      </c>
      <c r="X288" s="324">
        <f t="shared" si="18"/>
        <v>1</v>
      </c>
      <c r="Y288" s="235" t="s">
        <v>360</v>
      </c>
      <c r="Z288" s="340" t="s">
        <v>414</v>
      </c>
      <c r="AA288" s="237" t="s">
        <v>45</v>
      </c>
      <c r="AB288" s="83"/>
      <c r="AC288" s="242"/>
      <c r="AD288" s="27" t="s">
        <v>1148</v>
      </c>
      <c r="AE288" s="243"/>
      <c r="AF288" s="79"/>
      <c r="AG288" s="237"/>
    </row>
    <row r="289" spans="1:33" s="15" customFormat="1" ht="30" x14ac:dyDescent="0.15">
      <c r="A289" s="237" t="s">
        <v>43</v>
      </c>
      <c r="B289" s="238">
        <v>260</v>
      </c>
      <c r="C289" s="237" t="s">
        <v>44</v>
      </c>
      <c r="D289" s="237" t="s">
        <v>45</v>
      </c>
      <c r="E289" s="237">
        <v>1</v>
      </c>
      <c r="F289" s="237" t="s">
        <v>353</v>
      </c>
      <c r="G289" s="239" t="s">
        <v>415</v>
      </c>
      <c r="H289" s="240">
        <v>44244.844641203701</v>
      </c>
      <c r="I289" s="237" t="s">
        <v>48</v>
      </c>
      <c r="J289" s="237">
        <v>10</v>
      </c>
      <c r="K289" s="100">
        <v>2.1</v>
      </c>
      <c r="L289" s="27" t="s">
        <v>1145</v>
      </c>
      <c r="M289" s="241" t="s">
        <v>49</v>
      </c>
      <c r="N289" s="241" t="s">
        <v>49</v>
      </c>
      <c r="O289" s="241" t="s">
        <v>1163</v>
      </c>
      <c r="P289" s="237">
        <v>1</v>
      </c>
      <c r="Q289" s="84"/>
      <c r="R289" s="103">
        <f t="shared" si="16"/>
        <v>0</v>
      </c>
      <c r="S289" s="82"/>
      <c r="T289" s="103">
        <f t="shared" si="19"/>
        <v>0</v>
      </c>
      <c r="U289" s="242">
        <v>2</v>
      </c>
      <c r="V289" s="103">
        <f t="shared" si="17"/>
        <v>1</v>
      </c>
      <c r="W289" s="241" t="s">
        <v>637</v>
      </c>
      <c r="X289" s="324">
        <f t="shared" si="18"/>
        <v>1</v>
      </c>
      <c r="Y289" s="235" t="s">
        <v>353</v>
      </c>
      <c r="Z289" s="340" t="s">
        <v>415</v>
      </c>
      <c r="AA289" s="237" t="s">
        <v>45</v>
      </c>
      <c r="AB289" s="83"/>
      <c r="AC289" s="242"/>
      <c r="AD289" s="27"/>
      <c r="AE289" s="243"/>
      <c r="AF289" s="79"/>
      <c r="AG289" s="237"/>
    </row>
    <row r="290" spans="1:33" s="15" customFormat="1" ht="30" x14ac:dyDescent="0.15">
      <c r="A290" s="237" t="s">
        <v>43</v>
      </c>
      <c r="B290" s="238">
        <v>260</v>
      </c>
      <c r="C290" s="237" t="s">
        <v>44</v>
      </c>
      <c r="D290" s="237" t="s">
        <v>45</v>
      </c>
      <c r="E290" s="237">
        <v>1</v>
      </c>
      <c r="F290" s="237" t="s">
        <v>351</v>
      </c>
      <c r="G290" s="239" t="s">
        <v>416</v>
      </c>
      <c r="H290" s="240">
        <v>44244.844861111109</v>
      </c>
      <c r="I290" s="237" t="s">
        <v>48</v>
      </c>
      <c r="J290" s="237">
        <v>10</v>
      </c>
      <c r="K290" s="100">
        <v>2.1</v>
      </c>
      <c r="L290" s="27" t="s">
        <v>1145</v>
      </c>
      <c r="M290" s="241" t="s">
        <v>49</v>
      </c>
      <c r="N290" s="241" t="s">
        <v>49</v>
      </c>
      <c r="O290" s="241" t="s">
        <v>1163</v>
      </c>
      <c r="P290" s="237">
        <v>1</v>
      </c>
      <c r="Q290" s="84"/>
      <c r="R290" s="103">
        <f t="shared" si="16"/>
        <v>0</v>
      </c>
      <c r="S290" s="82"/>
      <c r="T290" s="103">
        <f t="shared" si="19"/>
        <v>0</v>
      </c>
      <c r="U290" s="242">
        <v>2</v>
      </c>
      <c r="V290" s="103">
        <f t="shared" si="17"/>
        <v>1</v>
      </c>
      <c r="W290" s="241" t="s">
        <v>637</v>
      </c>
      <c r="X290" s="324">
        <f t="shared" si="18"/>
        <v>1</v>
      </c>
      <c r="Y290" s="235" t="s">
        <v>351</v>
      </c>
      <c r="Z290" s="340" t="s">
        <v>416</v>
      </c>
      <c r="AA290" s="237" t="s">
        <v>45</v>
      </c>
      <c r="AB290" s="83"/>
      <c r="AC290" s="242"/>
      <c r="AD290" s="27"/>
      <c r="AE290" s="243"/>
      <c r="AF290" s="79"/>
      <c r="AG290" s="237"/>
    </row>
    <row r="291" spans="1:33" s="15" customFormat="1" ht="30" x14ac:dyDescent="0.15">
      <c r="A291" s="237" t="s">
        <v>43</v>
      </c>
      <c r="B291" s="238">
        <v>260</v>
      </c>
      <c r="C291" s="237" t="s">
        <v>44</v>
      </c>
      <c r="D291" s="237" t="s">
        <v>45</v>
      </c>
      <c r="E291" s="237">
        <v>1</v>
      </c>
      <c r="F291" s="237" t="s">
        <v>360</v>
      </c>
      <c r="G291" s="239" t="s">
        <v>417</v>
      </c>
      <c r="H291" s="240">
        <v>44244.845243055555</v>
      </c>
      <c r="I291" s="237" t="s">
        <v>48</v>
      </c>
      <c r="J291" s="237">
        <v>10</v>
      </c>
      <c r="K291" s="100">
        <v>2.1</v>
      </c>
      <c r="L291" s="27" t="s">
        <v>1145</v>
      </c>
      <c r="M291" s="241" t="s">
        <v>49</v>
      </c>
      <c r="N291" s="241" t="s">
        <v>49</v>
      </c>
      <c r="O291" s="241" t="s">
        <v>1163</v>
      </c>
      <c r="P291" s="237">
        <v>1</v>
      </c>
      <c r="Q291" s="84"/>
      <c r="R291" s="103">
        <f t="shared" si="16"/>
        <v>0</v>
      </c>
      <c r="S291" s="82"/>
      <c r="T291" s="103">
        <f t="shared" si="19"/>
        <v>0</v>
      </c>
      <c r="U291" s="242">
        <v>2</v>
      </c>
      <c r="V291" s="103">
        <f t="shared" si="17"/>
        <v>1</v>
      </c>
      <c r="W291" s="241" t="s">
        <v>637</v>
      </c>
      <c r="X291" s="324">
        <f t="shared" si="18"/>
        <v>1</v>
      </c>
      <c r="Y291" s="235" t="s">
        <v>360</v>
      </c>
      <c r="Z291" s="340" t="s">
        <v>417</v>
      </c>
      <c r="AA291" s="237" t="s">
        <v>45</v>
      </c>
      <c r="AB291" s="83"/>
      <c r="AC291" s="242"/>
      <c r="AD291" s="27"/>
      <c r="AE291" s="243"/>
      <c r="AF291" s="79"/>
      <c r="AG291" s="237"/>
    </row>
    <row r="292" spans="1:33" s="15" customFormat="1" ht="30" x14ac:dyDescent="0.15">
      <c r="A292" s="237" t="s">
        <v>43</v>
      </c>
      <c r="B292" s="238">
        <v>260</v>
      </c>
      <c r="C292" s="237" t="s">
        <v>44</v>
      </c>
      <c r="D292" s="237" t="s">
        <v>45</v>
      </c>
      <c r="E292" s="237">
        <v>1</v>
      </c>
      <c r="F292" s="237" t="s">
        <v>351</v>
      </c>
      <c r="G292" s="239" t="s">
        <v>418</v>
      </c>
      <c r="H292" s="240">
        <v>44244.845416666663</v>
      </c>
      <c r="I292" s="237" t="s">
        <v>48</v>
      </c>
      <c r="J292" s="237">
        <v>10</v>
      </c>
      <c r="K292" s="100">
        <v>2.1</v>
      </c>
      <c r="L292" s="27" t="s">
        <v>1145</v>
      </c>
      <c r="M292" s="241" t="s">
        <v>49</v>
      </c>
      <c r="N292" s="241" t="s">
        <v>49</v>
      </c>
      <c r="O292" s="241" t="s">
        <v>1163</v>
      </c>
      <c r="P292" s="237">
        <v>1</v>
      </c>
      <c r="Q292" s="84"/>
      <c r="R292" s="103">
        <f t="shared" si="16"/>
        <v>0</v>
      </c>
      <c r="S292" s="82"/>
      <c r="T292" s="103">
        <f t="shared" si="19"/>
        <v>0</v>
      </c>
      <c r="U292" s="242">
        <v>2</v>
      </c>
      <c r="V292" s="103">
        <f t="shared" si="17"/>
        <v>1</v>
      </c>
      <c r="W292" s="241" t="s">
        <v>637</v>
      </c>
      <c r="X292" s="324">
        <f t="shared" si="18"/>
        <v>1</v>
      </c>
      <c r="Y292" s="235" t="s">
        <v>351</v>
      </c>
      <c r="Z292" s="340" t="s">
        <v>418</v>
      </c>
      <c r="AA292" s="237" t="s">
        <v>45</v>
      </c>
      <c r="AB292" s="83"/>
      <c r="AC292" s="242"/>
      <c r="AD292" s="27"/>
      <c r="AE292" s="243"/>
      <c r="AF292" s="79"/>
      <c r="AG292" s="237"/>
    </row>
    <row r="293" spans="1:33" s="15" customFormat="1" ht="75" x14ac:dyDescent="0.15">
      <c r="A293" s="237" t="s">
        <v>43</v>
      </c>
      <c r="B293" s="238">
        <v>260</v>
      </c>
      <c r="C293" s="237" t="s">
        <v>44</v>
      </c>
      <c r="D293" s="237" t="s">
        <v>70</v>
      </c>
      <c r="E293" s="237">
        <v>1</v>
      </c>
      <c r="F293" s="237" t="s">
        <v>419</v>
      </c>
      <c r="G293" s="239" t="s">
        <v>420</v>
      </c>
      <c r="H293" s="240">
        <v>44242.728946759256</v>
      </c>
      <c r="I293" s="237" t="s">
        <v>48</v>
      </c>
      <c r="J293" s="237">
        <v>10</v>
      </c>
      <c r="K293" s="100">
        <v>2.2000000000000002</v>
      </c>
      <c r="L293" s="7" t="s">
        <v>52</v>
      </c>
      <c r="M293" s="241" t="s">
        <v>52</v>
      </c>
      <c r="N293" s="241" t="s">
        <v>1143</v>
      </c>
      <c r="O293" s="241" t="s">
        <v>1143</v>
      </c>
      <c r="P293" s="237">
        <v>1</v>
      </c>
      <c r="Q293" s="86" t="s">
        <v>295</v>
      </c>
      <c r="R293" s="103">
        <f t="shared" si="16"/>
        <v>1</v>
      </c>
      <c r="S293" s="7"/>
      <c r="T293" s="103">
        <f t="shared" si="19"/>
        <v>0</v>
      </c>
      <c r="U293" s="242">
        <v>1</v>
      </c>
      <c r="V293" s="103">
        <f t="shared" si="17"/>
        <v>1</v>
      </c>
      <c r="W293" s="241"/>
      <c r="X293" s="324">
        <f t="shared" si="18"/>
        <v>0</v>
      </c>
      <c r="Y293" s="235" t="s">
        <v>419</v>
      </c>
      <c r="Z293" s="340" t="s">
        <v>420</v>
      </c>
      <c r="AA293" s="237" t="s">
        <v>70</v>
      </c>
      <c r="AB293" s="26"/>
      <c r="AC293" s="242"/>
      <c r="AD293" s="27"/>
      <c r="AE293" s="243"/>
      <c r="AF293" s="244"/>
      <c r="AG293" s="237"/>
    </row>
    <row r="294" spans="1:33" s="15" customFormat="1" ht="105" x14ac:dyDescent="0.15">
      <c r="A294" s="237" t="s">
        <v>43</v>
      </c>
      <c r="B294" s="238">
        <v>260</v>
      </c>
      <c r="C294" s="237" t="s">
        <v>44</v>
      </c>
      <c r="D294" s="237" t="s">
        <v>70</v>
      </c>
      <c r="E294" s="237">
        <v>1</v>
      </c>
      <c r="F294" s="237" t="s">
        <v>421</v>
      </c>
      <c r="G294" s="239" t="s">
        <v>422</v>
      </c>
      <c r="H294" s="240">
        <v>44244.365219907406</v>
      </c>
      <c r="I294" s="237" t="s">
        <v>48</v>
      </c>
      <c r="J294" s="237">
        <v>10</v>
      </c>
      <c r="K294" s="100">
        <v>2.2000000000000002</v>
      </c>
      <c r="L294" s="28" t="s">
        <v>52</v>
      </c>
      <c r="M294" s="241" t="s">
        <v>52</v>
      </c>
      <c r="N294" s="241" t="s">
        <v>1143</v>
      </c>
      <c r="O294" s="241" t="s">
        <v>1143</v>
      </c>
      <c r="P294" s="237">
        <v>1</v>
      </c>
      <c r="Q294" s="87"/>
      <c r="R294" s="103">
        <f t="shared" si="16"/>
        <v>0</v>
      </c>
      <c r="S294" s="28" t="s">
        <v>58</v>
      </c>
      <c r="T294" s="103">
        <f t="shared" si="19"/>
        <v>0</v>
      </c>
      <c r="U294" s="242">
        <v>1</v>
      </c>
      <c r="V294" s="103">
        <f t="shared" si="17"/>
        <v>1</v>
      </c>
      <c r="W294" s="241" t="s">
        <v>58</v>
      </c>
      <c r="X294" s="324">
        <f t="shared" si="18"/>
        <v>1</v>
      </c>
      <c r="Y294" s="235" t="s">
        <v>421</v>
      </c>
      <c r="Z294" s="340" t="s">
        <v>422</v>
      </c>
      <c r="AA294" s="237" t="s">
        <v>70</v>
      </c>
      <c r="AB294" s="30"/>
      <c r="AC294" s="242"/>
      <c r="AD294" s="31"/>
      <c r="AE294" s="243"/>
      <c r="AF294" s="237"/>
      <c r="AG294" s="237"/>
    </row>
    <row r="295" spans="1:33" s="15" customFormat="1" ht="75" x14ac:dyDescent="0.15">
      <c r="A295" s="237" t="s">
        <v>43</v>
      </c>
      <c r="B295" s="238">
        <v>260</v>
      </c>
      <c r="C295" s="237" t="s">
        <v>44</v>
      </c>
      <c r="D295" s="237" t="s">
        <v>70</v>
      </c>
      <c r="E295" s="237">
        <v>1</v>
      </c>
      <c r="F295" s="237" t="s">
        <v>421</v>
      </c>
      <c r="G295" s="239" t="s">
        <v>423</v>
      </c>
      <c r="H295" s="240">
        <v>44244.369560185187</v>
      </c>
      <c r="I295" s="237" t="s">
        <v>48</v>
      </c>
      <c r="J295" s="237">
        <v>10</v>
      </c>
      <c r="K295" s="100">
        <v>2.2000000000000002</v>
      </c>
      <c r="L295" s="32" t="s">
        <v>52</v>
      </c>
      <c r="M295" s="241" t="s">
        <v>52</v>
      </c>
      <c r="N295" s="241" t="s">
        <v>1143</v>
      </c>
      <c r="O295" s="241" t="s">
        <v>1143</v>
      </c>
      <c r="P295" s="237">
        <v>1</v>
      </c>
      <c r="Q295" s="88"/>
      <c r="R295" s="103">
        <f t="shared" si="16"/>
        <v>0</v>
      </c>
      <c r="S295" s="32"/>
      <c r="T295" s="103">
        <f t="shared" si="19"/>
        <v>1</v>
      </c>
      <c r="U295" s="242">
        <v>1</v>
      </c>
      <c r="V295" s="103">
        <f t="shared" si="17"/>
        <v>1</v>
      </c>
      <c r="W295" s="241"/>
      <c r="X295" s="324">
        <f t="shared" si="18"/>
        <v>0</v>
      </c>
      <c r="Y295" s="235" t="s">
        <v>421</v>
      </c>
      <c r="Z295" s="340" t="s">
        <v>423</v>
      </c>
      <c r="AA295" s="237" t="s">
        <v>70</v>
      </c>
      <c r="AB295" s="34"/>
      <c r="AC295" s="242"/>
      <c r="AD295" s="35"/>
      <c r="AE295" s="243"/>
      <c r="AF295" s="237"/>
      <c r="AG295" s="237"/>
    </row>
    <row r="296" spans="1:33" s="15" customFormat="1" ht="240" x14ac:dyDescent="0.15">
      <c r="A296" s="237" t="s">
        <v>43</v>
      </c>
      <c r="B296" s="238">
        <v>260</v>
      </c>
      <c r="C296" s="237" t="s">
        <v>44</v>
      </c>
      <c r="D296" s="237" t="s">
        <v>70</v>
      </c>
      <c r="E296" s="237">
        <v>1</v>
      </c>
      <c r="F296" s="237" t="s">
        <v>424</v>
      </c>
      <c r="G296" s="239" t="s">
        <v>425</v>
      </c>
      <c r="H296" s="240">
        <v>44248.709768518522</v>
      </c>
      <c r="I296" s="237" t="s">
        <v>48</v>
      </c>
      <c r="J296" s="237"/>
      <c r="K296" s="100">
        <v>2.2000000000000002</v>
      </c>
      <c r="L296" s="32" t="s">
        <v>1151</v>
      </c>
      <c r="M296" s="241" t="s">
        <v>52</v>
      </c>
      <c r="N296" s="241" t="s">
        <v>1143</v>
      </c>
      <c r="O296" s="241" t="s">
        <v>1143</v>
      </c>
      <c r="P296" s="237">
        <v>1</v>
      </c>
      <c r="Q296" s="88"/>
      <c r="R296" s="103">
        <f t="shared" si="16"/>
        <v>0</v>
      </c>
      <c r="S296" s="32" t="s">
        <v>427</v>
      </c>
      <c r="T296" s="103">
        <f t="shared" si="19"/>
        <v>0</v>
      </c>
      <c r="U296" s="242">
        <v>1</v>
      </c>
      <c r="V296" s="103">
        <f t="shared" si="17"/>
        <v>1</v>
      </c>
      <c r="W296" s="241" t="s">
        <v>58</v>
      </c>
      <c r="X296" s="324">
        <f t="shared" si="18"/>
        <v>1</v>
      </c>
      <c r="Y296" s="235" t="s">
        <v>424</v>
      </c>
      <c r="Z296" s="340" t="s">
        <v>425</v>
      </c>
      <c r="AA296" s="237" t="s">
        <v>70</v>
      </c>
      <c r="AB296" s="34" t="s">
        <v>309</v>
      </c>
      <c r="AC296" s="242" t="s">
        <v>309</v>
      </c>
      <c r="AD296" s="35" t="s">
        <v>1147</v>
      </c>
      <c r="AE296" s="243"/>
      <c r="AF296" s="237"/>
      <c r="AG296" s="237"/>
    </row>
    <row r="297" spans="1:33" s="15" customFormat="1" ht="75" x14ac:dyDescent="0.15">
      <c r="A297" s="237" t="s">
        <v>43</v>
      </c>
      <c r="B297" s="238">
        <v>260</v>
      </c>
      <c r="C297" s="237" t="s">
        <v>44</v>
      </c>
      <c r="D297" s="237" t="s">
        <v>70</v>
      </c>
      <c r="E297" s="237">
        <v>1</v>
      </c>
      <c r="F297" s="237" t="s">
        <v>424</v>
      </c>
      <c r="G297" s="239" t="s">
        <v>429</v>
      </c>
      <c r="H297" s="240">
        <v>44248.716493055559</v>
      </c>
      <c r="I297" s="237" t="s">
        <v>48</v>
      </c>
      <c r="J297" s="237">
        <v>10</v>
      </c>
      <c r="K297" s="100">
        <v>2.2000000000000002</v>
      </c>
      <c r="L297" s="32" t="s">
        <v>1145</v>
      </c>
      <c r="M297" s="241" t="s">
        <v>68</v>
      </c>
      <c r="N297" s="241" t="s">
        <v>68</v>
      </c>
      <c r="O297" s="241" t="s">
        <v>1163</v>
      </c>
      <c r="P297" s="237">
        <v>1</v>
      </c>
      <c r="Q297" s="88" t="s">
        <v>315</v>
      </c>
      <c r="R297" s="103">
        <f t="shared" si="16"/>
        <v>1</v>
      </c>
      <c r="S297" s="32"/>
      <c r="T297" s="103">
        <f t="shared" si="19"/>
        <v>1</v>
      </c>
      <c r="U297" s="242"/>
      <c r="V297" s="103">
        <f t="shared" si="17"/>
        <v>0</v>
      </c>
      <c r="W297" s="241" t="s">
        <v>637</v>
      </c>
      <c r="X297" s="324">
        <f t="shared" si="18"/>
        <v>1</v>
      </c>
      <c r="Y297" s="235" t="s">
        <v>424</v>
      </c>
      <c r="Z297" s="340" t="s">
        <v>429</v>
      </c>
      <c r="AA297" s="237" t="s">
        <v>70</v>
      </c>
      <c r="AB297" s="34"/>
      <c r="AC297" s="242"/>
      <c r="AD297" s="35" t="s">
        <v>1147</v>
      </c>
      <c r="AE297" s="243"/>
      <c r="AF297" s="237"/>
      <c r="AG297" s="237"/>
    </row>
    <row r="298" spans="1:33" s="15" customFormat="1" ht="120" x14ac:dyDescent="0.15">
      <c r="A298" s="237" t="s">
        <v>43</v>
      </c>
      <c r="B298" s="238">
        <v>260</v>
      </c>
      <c r="C298" s="237" t="s">
        <v>44</v>
      </c>
      <c r="D298" s="237" t="s">
        <v>70</v>
      </c>
      <c r="E298" s="237">
        <v>1</v>
      </c>
      <c r="F298" s="237" t="s">
        <v>424</v>
      </c>
      <c r="G298" s="239" t="s">
        <v>430</v>
      </c>
      <c r="H298" s="240">
        <v>44248.730844907404</v>
      </c>
      <c r="I298" s="237" t="s">
        <v>48</v>
      </c>
      <c r="J298" s="237">
        <v>10</v>
      </c>
      <c r="K298" s="100">
        <v>2.2000000000000002</v>
      </c>
      <c r="L298" s="32" t="s">
        <v>431</v>
      </c>
      <c r="M298" s="241" t="s">
        <v>52</v>
      </c>
      <c r="N298" s="241" t="s">
        <v>1143</v>
      </c>
      <c r="O298" s="241" t="s">
        <v>1143</v>
      </c>
      <c r="P298" s="237">
        <v>1</v>
      </c>
      <c r="Q298" s="88"/>
      <c r="R298" s="103">
        <f t="shared" si="16"/>
        <v>0</v>
      </c>
      <c r="S298" s="32"/>
      <c r="T298" s="103">
        <f t="shared" si="19"/>
        <v>0</v>
      </c>
      <c r="U298" s="242">
        <v>1</v>
      </c>
      <c r="V298" s="103">
        <f t="shared" si="17"/>
        <v>1</v>
      </c>
      <c r="W298" s="241" t="s">
        <v>305</v>
      </c>
      <c r="X298" s="324">
        <f t="shared" si="18"/>
        <v>1</v>
      </c>
      <c r="Y298" s="235" t="s">
        <v>424</v>
      </c>
      <c r="Z298" s="340" t="s">
        <v>430</v>
      </c>
      <c r="AA298" s="237" t="s">
        <v>70</v>
      </c>
      <c r="AB298" s="34" t="s">
        <v>432</v>
      </c>
      <c r="AC298" s="242" t="s">
        <v>74</v>
      </c>
      <c r="AD298" s="35" t="s">
        <v>1152</v>
      </c>
      <c r="AE298" s="243"/>
      <c r="AF298" s="237"/>
      <c r="AG298" s="237"/>
    </row>
    <row r="299" spans="1:33" s="15" customFormat="1" ht="75" x14ac:dyDescent="0.15">
      <c r="A299" s="237" t="s">
        <v>43</v>
      </c>
      <c r="B299" s="238">
        <v>260</v>
      </c>
      <c r="C299" s="237" t="s">
        <v>44</v>
      </c>
      <c r="D299" s="237" t="s">
        <v>70</v>
      </c>
      <c r="E299" s="237">
        <v>1</v>
      </c>
      <c r="F299" s="237" t="s">
        <v>424</v>
      </c>
      <c r="G299" s="239" t="s">
        <v>434</v>
      </c>
      <c r="H299" s="240">
        <v>44248.878067129626</v>
      </c>
      <c r="I299" s="237" t="s">
        <v>48</v>
      </c>
      <c r="J299" s="237">
        <v>10</v>
      </c>
      <c r="K299" s="100">
        <v>2.2000000000000002</v>
      </c>
      <c r="L299" s="32" t="s">
        <v>1153</v>
      </c>
      <c r="M299" s="241" t="s">
        <v>108</v>
      </c>
      <c r="N299" s="241" t="s">
        <v>108</v>
      </c>
      <c r="O299" s="241" t="s">
        <v>108</v>
      </c>
      <c r="P299" s="237">
        <v>1</v>
      </c>
      <c r="Q299" s="88"/>
      <c r="R299" s="103">
        <f t="shared" si="16"/>
        <v>0</v>
      </c>
      <c r="S299" s="32"/>
      <c r="T299" s="103">
        <f t="shared" si="19"/>
        <v>0</v>
      </c>
      <c r="U299" s="242">
        <v>1</v>
      </c>
      <c r="V299" s="103">
        <f t="shared" si="17"/>
        <v>1</v>
      </c>
      <c r="W299" s="241" t="s">
        <v>305</v>
      </c>
      <c r="X299" s="324">
        <f t="shared" si="18"/>
        <v>1</v>
      </c>
      <c r="Y299" s="235" t="s">
        <v>424</v>
      </c>
      <c r="Z299" s="340" t="s">
        <v>434</v>
      </c>
      <c r="AA299" s="237" t="s">
        <v>70</v>
      </c>
      <c r="AB299" s="34"/>
      <c r="AC299" s="242"/>
      <c r="AD299" s="35" t="s">
        <v>1154</v>
      </c>
      <c r="AE299" s="243"/>
      <c r="AF299" s="237"/>
      <c r="AG299" s="237"/>
    </row>
    <row r="300" spans="1:33" s="15" customFormat="1" ht="75" x14ac:dyDescent="0.15">
      <c r="A300" s="237" t="s">
        <v>43</v>
      </c>
      <c r="B300" s="238">
        <v>260</v>
      </c>
      <c r="C300" s="237" t="s">
        <v>44</v>
      </c>
      <c r="D300" s="237" t="s">
        <v>70</v>
      </c>
      <c r="E300" s="237">
        <v>1</v>
      </c>
      <c r="F300" s="237" t="s">
        <v>421</v>
      </c>
      <c r="G300" s="239" t="s">
        <v>437</v>
      </c>
      <c r="H300" s="240">
        <v>44249.340949074074</v>
      </c>
      <c r="I300" s="237" t="s">
        <v>48</v>
      </c>
      <c r="J300" s="237">
        <v>10</v>
      </c>
      <c r="K300" s="100">
        <v>2.2000000000000002</v>
      </c>
      <c r="L300" s="32" t="s">
        <v>431</v>
      </c>
      <c r="M300" s="241" t="s">
        <v>52</v>
      </c>
      <c r="N300" s="241" t="s">
        <v>1143</v>
      </c>
      <c r="O300" s="241" t="s">
        <v>1143</v>
      </c>
      <c r="P300" s="237">
        <v>1</v>
      </c>
      <c r="Q300" s="88" t="s">
        <v>312</v>
      </c>
      <c r="R300" s="103">
        <f t="shared" si="16"/>
        <v>1</v>
      </c>
      <c r="S300" s="32" t="s">
        <v>58</v>
      </c>
      <c r="T300" s="103">
        <f t="shared" si="19"/>
        <v>0</v>
      </c>
      <c r="U300" s="242">
        <v>1</v>
      </c>
      <c r="V300" s="103">
        <f t="shared" si="17"/>
        <v>1</v>
      </c>
      <c r="W300" s="241" t="s">
        <v>58</v>
      </c>
      <c r="X300" s="324">
        <f t="shared" si="18"/>
        <v>1</v>
      </c>
      <c r="Y300" s="235" t="s">
        <v>421</v>
      </c>
      <c r="Z300" s="340" t="s">
        <v>437</v>
      </c>
      <c r="AA300" s="237" t="s">
        <v>70</v>
      </c>
      <c r="AB300" s="34" t="s">
        <v>74</v>
      </c>
      <c r="AC300" s="242" t="s">
        <v>74</v>
      </c>
      <c r="AD300" s="35" t="s">
        <v>438</v>
      </c>
      <c r="AE300" s="243" t="s">
        <v>1147</v>
      </c>
      <c r="AF300" s="237"/>
      <c r="AG300" s="237"/>
    </row>
    <row r="301" spans="1:33" s="15" customFormat="1" ht="60" x14ac:dyDescent="0.15">
      <c r="A301" s="237" t="s">
        <v>43</v>
      </c>
      <c r="B301" s="238">
        <v>260</v>
      </c>
      <c r="C301" s="237" t="s">
        <v>44</v>
      </c>
      <c r="D301" s="237" t="s">
        <v>70</v>
      </c>
      <c r="E301" s="237">
        <v>1</v>
      </c>
      <c r="F301" s="237" t="s">
        <v>421</v>
      </c>
      <c r="G301" s="239" t="s">
        <v>439</v>
      </c>
      <c r="H301" s="240">
        <v>44249.34302083333</v>
      </c>
      <c r="I301" s="237" t="s">
        <v>48</v>
      </c>
      <c r="J301" s="237">
        <v>10</v>
      </c>
      <c r="K301" s="100">
        <v>2.2000000000000002</v>
      </c>
      <c r="L301" s="32" t="s">
        <v>1145</v>
      </c>
      <c r="M301" s="241" t="s">
        <v>68</v>
      </c>
      <c r="N301" s="241" t="s">
        <v>68</v>
      </c>
      <c r="O301" s="241" t="s">
        <v>1163</v>
      </c>
      <c r="P301" s="237">
        <v>1</v>
      </c>
      <c r="Q301" s="88" t="s">
        <v>295</v>
      </c>
      <c r="R301" s="103">
        <f t="shared" si="16"/>
        <v>1</v>
      </c>
      <c r="S301" s="32"/>
      <c r="T301" s="103">
        <f t="shared" si="19"/>
        <v>1</v>
      </c>
      <c r="U301" s="242">
        <v>2</v>
      </c>
      <c r="V301" s="103">
        <f t="shared" si="17"/>
        <v>1</v>
      </c>
      <c r="W301" s="241"/>
      <c r="X301" s="324">
        <f t="shared" si="18"/>
        <v>0</v>
      </c>
      <c r="Y301" s="235" t="s">
        <v>421</v>
      </c>
      <c r="Z301" s="340" t="s">
        <v>439</v>
      </c>
      <c r="AA301" s="237" t="s">
        <v>70</v>
      </c>
      <c r="AB301" s="34"/>
      <c r="AC301" s="242"/>
      <c r="AD301" s="35" t="s">
        <v>1155</v>
      </c>
      <c r="AE301" s="243"/>
      <c r="AF301" s="237"/>
      <c r="AG301" s="237"/>
    </row>
    <row r="302" spans="1:33" s="15" customFormat="1" ht="225" x14ac:dyDescent="0.15">
      <c r="A302" s="237" t="s">
        <v>43</v>
      </c>
      <c r="B302" s="238">
        <v>260</v>
      </c>
      <c r="C302" s="237" t="s">
        <v>44</v>
      </c>
      <c r="D302" s="237" t="s">
        <v>70</v>
      </c>
      <c r="E302" s="237">
        <v>1</v>
      </c>
      <c r="F302" s="237" t="s">
        <v>424</v>
      </c>
      <c r="G302" s="239" t="s">
        <v>441</v>
      </c>
      <c r="H302" s="240">
        <v>44249.758298611108</v>
      </c>
      <c r="I302" s="237" t="s">
        <v>48</v>
      </c>
      <c r="J302" s="237">
        <v>10</v>
      </c>
      <c r="K302" s="100">
        <v>2.2000000000000002</v>
      </c>
      <c r="L302" s="32" t="s">
        <v>1145</v>
      </c>
      <c r="M302" s="241" t="s">
        <v>68</v>
      </c>
      <c r="N302" s="241" t="s">
        <v>68</v>
      </c>
      <c r="O302" s="241" t="s">
        <v>1163</v>
      </c>
      <c r="P302" s="237">
        <v>1</v>
      </c>
      <c r="Q302" s="88"/>
      <c r="R302" s="103">
        <f t="shared" si="16"/>
        <v>0</v>
      </c>
      <c r="S302" s="32"/>
      <c r="T302" s="103">
        <f t="shared" si="19"/>
        <v>0</v>
      </c>
      <c r="U302" s="242">
        <v>2</v>
      </c>
      <c r="V302" s="103">
        <f t="shared" si="17"/>
        <v>1</v>
      </c>
      <c r="W302" s="241" t="s">
        <v>305</v>
      </c>
      <c r="X302" s="324">
        <f t="shared" si="18"/>
        <v>1</v>
      </c>
      <c r="Y302" s="235" t="s">
        <v>424</v>
      </c>
      <c r="Z302" s="340" t="s">
        <v>441</v>
      </c>
      <c r="AA302" s="237" t="s">
        <v>70</v>
      </c>
      <c r="AB302" s="34"/>
      <c r="AC302" s="242"/>
      <c r="AD302" s="35" t="s">
        <v>1156</v>
      </c>
      <c r="AE302" s="243"/>
      <c r="AF302" s="237"/>
      <c r="AG302" s="237"/>
    </row>
    <row r="303" spans="1:33" s="15" customFormat="1" ht="15" x14ac:dyDescent="0.15">
      <c r="A303" s="237" t="s">
        <v>43</v>
      </c>
      <c r="B303" s="238">
        <v>260</v>
      </c>
      <c r="C303" s="237" t="s">
        <v>44</v>
      </c>
      <c r="D303" s="237" t="s">
        <v>70</v>
      </c>
      <c r="E303" s="237">
        <v>1</v>
      </c>
      <c r="F303" s="237" t="s">
        <v>421</v>
      </c>
      <c r="G303" s="239" t="s">
        <v>443</v>
      </c>
      <c r="H303" s="240">
        <v>44250.385416666664</v>
      </c>
      <c r="I303" s="237" t="s">
        <v>48</v>
      </c>
      <c r="J303" s="237">
        <v>10</v>
      </c>
      <c r="K303" s="100">
        <v>2.2000000000000002</v>
      </c>
      <c r="L303" s="32" t="s">
        <v>1145</v>
      </c>
      <c r="M303" s="241" t="s">
        <v>68</v>
      </c>
      <c r="N303" s="241" t="s">
        <v>68</v>
      </c>
      <c r="O303" s="241" t="s">
        <v>1163</v>
      </c>
      <c r="P303" s="237">
        <v>1</v>
      </c>
      <c r="Q303" s="88"/>
      <c r="R303" s="103">
        <f t="shared" si="16"/>
        <v>0</v>
      </c>
      <c r="S303" s="32"/>
      <c r="T303" s="103">
        <f t="shared" si="19"/>
        <v>0</v>
      </c>
      <c r="U303" s="242">
        <v>2</v>
      </c>
      <c r="V303" s="103">
        <f t="shared" si="17"/>
        <v>1</v>
      </c>
      <c r="W303" s="241" t="s">
        <v>305</v>
      </c>
      <c r="X303" s="324">
        <f t="shared" si="18"/>
        <v>1</v>
      </c>
      <c r="Y303" s="235" t="s">
        <v>421</v>
      </c>
      <c r="Z303" s="340" t="s">
        <v>443</v>
      </c>
      <c r="AA303" s="237" t="s">
        <v>70</v>
      </c>
      <c r="AB303" s="34"/>
      <c r="AC303" s="242"/>
      <c r="AD303" s="35"/>
      <c r="AE303" s="243"/>
      <c r="AF303" s="237"/>
      <c r="AG303" s="237"/>
    </row>
    <row r="304" spans="1:33" s="15" customFormat="1" ht="15" x14ac:dyDescent="0.15">
      <c r="A304" s="237" t="s">
        <v>43</v>
      </c>
      <c r="B304" s="238">
        <v>260</v>
      </c>
      <c r="C304" s="237" t="s">
        <v>44</v>
      </c>
      <c r="D304" s="237" t="s">
        <v>70</v>
      </c>
      <c r="E304" s="237">
        <v>1</v>
      </c>
      <c r="F304" s="237" t="s">
        <v>424</v>
      </c>
      <c r="G304" s="239" t="s">
        <v>444</v>
      </c>
      <c r="H304" s="240">
        <v>44250.518449074072</v>
      </c>
      <c r="I304" s="237" t="s">
        <v>48</v>
      </c>
      <c r="J304" s="237">
        <v>10</v>
      </c>
      <c r="K304" s="100">
        <v>2.2000000000000002</v>
      </c>
      <c r="L304" s="32" t="s">
        <v>1145</v>
      </c>
      <c r="M304" s="241" t="s">
        <v>68</v>
      </c>
      <c r="N304" s="241" t="s">
        <v>68</v>
      </c>
      <c r="O304" s="241" t="s">
        <v>1163</v>
      </c>
      <c r="P304" s="237">
        <v>1</v>
      </c>
      <c r="Q304" s="88" t="s">
        <v>312</v>
      </c>
      <c r="R304" s="103">
        <f t="shared" si="16"/>
        <v>1</v>
      </c>
      <c r="S304" s="32"/>
      <c r="T304" s="103">
        <f t="shared" si="19"/>
        <v>0</v>
      </c>
      <c r="U304" s="242">
        <v>2</v>
      </c>
      <c r="V304" s="103">
        <f t="shared" si="17"/>
        <v>1</v>
      </c>
      <c r="W304" s="241" t="s">
        <v>58</v>
      </c>
      <c r="X304" s="324">
        <f t="shared" si="18"/>
        <v>1</v>
      </c>
      <c r="Y304" s="235" t="s">
        <v>424</v>
      </c>
      <c r="Z304" s="340" t="s">
        <v>444</v>
      </c>
      <c r="AA304" s="237" t="s">
        <v>70</v>
      </c>
      <c r="AB304" s="34"/>
      <c r="AC304" s="242"/>
      <c r="AD304" s="35"/>
      <c r="AE304" s="243"/>
      <c r="AF304" s="237"/>
      <c r="AG304" s="237"/>
    </row>
    <row r="305" spans="1:33" s="15" customFormat="1" ht="60" x14ac:dyDescent="0.15">
      <c r="A305" s="237" t="s">
        <v>43</v>
      </c>
      <c r="B305" s="238">
        <v>260</v>
      </c>
      <c r="C305" s="237" t="s">
        <v>44</v>
      </c>
      <c r="D305" s="237" t="s">
        <v>70</v>
      </c>
      <c r="E305" s="237">
        <v>1</v>
      </c>
      <c r="F305" s="237" t="s">
        <v>424</v>
      </c>
      <c r="G305" s="239" t="s">
        <v>445</v>
      </c>
      <c r="H305" s="240">
        <v>44251.364710648151</v>
      </c>
      <c r="I305" s="237" t="s">
        <v>48</v>
      </c>
      <c r="J305" s="237">
        <v>10</v>
      </c>
      <c r="K305" s="100">
        <v>2.2000000000000002</v>
      </c>
      <c r="L305" s="32" t="s">
        <v>1145</v>
      </c>
      <c r="M305" s="241" t="s">
        <v>49</v>
      </c>
      <c r="N305" s="241" t="s">
        <v>49</v>
      </c>
      <c r="O305" s="241" t="s">
        <v>1163</v>
      </c>
      <c r="P305" s="237">
        <v>1</v>
      </c>
      <c r="Q305" s="88" t="s">
        <v>295</v>
      </c>
      <c r="R305" s="103">
        <f t="shared" si="16"/>
        <v>1</v>
      </c>
      <c r="S305" s="32"/>
      <c r="T305" s="103">
        <f t="shared" si="19"/>
        <v>0</v>
      </c>
      <c r="U305" s="242"/>
      <c r="V305" s="103">
        <f t="shared" si="17"/>
        <v>0</v>
      </c>
      <c r="W305" s="241"/>
      <c r="X305" s="324">
        <f t="shared" si="18"/>
        <v>0</v>
      </c>
      <c r="Y305" s="235" t="s">
        <v>424</v>
      </c>
      <c r="Z305" s="340" t="s">
        <v>445</v>
      </c>
      <c r="AA305" s="237" t="s">
        <v>70</v>
      </c>
      <c r="AB305" s="34"/>
      <c r="AC305" s="242"/>
      <c r="AD305" s="35" t="s">
        <v>1149</v>
      </c>
      <c r="AE305" s="243"/>
      <c r="AF305" s="237"/>
      <c r="AG305" s="237"/>
    </row>
    <row r="306" spans="1:33" s="15" customFormat="1" ht="15" x14ac:dyDescent="0.15">
      <c r="A306" s="237" t="s">
        <v>43</v>
      </c>
      <c r="B306" s="238">
        <v>260</v>
      </c>
      <c r="C306" s="237" t="s">
        <v>44</v>
      </c>
      <c r="D306" s="237" t="s">
        <v>70</v>
      </c>
      <c r="E306" s="237">
        <v>1</v>
      </c>
      <c r="F306" s="237" t="s">
        <v>421</v>
      </c>
      <c r="G306" s="239" t="s">
        <v>446</v>
      </c>
      <c r="H306" s="240">
        <v>44251.372986111113</v>
      </c>
      <c r="I306" s="237" t="s">
        <v>48</v>
      </c>
      <c r="J306" s="237">
        <v>10</v>
      </c>
      <c r="K306" s="100">
        <v>2.2000000000000002</v>
      </c>
      <c r="L306" s="32" t="s">
        <v>1145</v>
      </c>
      <c r="M306" s="241" t="s">
        <v>49</v>
      </c>
      <c r="N306" s="241" t="s">
        <v>49</v>
      </c>
      <c r="O306" s="241" t="s">
        <v>1163</v>
      </c>
      <c r="P306" s="237">
        <v>1</v>
      </c>
      <c r="Q306" s="88"/>
      <c r="R306" s="103">
        <f t="shared" si="16"/>
        <v>0</v>
      </c>
      <c r="S306" s="32"/>
      <c r="T306" s="103">
        <f t="shared" si="19"/>
        <v>0</v>
      </c>
      <c r="U306" s="242"/>
      <c r="V306" s="103">
        <f t="shared" si="17"/>
        <v>0</v>
      </c>
      <c r="W306" s="241"/>
      <c r="X306" s="324">
        <f t="shared" si="18"/>
        <v>0</v>
      </c>
      <c r="Y306" s="235" t="s">
        <v>421</v>
      </c>
      <c r="Z306" s="340" t="s">
        <v>446</v>
      </c>
      <c r="AA306" s="237" t="s">
        <v>70</v>
      </c>
      <c r="AB306" s="34"/>
      <c r="AC306" s="242"/>
      <c r="AD306" s="35"/>
      <c r="AE306" s="243"/>
      <c r="AF306" s="237"/>
      <c r="AG306" s="237"/>
    </row>
    <row r="307" spans="1:33" s="15" customFormat="1" ht="90" x14ac:dyDescent="0.15">
      <c r="A307" s="237" t="s">
        <v>43</v>
      </c>
      <c r="B307" s="238">
        <v>260</v>
      </c>
      <c r="C307" s="237" t="s">
        <v>44</v>
      </c>
      <c r="D307" s="237" t="s">
        <v>70</v>
      </c>
      <c r="E307" s="237">
        <v>1</v>
      </c>
      <c r="F307" s="237" t="s">
        <v>424</v>
      </c>
      <c r="G307" s="239" t="s">
        <v>447</v>
      </c>
      <c r="H307" s="240">
        <v>44251.374027777776</v>
      </c>
      <c r="I307" s="237" t="s">
        <v>48</v>
      </c>
      <c r="J307" s="237">
        <v>10</v>
      </c>
      <c r="K307" s="100">
        <v>2.2000000000000002</v>
      </c>
      <c r="L307" s="32" t="s">
        <v>1145</v>
      </c>
      <c r="M307" s="241" t="s">
        <v>68</v>
      </c>
      <c r="N307" s="241" t="s">
        <v>68</v>
      </c>
      <c r="O307" s="241" t="s">
        <v>1163</v>
      </c>
      <c r="P307" s="237">
        <v>1</v>
      </c>
      <c r="Q307" s="88"/>
      <c r="R307" s="103">
        <f t="shared" si="16"/>
        <v>0</v>
      </c>
      <c r="S307" s="32"/>
      <c r="T307" s="103">
        <f t="shared" si="19"/>
        <v>0</v>
      </c>
      <c r="U307" s="242">
        <v>3</v>
      </c>
      <c r="V307" s="103">
        <f t="shared" si="17"/>
        <v>1</v>
      </c>
      <c r="W307" s="241"/>
      <c r="X307" s="324">
        <f t="shared" si="18"/>
        <v>0</v>
      </c>
      <c r="Y307" s="235" t="s">
        <v>424</v>
      </c>
      <c r="Z307" s="340" t="s">
        <v>447</v>
      </c>
      <c r="AA307" s="237" t="s">
        <v>70</v>
      </c>
      <c r="AB307" s="34"/>
      <c r="AC307" s="242"/>
      <c r="AD307" s="35" t="s">
        <v>1149</v>
      </c>
      <c r="AE307" s="243" t="s">
        <v>1149</v>
      </c>
      <c r="AF307" s="237"/>
      <c r="AG307" s="237"/>
    </row>
    <row r="308" spans="1:33" s="15" customFormat="1" ht="15" x14ac:dyDescent="0.15">
      <c r="A308" s="237" t="s">
        <v>43</v>
      </c>
      <c r="B308" s="238">
        <v>260</v>
      </c>
      <c r="C308" s="237" t="s">
        <v>44</v>
      </c>
      <c r="D308" s="237" t="s">
        <v>70</v>
      </c>
      <c r="E308" s="237">
        <v>1</v>
      </c>
      <c r="F308" s="237" t="s">
        <v>424</v>
      </c>
      <c r="G308" s="239" t="s">
        <v>448</v>
      </c>
      <c r="H308" s="240">
        <v>44251.374849537038</v>
      </c>
      <c r="I308" s="237" t="s">
        <v>48</v>
      </c>
      <c r="J308" s="237">
        <v>10</v>
      </c>
      <c r="K308" s="100">
        <v>2.2000000000000002</v>
      </c>
      <c r="L308" s="32" t="s">
        <v>1145</v>
      </c>
      <c r="M308" s="241" t="s">
        <v>68</v>
      </c>
      <c r="N308" s="241" t="s">
        <v>68</v>
      </c>
      <c r="O308" s="241" t="s">
        <v>1163</v>
      </c>
      <c r="P308" s="237">
        <v>1</v>
      </c>
      <c r="Q308" s="88"/>
      <c r="R308" s="103">
        <f t="shared" si="16"/>
        <v>0</v>
      </c>
      <c r="S308" s="32"/>
      <c r="T308" s="103">
        <f t="shared" si="19"/>
        <v>0</v>
      </c>
      <c r="U308" s="242">
        <v>3</v>
      </c>
      <c r="V308" s="103">
        <f t="shared" si="17"/>
        <v>1</v>
      </c>
      <c r="W308" s="241" t="s">
        <v>331</v>
      </c>
      <c r="X308" s="324">
        <f t="shared" si="18"/>
        <v>1</v>
      </c>
      <c r="Y308" s="235" t="s">
        <v>424</v>
      </c>
      <c r="Z308" s="340" t="s">
        <v>448</v>
      </c>
      <c r="AA308" s="237" t="s">
        <v>70</v>
      </c>
      <c r="AB308" s="34" t="s">
        <v>112</v>
      </c>
      <c r="AC308" s="242" t="s">
        <v>112</v>
      </c>
      <c r="AD308" s="35"/>
      <c r="AE308" s="243"/>
      <c r="AF308" s="237"/>
      <c r="AG308" s="237"/>
    </row>
    <row r="309" spans="1:33" s="15" customFormat="1" ht="45" x14ac:dyDescent="0.15">
      <c r="A309" s="237" t="s">
        <v>43</v>
      </c>
      <c r="B309" s="238">
        <v>260</v>
      </c>
      <c r="C309" s="237" t="s">
        <v>44</v>
      </c>
      <c r="D309" s="237" t="s">
        <v>70</v>
      </c>
      <c r="E309" s="237">
        <v>1</v>
      </c>
      <c r="F309" s="237" t="s">
        <v>421</v>
      </c>
      <c r="G309" s="239" t="s">
        <v>449</v>
      </c>
      <c r="H309" s="240">
        <v>44251.374884259261</v>
      </c>
      <c r="I309" s="237" t="s">
        <v>48</v>
      </c>
      <c r="J309" s="237">
        <v>10</v>
      </c>
      <c r="K309" s="100">
        <v>2.2000000000000002</v>
      </c>
      <c r="L309" s="32" t="s">
        <v>1145</v>
      </c>
      <c r="M309" s="241" t="s">
        <v>68</v>
      </c>
      <c r="N309" s="241" t="s">
        <v>68</v>
      </c>
      <c r="O309" s="241" t="s">
        <v>1163</v>
      </c>
      <c r="P309" s="237">
        <v>1</v>
      </c>
      <c r="Q309" s="88"/>
      <c r="R309" s="103">
        <f t="shared" si="16"/>
        <v>0</v>
      </c>
      <c r="S309" s="32"/>
      <c r="T309" s="103">
        <f t="shared" si="19"/>
        <v>0</v>
      </c>
      <c r="U309" s="242">
        <v>3</v>
      </c>
      <c r="V309" s="103">
        <f t="shared" si="17"/>
        <v>1</v>
      </c>
      <c r="W309" s="241" t="s">
        <v>305</v>
      </c>
      <c r="X309" s="324">
        <f t="shared" si="18"/>
        <v>1</v>
      </c>
      <c r="Y309" s="235" t="s">
        <v>421</v>
      </c>
      <c r="Z309" s="340" t="s">
        <v>449</v>
      </c>
      <c r="AA309" s="237" t="s">
        <v>70</v>
      </c>
      <c r="AB309" s="34"/>
      <c r="AC309" s="242"/>
      <c r="AD309" s="35"/>
      <c r="AE309" s="243"/>
      <c r="AF309" s="237"/>
      <c r="AG309" s="237"/>
    </row>
    <row r="310" spans="1:33" s="15" customFormat="1" ht="15" x14ac:dyDescent="0.15">
      <c r="A310" s="237" t="s">
        <v>43</v>
      </c>
      <c r="B310" s="238">
        <v>260</v>
      </c>
      <c r="C310" s="237" t="s">
        <v>44</v>
      </c>
      <c r="D310" s="237" t="s">
        <v>70</v>
      </c>
      <c r="E310" s="237">
        <v>1</v>
      </c>
      <c r="F310" s="237" t="s">
        <v>421</v>
      </c>
      <c r="G310" s="239" t="s">
        <v>450</v>
      </c>
      <c r="H310" s="240">
        <v>44251.375011574077</v>
      </c>
      <c r="I310" s="237" t="s">
        <v>48</v>
      </c>
      <c r="J310" s="237">
        <v>10</v>
      </c>
      <c r="K310" s="100">
        <v>2.2000000000000002</v>
      </c>
      <c r="L310" s="32" t="s">
        <v>1145</v>
      </c>
      <c r="M310" s="241" t="s">
        <v>68</v>
      </c>
      <c r="N310" s="241" t="s">
        <v>68</v>
      </c>
      <c r="O310" s="241" t="s">
        <v>1163</v>
      </c>
      <c r="P310" s="237">
        <v>1</v>
      </c>
      <c r="Q310" s="88"/>
      <c r="R310" s="103">
        <f t="shared" si="16"/>
        <v>0</v>
      </c>
      <c r="S310" s="32" t="s">
        <v>58</v>
      </c>
      <c r="T310" s="103">
        <f t="shared" si="19"/>
        <v>0</v>
      </c>
      <c r="U310" s="242">
        <v>3</v>
      </c>
      <c r="V310" s="103">
        <f t="shared" si="17"/>
        <v>1</v>
      </c>
      <c r="W310" s="241" t="s">
        <v>58</v>
      </c>
      <c r="X310" s="324">
        <f t="shared" si="18"/>
        <v>1</v>
      </c>
      <c r="Y310" s="235" t="s">
        <v>421</v>
      </c>
      <c r="Z310" s="340" t="s">
        <v>450</v>
      </c>
      <c r="AA310" s="237" t="s">
        <v>70</v>
      </c>
      <c r="AB310" s="34"/>
      <c r="AC310" s="242"/>
      <c r="AD310" s="35"/>
      <c r="AE310" s="243"/>
      <c r="AF310" s="237"/>
      <c r="AG310" s="237"/>
    </row>
    <row r="311" spans="1:33" s="15" customFormat="1" ht="30" x14ac:dyDescent="0.15">
      <c r="A311" s="237" t="s">
        <v>43</v>
      </c>
      <c r="B311" s="238">
        <v>260</v>
      </c>
      <c r="C311" s="237" t="s">
        <v>44</v>
      </c>
      <c r="D311" s="237" t="s">
        <v>70</v>
      </c>
      <c r="E311" s="237">
        <v>1</v>
      </c>
      <c r="F311" s="237" t="s">
        <v>424</v>
      </c>
      <c r="G311" s="239" t="s">
        <v>451</v>
      </c>
      <c r="H311" s="240">
        <v>44251.375821759262</v>
      </c>
      <c r="I311" s="237" t="s">
        <v>48</v>
      </c>
      <c r="J311" s="237">
        <v>10</v>
      </c>
      <c r="K311" s="100">
        <v>2.2000000000000002</v>
      </c>
      <c r="L311" s="32" t="s">
        <v>1145</v>
      </c>
      <c r="M311" s="241" t="s">
        <v>68</v>
      </c>
      <c r="N311" s="241" t="s">
        <v>68</v>
      </c>
      <c r="O311" s="241" t="s">
        <v>1163</v>
      </c>
      <c r="P311" s="237">
        <v>1</v>
      </c>
      <c r="Q311" s="88"/>
      <c r="R311" s="103">
        <f t="shared" si="16"/>
        <v>0</v>
      </c>
      <c r="S311" s="32"/>
      <c r="T311" s="103">
        <f t="shared" si="19"/>
        <v>1</v>
      </c>
      <c r="U311" s="242">
        <v>3</v>
      </c>
      <c r="V311" s="103">
        <f t="shared" si="17"/>
        <v>1</v>
      </c>
      <c r="W311" s="241" t="s">
        <v>331</v>
      </c>
      <c r="X311" s="324">
        <f t="shared" si="18"/>
        <v>1</v>
      </c>
      <c r="Y311" s="235" t="s">
        <v>424</v>
      </c>
      <c r="Z311" s="340" t="s">
        <v>451</v>
      </c>
      <c r="AA311" s="237" t="s">
        <v>70</v>
      </c>
      <c r="AB311" s="34" t="s">
        <v>112</v>
      </c>
      <c r="AC311" s="242" t="s">
        <v>112</v>
      </c>
      <c r="AD311" s="35"/>
      <c r="AE311" s="243"/>
      <c r="AF311" s="237"/>
      <c r="AG311" s="237"/>
    </row>
    <row r="312" spans="1:33" s="15" customFormat="1" ht="15" x14ac:dyDescent="0.15">
      <c r="A312" s="237" t="s">
        <v>43</v>
      </c>
      <c r="B312" s="238">
        <v>260</v>
      </c>
      <c r="C312" s="237" t="s">
        <v>44</v>
      </c>
      <c r="D312" s="237" t="s">
        <v>70</v>
      </c>
      <c r="E312" s="237">
        <v>1</v>
      </c>
      <c r="F312" s="237" t="s">
        <v>424</v>
      </c>
      <c r="G312" s="239" t="s">
        <v>452</v>
      </c>
      <c r="H312" s="240">
        <v>44251.376111111109</v>
      </c>
      <c r="I312" s="237" t="s">
        <v>48</v>
      </c>
      <c r="J312" s="237">
        <v>10</v>
      </c>
      <c r="K312" s="100">
        <v>2.2000000000000002</v>
      </c>
      <c r="L312" s="32" t="s">
        <v>1145</v>
      </c>
      <c r="M312" s="241" t="s">
        <v>68</v>
      </c>
      <c r="N312" s="241" t="s">
        <v>68</v>
      </c>
      <c r="O312" s="241" t="s">
        <v>1163</v>
      </c>
      <c r="P312" s="237">
        <v>1</v>
      </c>
      <c r="Q312" s="88" t="s">
        <v>312</v>
      </c>
      <c r="R312" s="103">
        <f t="shared" si="16"/>
        <v>1</v>
      </c>
      <c r="S312" s="32"/>
      <c r="T312" s="103">
        <f t="shared" si="19"/>
        <v>0</v>
      </c>
      <c r="U312" s="242">
        <v>3</v>
      </c>
      <c r="V312" s="103">
        <f t="shared" si="17"/>
        <v>1</v>
      </c>
      <c r="W312" s="241" t="s">
        <v>58</v>
      </c>
      <c r="X312" s="324">
        <f t="shared" si="18"/>
        <v>1</v>
      </c>
      <c r="Y312" s="235" t="s">
        <v>424</v>
      </c>
      <c r="Z312" s="340" t="s">
        <v>452</v>
      </c>
      <c r="AA312" s="237" t="s">
        <v>70</v>
      </c>
      <c r="AB312" s="34"/>
      <c r="AC312" s="242"/>
      <c r="AD312" s="35"/>
      <c r="AE312" s="243"/>
      <c r="AF312" s="237"/>
      <c r="AG312" s="237"/>
    </row>
    <row r="313" spans="1:33" s="15" customFormat="1" ht="90" x14ac:dyDescent="0.15">
      <c r="A313" s="237" t="s">
        <v>43</v>
      </c>
      <c r="B313" s="238">
        <v>260</v>
      </c>
      <c r="C313" s="237" t="s">
        <v>44</v>
      </c>
      <c r="D313" s="237" t="s">
        <v>70</v>
      </c>
      <c r="E313" s="237">
        <v>1</v>
      </c>
      <c r="F313" s="237" t="s">
        <v>424</v>
      </c>
      <c r="G313" s="239" t="s">
        <v>453</v>
      </c>
      <c r="H313" s="240">
        <v>44251.37699074074</v>
      </c>
      <c r="I313" s="237" t="s">
        <v>48</v>
      </c>
      <c r="J313" s="237">
        <v>10</v>
      </c>
      <c r="K313" s="100">
        <v>2.2000000000000002</v>
      </c>
      <c r="L313" s="32" t="s">
        <v>1145</v>
      </c>
      <c r="M313" s="241" t="s">
        <v>49</v>
      </c>
      <c r="N313" s="241" t="s">
        <v>49</v>
      </c>
      <c r="O313" s="241" t="s">
        <v>1163</v>
      </c>
      <c r="P313" s="237">
        <v>1</v>
      </c>
      <c r="Q313" s="34"/>
      <c r="R313" s="103">
        <f t="shared" si="16"/>
        <v>0</v>
      </c>
      <c r="S313" s="32"/>
      <c r="T313" s="103">
        <f t="shared" si="19"/>
        <v>0</v>
      </c>
      <c r="U313" s="242">
        <v>3</v>
      </c>
      <c r="V313" s="103">
        <f t="shared" si="17"/>
        <v>1</v>
      </c>
      <c r="W313" s="241" t="s">
        <v>637</v>
      </c>
      <c r="X313" s="324">
        <f t="shared" si="18"/>
        <v>1</v>
      </c>
      <c r="Y313" s="235" t="s">
        <v>424</v>
      </c>
      <c r="Z313" s="340" t="s">
        <v>453</v>
      </c>
      <c r="AA313" s="237" t="s">
        <v>70</v>
      </c>
      <c r="AB313" s="34"/>
      <c r="AC313" s="242"/>
      <c r="AD313" s="35" t="s">
        <v>1157</v>
      </c>
      <c r="AE313" s="243" t="s">
        <v>1149</v>
      </c>
      <c r="AF313" s="237"/>
      <c r="AG313" s="237"/>
    </row>
    <row r="314" spans="1:33" s="15" customFormat="1" ht="30" x14ac:dyDescent="0.15">
      <c r="A314" s="237" t="s">
        <v>43</v>
      </c>
      <c r="B314" s="238">
        <v>260</v>
      </c>
      <c r="C314" s="237" t="s">
        <v>44</v>
      </c>
      <c r="D314" s="237" t="s">
        <v>70</v>
      </c>
      <c r="E314" s="237">
        <v>1</v>
      </c>
      <c r="F314" s="237" t="s">
        <v>421</v>
      </c>
      <c r="G314" s="239" t="s">
        <v>455</v>
      </c>
      <c r="H314" s="240">
        <v>44251.377083333333</v>
      </c>
      <c r="I314" s="237" t="s">
        <v>48</v>
      </c>
      <c r="J314" s="237">
        <v>10</v>
      </c>
      <c r="K314" s="100">
        <v>2.2000000000000002</v>
      </c>
      <c r="L314" s="32" t="s">
        <v>1145</v>
      </c>
      <c r="M314" s="241" t="s">
        <v>456</v>
      </c>
      <c r="N314" s="241" t="s">
        <v>49</v>
      </c>
      <c r="O314" s="241" t="s">
        <v>1163</v>
      </c>
      <c r="P314" s="237">
        <v>1</v>
      </c>
      <c r="Q314" s="34"/>
      <c r="R314" s="103">
        <f t="shared" si="16"/>
        <v>0</v>
      </c>
      <c r="S314" s="32"/>
      <c r="T314" s="103">
        <f t="shared" si="19"/>
        <v>0</v>
      </c>
      <c r="U314" s="242">
        <v>3</v>
      </c>
      <c r="V314" s="103">
        <f t="shared" si="17"/>
        <v>1</v>
      </c>
      <c r="W314" s="241" t="s">
        <v>58</v>
      </c>
      <c r="X314" s="324">
        <f t="shared" si="18"/>
        <v>1</v>
      </c>
      <c r="Y314" s="235" t="s">
        <v>421</v>
      </c>
      <c r="Z314" s="340" t="s">
        <v>455</v>
      </c>
      <c r="AA314" s="237" t="s">
        <v>70</v>
      </c>
      <c r="AB314" s="34"/>
      <c r="AC314" s="242"/>
      <c r="AD314" s="35"/>
      <c r="AE314" s="243"/>
      <c r="AF314" s="237"/>
      <c r="AG314" s="237"/>
    </row>
    <row r="315" spans="1:33" s="15" customFormat="1" ht="15" x14ac:dyDescent="0.15">
      <c r="A315" s="237" t="s">
        <v>43</v>
      </c>
      <c r="B315" s="238">
        <v>260</v>
      </c>
      <c r="C315" s="237" t="s">
        <v>44</v>
      </c>
      <c r="D315" s="237" t="s">
        <v>70</v>
      </c>
      <c r="E315" s="237">
        <v>1</v>
      </c>
      <c r="F315" s="237" t="s">
        <v>421</v>
      </c>
      <c r="G315" s="239" t="s">
        <v>457</v>
      </c>
      <c r="H315" s="240">
        <v>44251.377314814818</v>
      </c>
      <c r="I315" s="237" t="s">
        <v>48</v>
      </c>
      <c r="J315" s="237">
        <v>10</v>
      </c>
      <c r="K315" s="100">
        <v>2.2000000000000002</v>
      </c>
      <c r="L315" s="32" t="s">
        <v>1145</v>
      </c>
      <c r="M315" s="241" t="s">
        <v>49</v>
      </c>
      <c r="N315" s="241" t="s">
        <v>49</v>
      </c>
      <c r="O315" s="241" t="s">
        <v>1163</v>
      </c>
      <c r="P315" s="237">
        <v>1</v>
      </c>
      <c r="Q315" s="34"/>
      <c r="R315" s="103">
        <f t="shared" si="16"/>
        <v>0</v>
      </c>
      <c r="S315" s="32"/>
      <c r="T315" s="103">
        <f t="shared" si="19"/>
        <v>0</v>
      </c>
      <c r="U315" s="242">
        <v>3</v>
      </c>
      <c r="V315" s="103">
        <f t="shared" si="17"/>
        <v>1</v>
      </c>
      <c r="W315" s="241" t="s">
        <v>637</v>
      </c>
      <c r="X315" s="324">
        <f t="shared" si="18"/>
        <v>1</v>
      </c>
      <c r="Y315" s="235" t="s">
        <v>421</v>
      </c>
      <c r="Z315" s="340" t="s">
        <v>457</v>
      </c>
      <c r="AA315" s="237" t="s">
        <v>70</v>
      </c>
      <c r="AB315" s="34"/>
      <c r="AC315" s="242"/>
      <c r="AD315" s="35"/>
      <c r="AE315" s="243"/>
      <c r="AF315" s="237"/>
      <c r="AG315" s="237"/>
    </row>
    <row r="316" spans="1:33" s="15" customFormat="1" ht="15" x14ac:dyDescent="0.15">
      <c r="A316" s="237" t="s">
        <v>43</v>
      </c>
      <c r="B316" s="238">
        <v>260</v>
      </c>
      <c r="C316" s="237" t="s">
        <v>44</v>
      </c>
      <c r="D316" s="237" t="s">
        <v>70</v>
      </c>
      <c r="E316" s="237">
        <v>1</v>
      </c>
      <c r="F316" s="237" t="s">
        <v>424</v>
      </c>
      <c r="G316" s="239" t="s">
        <v>458</v>
      </c>
      <c r="H316" s="240">
        <v>44251.377372685187</v>
      </c>
      <c r="I316" s="237" t="s">
        <v>48</v>
      </c>
      <c r="J316" s="237">
        <v>10</v>
      </c>
      <c r="K316" s="100">
        <v>2.2000000000000002</v>
      </c>
      <c r="L316" s="36" t="s">
        <v>1145</v>
      </c>
      <c r="M316" s="245" t="s">
        <v>49</v>
      </c>
      <c r="N316" s="245" t="s">
        <v>49</v>
      </c>
      <c r="O316" s="245" t="s">
        <v>1163</v>
      </c>
      <c r="P316" s="237">
        <v>1</v>
      </c>
      <c r="Q316" s="38"/>
      <c r="R316" s="103">
        <f t="shared" si="16"/>
        <v>0</v>
      </c>
      <c r="S316" s="36"/>
      <c r="T316" s="103">
        <f t="shared" si="19"/>
        <v>0</v>
      </c>
      <c r="U316" s="246">
        <v>3</v>
      </c>
      <c r="V316" s="103">
        <f t="shared" si="17"/>
        <v>1</v>
      </c>
      <c r="W316" s="241" t="s">
        <v>637</v>
      </c>
      <c r="X316" s="324">
        <f t="shared" si="18"/>
        <v>1</v>
      </c>
      <c r="Y316" s="235" t="s">
        <v>424</v>
      </c>
      <c r="Z316" s="340" t="s">
        <v>458</v>
      </c>
      <c r="AA316" s="237" t="s">
        <v>70</v>
      </c>
      <c r="AB316" s="38"/>
      <c r="AC316" s="246"/>
      <c r="AD316" s="40"/>
      <c r="AE316" s="247"/>
      <c r="AF316" s="237"/>
      <c r="AG316" s="237"/>
    </row>
    <row r="317" spans="1:33" s="15" customFormat="1" ht="60" x14ac:dyDescent="0.15">
      <c r="A317" s="237" t="s">
        <v>43</v>
      </c>
      <c r="B317" s="238">
        <v>260</v>
      </c>
      <c r="C317" s="237" t="s">
        <v>44</v>
      </c>
      <c r="D317" s="237" t="s">
        <v>153</v>
      </c>
      <c r="E317" s="237">
        <v>1</v>
      </c>
      <c r="F317" s="237" t="s">
        <v>459</v>
      </c>
      <c r="G317" s="239" t="s">
        <v>460</v>
      </c>
      <c r="H317" s="240">
        <v>44244.404027777775</v>
      </c>
      <c r="I317" s="237" t="s">
        <v>48</v>
      </c>
      <c r="J317" s="237">
        <v>10</v>
      </c>
      <c r="K317" s="100">
        <v>2.2999999999999998</v>
      </c>
      <c r="L317" s="27" t="s">
        <v>52</v>
      </c>
      <c r="M317" s="248" t="s">
        <v>52</v>
      </c>
      <c r="N317" s="248" t="s">
        <v>1143</v>
      </c>
      <c r="O317" s="248" t="s">
        <v>1143</v>
      </c>
      <c r="P317" s="237">
        <v>1</v>
      </c>
      <c r="Q317" s="83" t="s">
        <v>295</v>
      </c>
      <c r="R317" s="103">
        <f t="shared" si="16"/>
        <v>1</v>
      </c>
      <c r="S317" s="27"/>
      <c r="T317" s="103">
        <f t="shared" si="19"/>
        <v>0</v>
      </c>
      <c r="U317" s="249"/>
      <c r="V317" s="103"/>
      <c r="W317" s="241"/>
      <c r="X317" s="324">
        <f t="shared" si="18"/>
        <v>0</v>
      </c>
      <c r="Y317" s="235" t="s">
        <v>459</v>
      </c>
      <c r="Z317" s="340" t="s">
        <v>460</v>
      </c>
      <c r="AA317" s="237" t="s">
        <v>153</v>
      </c>
      <c r="AB317" s="83"/>
      <c r="AC317" s="249"/>
      <c r="AD317" s="27"/>
      <c r="AE317" s="250" t="s">
        <v>219</v>
      </c>
      <c r="AF317" s="237"/>
      <c r="AG317" s="237"/>
    </row>
    <row r="318" spans="1:33" s="15" customFormat="1" ht="15" x14ac:dyDescent="0.15">
      <c r="A318" s="237" t="s">
        <v>43</v>
      </c>
      <c r="B318" s="238">
        <v>260</v>
      </c>
      <c r="C318" s="237" t="s">
        <v>44</v>
      </c>
      <c r="D318" s="237" t="s">
        <v>153</v>
      </c>
      <c r="E318" s="237">
        <v>1</v>
      </c>
      <c r="F318" s="237" t="s">
        <v>459</v>
      </c>
      <c r="G318" s="239" t="s">
        <v>461</v>
      </c>
      <c r="H318" s="240">
        <v>44245.463923611111</v>
      </c>
      <c r="I318" s="237" t="s">
        <v>48</v>
      </c>
      <c r="J318" s="237">
        <v>10</v>
      </c>
      <c r="K318" s="100">
        <v>2.2999999999999998</v>
      </c>
      <c r="L318" s="27" t="s">
        <v>52</v>
      </c>
      <c r="M318" s="248" t="s">
        <v>52</v>
      </c>
      <c r="N318" s="248" t="s">
        <v>1143</v>
      </c>
      <c r="O318" s="248" t="s">
        <v>1143</v>
      </c>
      <c r="P318" s="237">
        <v>1</v>
      </c>
      <c r="Q318" s="83" t="s">
        <v>102</v>
      </c>
      <c r="R318" s="103">
        <f t="shared" si="16"/>
        <v>1</v>
      </c>
      <c r="S318" s="27"/>
      <c r="T318" s="103">
        <f t="shared" si="19"/>
        <v>0</v>
      </c>
      <c r="U318" s="249"/>
      <c r="V318" s="103"/>
      <c r="W318" s="241"/>
      <c r="X318" s="324">
        <f t="shared" si="18"/>
        <v>0</v>
      </c>
      <c r="Y318" s="235" t="s">
        <v>459</v>
      </c>
      <c r="Z318" s="340" t="s">
        <v>461</v>
      </c>
      <c r="AA318" s="237" t="s">
        <v>153</v>
      </c>
      <c r="AB318" s="83"/>
      <c r="AC318" s="249"/>
      <c r="AD318" s="27"/>
      <c r="AE318" s="250"/>
      <c r="AF318" s="237"/>
      <c r="AG318" s="237"/>
    </row>
    <row r="319" spans="1:33" s="15" customFormat="1" ht="210" x14ac:dyDescent="0.15">
      <c r="A319" s="237" t="s">
        <v>43</v>
      </c>
      <c r="B319" s="238">
        <v>260</v>
      </c>
      <c r="C319" s="237" t="s">
        <v>44</v>
      </c>
      <c r="D319" s="237" t="s">
        <v>153</v>
      </c>
      <c r="E319" s="237">
        <v>1</v>
      </c>
      <c r="F319" s="237" t="s">
        <v>462</v>
      </c>
      <c r="G319" s="239" t="s">
        <v>463</v>
      </c>
      <c r="H319" s="240">
        <v>44247.689629629633</v>
      </c>
      <c r="I319" s="237" t="s">
        <v>48</v>
      </c>
      <c r="J319" s="237">
        <v>10</v>
      </c>
      <c r="K319" s="100">
        <v>2.2999999999999998</v>
      </c>
      <c r="L319" s="27" t="s">
        <v>52</v>
      </c>
      <c r="M319" s="248" t="s">
        <v>52</v>
      </c>
      <c r="N319" s="248" t="s">
        <v>1143</v>
      </c>
      <c r="O319" s="248" t="s">
        <v>1143</v>
      </c>
      <c r="P319" s="237">
        <v>1</v>
      </c>
      <c r="Q319" s="83" t="s">
        <v>102</v>
      </c>
      <c r="R319" s="103">
        <f t="shared" si="16"/>
        <v>1</v>
      </c>
      <c r="S319" s="27"/>
      <c r="T319" s="103">
        <f t="shared" si="19"/>
        <v>0</v>
      </c>
      <c r="U319" s="249"/>
      <c r="V319" s="103">
        <f t="shared" si="17"/>
        <v>0</v>
      </c>
      <c r="W319" s="241"/>
      <c r="X319" s="324">
        <f t="shared" si="18"/>
        <v>0</v>
      </c>
      <c r="Y319" s="235" t="s">
        <v>462</v>
      </c>
      <c r="Z319" s="340" t="s">
        <v>463</v>
      </c>
      <c r="AA319" s="237" t="s">
        <v>153</v>
      </c>
      <c r="AB319" s="83"/>
      <c r="AC319" s="249"/>
      <c r="AD319" s="27"/>
      <c r="AE319" s="250"/>
      <c r="AF319" s="237"/>
      <c r="AG319" s="237"/>
    </row>
    <row r="320" spans="1:33" s="15" customFormat="1" ht="15" x14ac:dyDescent="0.15">
      <c r="A320" s="237" t="s">
        <v>43</v>
      </c>
      <c r="B320" s="238">
        <v>260</v>
      </c>
      <c r="C320" s="237" t="s">
        <v>44</v>
      </c>
      <c r="D320" s="237" t="s">
        <v>153</v>
      </c>
      <c r="E320" s="237">
        <v>1</v>
      </c>
      <c r="F320" s="237" t="s">
        <v>462</v>
      </c>
      <c r="G320" s="239" t="s">
        <v>464</v>
      </c>
      <c r="H320" s="240">
        <v>44247.690057870372</v>
      </c>
      <c r="I320" s="237" t="s">
        <v>48</v>
      </c>
      <c r="J320" s="237">
        <v>10</v>
      </c>
      <c r="K320" s="100">
        <v>2.2999999999999998</v>
      </c>
      <c r="L320" s="27" t="s">
        <v>52</v>
      </c>
      <c r="M320" s="248" t="s">
        <v>52</v>
      </c>
      <c r="N320" s="248" t="s">
        <v>1143</v>
      </c>
      <c r="O320" s="248" t="s">
        <v>1143</v>
      </c>
      <c r="P320" s="237">
        <v>1</v>
      </c>
      <c r="Q320" s="83" t="s">
        <v>102</v>
      </c>
      <c r="R320" s="103">
        <f t="shared" si="16"/>
        <v>1</v>
      </c>
      <c r="S320" s="27"/>
      <c r="T320" s="103"/>
      <c r="U320" s="249"/>
      <c r="V320" s="103">
        <f t="shared" si="17"/>
        <v>0</v>
      </c>
      <c r="W320" s="241"/>
      <c r="X320" s="324">
        <f t="shared" si="18"/>
        <v>0</v>
      </c>
      <c r="Y320" s="235" t="s">
        <v>462</v>
      </c>
      <c r="Z320" s="340" t="s">
        <v>464</v>
      </c>
      <c r="AA320" s="237" t="s">
        <v>153</v>
      </c>
      <c r="AB320" s="83"/>
      <c r="AC320" s="249"/>
      <c r="AD320" s="27"/>
      <c r="AE320" s="250"/>
      <c r="AF320" s="237"/>
      <c r="AG320" s="237"/>
    </row>
    <row r="321" spans="1:33" s="15" customFormat="1" ht="135" x14ac:dyDescent="0.15">
      <c r="A321" s="237" t="s">
        <v>43</v>
      </c>
      <c r="B321" s="238">
        <v>260</v>
      </c>
      <c r="C321" s="237" t="s">
        <v>44</v>
      </c>
      <c r="D321" s="237" t="s">
        <v>153</v>
      </c>
      <c r="E321" s="237">
        <v>1</v>
      </c>
      <c r="F321" s="237" t="s">
        <v>465</v>
      </c>
      <c r="G321" s="239" t="s">
        <v>466</v>
      </c>
      <c r="H321" s="240">
        <v>44250.832592592589</v>
      </c>
      <c r="I321" s="237" t="s">
        <v>48</v>
      </c>
      <c r="J321" s="237">
        <v>10</v>
      </c>
      <c r="K321" s="100">
        <v>2.2999999999999998</v>
      </c>
      <c r="L321" s="27" t="s">
        <v>52</v>
      </c>
      <c r="M321" s="248" t="s">
        <v>52</v>
      </c>
      <c r="N321" s="248" t="s">
        <v>1143</v>
      </c>
      <c r="O321" s="248" t="s">
        <v>1143</v>
      </c>
      <c r="P321" s="237">
        <v>1</v>
      </c>
      <c r="Q321" s="83" t="s">
        <v>102</v>
      </c>
      <c r="R321" s="103">
        <f t="shared" si="16"/>
        <v>1</v>
      </c>
      <c r="S321" s="27" t="s">
        <v>427</v>
      </c>
      <c r="T321" s="103">
        <f t="shared" si="19"/>
        <v>0</v>
      </c>
      <c r="U321" s="249"/>
      <c r="V321" s="103">
        <f t="shared" si="17"/>
        <v>0</v>
      </c>
      <c r="W321" s="241" t="s">
        <v>58</v>
      </c>
      <c r="X321" s="324">
        <f t="shared" si="18"/>
        <v>1</v>
      </c>
      <c r="Y321" s="235" t="s">
        <v>465</v>
      </c>
      <c r="Z321" s="340" t="s">
        <v>466</v>
      </c>
      <c r="AA321" s="237" t="s">
        <v>153</v>
      </c>
      <c r="AB321" s="83"/>
      <c r="AC321" s="249"/>
      <c r="AD321" s="27"/>
      <c r="AE321" s="250"/>
      <c r="AF321" s="237"/>
      <c r="AG321" s="237"/>
    </row>
    <row r="322" spans="1:33" s="15" customFormat="1" ht="30" x14ac:dyDescent="0.15">
      <c r="A322" s="237" t="s">
        <v>43</v>
      </c>
      <c r="B322" s="238">
        <v>260</v>
      </c>
      <c r="C322" s="237" t="s">
        <v>44</v>
      </c>
      <c r="D322" s="237" t="s">
        <v>153</v>
      </c>
      <c r="E322" s="237">
        <v>1</v>
      </c>
      <c r="F322" s="237" t="s">
        <v>465</v>
      </c>
      <c r="G322" s="239" t="s">
        <v>467</v>
      </c>
      <c r="H322" s="240">
        <v>44250.833171296297</v>
      </c>
      <c r="I322" s="237" t="s">
        <v>48</v>
      </c>
      <c r="J322" s="237">
        <v>10</v>
      </c>
      <c r="K322" s="100">
        <v>2.2999999999999998</v>
      </c>
      <c r="L322" s="27" t="s">
        <v>52</v>
      </c>
      <c r="M322" s="248" t="s">
        <v>52</v>
      </c>
      <c r="N322" s="248" t="s">
        <v>1143</v>
      </c>
      <c r="O322" s="248" t="s">
        <v>1143</v>
      </c>
      <c r="P322" s="237">
        <v>1</v>
      </c>
      <c r="Q322" s="83" t="s">
        <v>102</v>
      </c>
      <c r="R322" s="103">
        <f t="shared" si="16"/>
        <v>1</v>
      </c>
      <c r="S322" s="27"/>
      <c r="T322" s="103">
        <f t="shared" si="19"/>
        <v>1</v>
      </c>
      <c r="U322" s="249"/>
      <c r="V322" s="103">
        <f t="shared" si="17"/>
        <v>0</v>
      </c>
      <c r="W322" s="241"/>
      <c r="X322" s="324">
        <f t="shared" si="18"/>
        <v>0</v>
      </c>
      <c r="Y322" s="235" t="s">
        <v>465</v>
      </c>
      <c r="Z322" s="340" t="s">
        <v>467</v>
      </c>
      <c r="AA322" s="237" t="s">
        <v>153</v>
      </c>
      <c r="AB322" s="83"/>
      <c r="AC322" s="249"/>
      <c r="AD322" s="27"/>
      <c r="AE322" s="250"/>
      <c r="AF322" s="237"/>
      <c r="AG322" s="237"/>
    </row>
    <row r="323" spans="1:33" s="15" customFormat="1" ht="90" x14ac:dyDescent="0.15">
      <c r="A323" s="237" t="s">
        <v>43</v>
      </c>
      <c r="B323" s="238">
        <v>260</v>
      </c>
      <c r="C323" s="237" t="s">
        <v>44</v>
      </c>
      <c r="D323" s="237" t="s">
        <v>153</v>
      </c>
      <c r="E323" s="237">
        <v>1</v>
      </c>
      <c r="F323" s="237" t="s">
        <v>465</v>
      </c>
      <c r="G323" s="239" t="s">
        <v>468</v>
      </c>
      <c r="H323" s="240">
        <v>44250.834872685184</v>
      </c>
      <c r="I323" s="237" t="s">
        <v>48</v>
      </c>
      <c r="J323" s="237">
        <v>10</v>
      </c>
      <c r="K323" s="100">
        <v>2.2999999999999998</v>
      </c>
      <c r="L323" s="27" t="s">
        <v>52</v>
      </c>
      <c r="M323" s="248" t="s">
        <v>52</v>
      </c>
      <c r="N323" s="248" t="s">
        <v>1143</v>
      </c>
      <c r="O323" s="248" t="s">
        <v>1143</v>
      </c>
      <c r="P323" s="237">
        <v>1</v>
      </c>
      <c r="Q323" s="83" t="s">
        <v>102</v>
      </c>
      <c r="R323" s="103">
        <f t="shared" ref="R323:R386" si="20">IF(Q323&lt;&gt;"",1,0)</f>
        <v>1</v>
      </c>
      <c r="S323" s="27" t="s">
        <v>305</v>
      </c>
      <c r="T323" s="103">
        <f t="shared" si="19"/>
        <v>0</v>
      </c>
      <c r="U323" s="249"/>
      <c r="V323" s="103">
        <f t="shared" ref="V323:V386" si="21">IF(U323&lt;&gt;"",1,0)</f>
        <v>0</v>
      </c>
      <c r="W323" s="241"/>
      <c r="X323" s="324">
        <f t="shared" ref="X323:X386" si="22">IF(W323&lt;&gt;"",1,0)</f>
        <v>0</v>
      </c>
      <c r="Y323" s="235" t="s">
        <v>465</v>
      </c>
      <c r="Z323" s="340" t="s">
        <v>468</v>
      </c>
      <c r="AA323" s="237" t="s">
        <v>153</v>
      </c>
      <c r="AB323" s="83"/>
      <c r="AC323" s="249"/>
      <c r="AD323" s="27"/>
      <c r="AE323" s="250"/>
      <c r="AF323" s="237"/>
      <c r="AG323" s="237"/>
    </row>
    <row r="324" spans="1:33" s="15" customFormat="1" ht="75" x14ac:dyDescent="0.15">
      <c r="A324" s="237" t="s">
        <v>43</v>
      </c>
      <c r="B324" s="238">
        <v>260</v>
      </c>
      <c r="C324" s="237" t="s">
        <v>44</v>
      </c>
      <c r="D324" s="237" t="s">
        <v>153</v>
      </c>
      <c r="E324" s="237">
        <v>1</v>
      </c>
      <c r="F324" s="237" t="s">
        <v>462</v>
      </c>
      <c r="G324" s="239" t="s">
        <v>469</v>
      </c>
      <c r="H324" s="240">
        <v>44251.836122685185</v>
      </c>
      <c r="I324" s="237" t="s">
        <v>48</v>
      </c>
      <c r="J324" s="237">
        <v>10</v>
      </c>
      <c r="K324" s="100">
        <v>2.2999999999999998</v>
      </c>
      <c r="L324" s="27" t="s">
        <v>346</v>
      </c>
      <c r="M324" s="248" t="s">
        <v>52</v>
      </c>
      <c r="N324" s="248" t="s">
        <v>1143</v>
      </c>
      <c r="O324" s="248" t="s">
        <v>1143</v>
      </c>
      <c r="P324" s="237">
        <v>1</v>
      </c>
      <c r="Q324" s="83" t="s">
        <v>102</v>
      </c>
      <c r="R324" s="103">
        <f t="shared" si="20"/>
        <v>1</v>
      </c>
      <c r="S324" s="27" t="s">
        <v>58</v>
      </c>
      <c r="T324" s="103">
        <f t="shared" ref="T324:T387" si="23">IF(S323&lt;&gt;"",1,0)</f>
        <v>1</v>
      </c>
      <c r="U324" s="249"/>
      <c r="V324" s="103">
        <f t="shared" si="21"/>
        <v>0</v>
      </c>
      <c r="W324" s="241"/>
      <c r="X324" s="324">
        <f t="shared" si="22"/>
        <v>0</v>
      </c>
      <c r="Y324" s="235" t="s">
        <v>462</v>
      </c>
      <c r="Z324" s="340" t="s">
        <v>469</v>
      </c>
      <c r="AA324" s="237" t="s">
        <v>153</v>
      </c>
      <c r="AB324" s="83"/>
      <c r="AC324" s="249"/>
      <c r="AD324" s="27" t="s">
        <v>470</v>
      </c>
      <c r="AE324" s="250"/>
      <c r="AF324" s="237"/>
      <c r="AG324" s="237"/>
    </row>
    <row r="325" spans="1:33" s="15" customFormat="1" ht="45" x14ac:dyDescent="0.15">
      <c r="A325" s="237" t="s">
        <v>43</v>
      </c>
      <c r="B325" s="238">
        <v>260</v>
      </c>
      <c r="C325" s="237" t="s">
        <v>44</v>
      </c>
      <c r="D325" s="237" t="s">
        <v>153</v>
      </c>
      <c r="E325" s="237">
        <v>1</v>
      </c>
      <c r="F325" s="237" t="s">
        <v>465</v>
      </c>
      <c r="G325" s="239" t="s">
        <v>471</v>
      </c>
      <c r="H325" s="240">
        <v>44252.742881944447</v>
      </c>
      <c r="I325" s="237" t="s">
        <v>48</v>
      </c>
      <c r="J325" s="237">
        <v>8</v>
      </c>
      <c r="K325" s="100">
        <v>2.2999999999999998</v>
      </c>
      <c r="L325" s="27" t="s">
        <v>1151</v>
      </c>
      <c r="M325" s="248" t="s">
        <v>52</v>
      </c>
      <c r="N325" s="248" t="s">
        <v>1143</v>
      </c>
      <c r="O325" s="248" t="s">
        <v>1143</v>
      </c>
      <c r="P325" s="237">
        <v>1</v>
      </c>
      <c r="Q325" s="83" t="s">
        <v>102</v>
      </c>
      <c r="R325" s="103">
        <f t="shared" si="20"/>
        <v>1</v>
      </c>
      <c r="S325" s="27" t="s">
        <v>305</v>
      </c>
      <c r="T325" s="103">
        <f t="shared" si="23"/>
        <v>1</v>
      </c>
      <c r="U325" s="249">
        <v>1</v>
      </c>
      <c r="V325" s="103">
        <f t="shared" si="21"/>
        <v>1</v>
      </c>
      <c r="W325" s="241" t="s">
        <v>305</v>
      </c>
      <c r="X325" s="324">
        <f t="shared" si="22"/>
        <v>1</v>
      </c>
      <c r="Y325" s="235" t="s">
        <v>465</v>
      </c>
      <c r="Z325" s="340" t="s">
        <v>471</v>
      </c>
      <c r="AA325" s="237" t="s">
        <v>153</v>
      </c>
      <c r="AB325" s="83"/>
      <c r="AC325" s="249"/>
      <c r="AD325" s="27" t="s">
        <v>472</v>
      </c>
      <c r="AE325" s="250"/>
      <c r="AF325" s="237"/>
      <c r="AG325" s="237"/>
    </row>
    <row r="326" spans="1:33" s="15" customFormat="1" ht="90" x14ac:dyDescent="0.15">
      <c r="A326" s="237" t="s">
        <v>43</v>
      </c>
      <c r="B326" s="238">
        <v>260</v>
      </c>
      <c r="C326" s="237" t="s">
        <v>44</v>
      </c>
      <c r="D326" s="237" t="s">
        <v>153</v>
      </c>
      <c r="E326" s="237">
        <v>1</v>
      </c>
      <c r="F326" s="237" t="s">
        <v>462</v>
      </c>
      <c r="G326" s="239" t="s">
        <v>473</v>
      </c>
      <c r="H326" s="240">
        <v>44252.915162037039</v>
      </c>
      <c r="I326" s="237" t="s">
        <v>48</v>
      </c>
      <c r="J326" s="237">
        <v>10</v>
      </c>
      <c r="K326" s="100">
        <v>2.2999999999999998</v>
      </c>
      <c r="L326" s="27" t="s">
        <v>108</v>
      </c>
      <c r="M326" s="248" t="s">
        <v>52</v>
      </c>
      <c r="N326" s="248" t="s">
        <v>1143</v>
      </c>
      <c r="O326" s="248" t="s">
        <v>1143</v>
      </c>
      <c r="P326" s="237">
        <v>1</v>
      </c>
      <c r="Q326" s="83" t="s">
        <v>102</v>
      </c>
      <c r="R326" s="103">
        <f t="shared" si="20"/>
        <v>1</v>
      </c>
      <c r="S326" s="27" t="s">
        <v>474</v>
      </c>
      <c r="T326" s="103">
        <f t="shared" si="23"/>
        <v>1</v>
      </c>
      <c r="U326" s="249">
        <v>1</v>
      </c>
      <c r="V326" s="103">
        <f t="shared" si="21"/>
        <v>1</v>
      </c>
      <c r="W326" s="241" t="s">
        <v>58</v>
      </c>
      <c r="X326" s="324">
        <f t="shared" si="22"/>
        <v>1</v>
      </c>
      <c r="Y326" s="235" t="s">
        <v>462</v>
      </c>
      <c r="Z326" s="340" t="s">
        <v>473</v>
      </c>
      <c r="AA326" s="237" t="s">
        <v>153</v>
      </c>
      <c r="AB326" s="83" t="s">
        <v>74</v>
      </c>
      <c r="AC326" s="249" t="s">
        <v>74</v>
      </c>
      <c r="AD326" s="27" t="s">
        <v>109</v>
      </c>
      <c r="AE326" s="250"/>
      <c r="AF326" s="237"/>
      <c r="AG326" s="237"/>
    </row>
    <row r="327" spans="1:33" s="15" customFormat="1" ht="60" x14ac:dyDescent="0.15">
      <c r="A327" s="237" t="s">
        <v>43</v>
      </c>
      <c r="B327" s="238">
        <v>260</v>
      </c>
      <c r="C327" s="237" t="s">
        <v>44</v>
      </c>
      <c r="D327" s="237" t="s">
        <v>153</v>
      </c>
      <c r="E327" s="237">
        <v>1</v>
      </c>
      <c r="F327" s="237" t="s">
        <v>459</v>
      </c>
      <c r="G327" s="239" t="s">
        <v>475</v>
      </c>
      <c r="H327" s="240">
        <v>44253.295289351852</v>
      </c>
      <c r="I327" s="237" t="s">
        <v>48</v>
      </c>
      <c r="J327" s="237">
        <v>10</v>
      </c>
      <c r="K327" s="100">
        <v>2.2999999999999998</v>
      </c>
      <c r="L327" s="27" t="s">
        <v>108</v>
      </c>
      <c r="M327" s="248" t="s">
        <v>108</v>
      </c>
      <c r="N327" s="248" t="s">
        <v>108</v>
      </c>
      <c r="O327" s="248" t="s">
        <v>108</v>
      </c>
      <c r="P327" s="237">
        <v>1</v>
      </c>
      <c r="Q327" s="83" t="s">
        <v>102</v>
      </c>
      <c r="R327" s="103">
        <f t="shared" si="20"/>
        <v>1</v>
      </c>
      <c r="S327" s="27"/>
      <c r="T327" s="103">
        <f t="shared" si="23"/>
        <v>1</v>
      </c>
      <c r="U327" s="249"/>
      <c r="V327" s="103">
        <f t="shared" si="21"/>
        <v>0</v>
      </c>
      <c r="W327" s="241"/>
      <c r="X327" s="324">
        <f t="shared" si="22"/>
        <v>0</v>
      </c>
      <c r="Y327" s="235" t="s">
        <v>459</v>
      </c>
      <c r="Z327" s="340" t="s">
        <v>475</v>
      </c>
      <c r="AA327" s="237" t="s">
        <v>153</v>
      </c>
      <c r="AB327" s="83"/>
      <c r="AC327" s="249"/>
      <c r="AD327" s="27"/>
      <c r="AE327" s="250" t="s">
        <v>109</v>
      </c>
      <c r="AF327" s="237"/>
      <c r="AG327" s="237"/>
    </row>
    <row r="328" spans="1:33" s="15" customFormat="1" ht="75" x14ac:dyDescent="0.15">
      <c r="A328" s="237" t="s">
        <v>43</v>
      </c>
      <c r="B328" s="238">
        <v>260</v>
      </c>
      <c r="C328" s="237" t="s">
        <v>44</v>
      </c>
      <c r="D328" s="237" t="s">
        <v>153</v>
      </c>
      <c r="E328" s="237">
        <v>1</v>
      </c>
      <c r="F328" s="237" t="s">
        <v>462</v>
      </c>
      <c r="G328" s="239" t="s">
        <v>476</v>
      </c>
      <c r="H328" s="240">
        <v>44253.917685185188</v>
      </c>
      <c r="I328" s="237" t="s">
        <v>48</v>
      </c>
      <c r="J328" s="237">
        <v>10</v>
      </c>
      <c r="K328" s="100">
        <v>2.2999999999999998</v>
      </c>
      <c r="L328" s="27" t="s">
        <v>108</v>
      </c>
      <c r="M328" s="248" t="s">
        <v>49</v>
      </c>
      <c r="N328" s="248" t="s">
        <v>49</v>
      </c>
      <c r="O328" s="248" t="s">
        <v>1163</v>
      </c>
      <c r="P328" s="237">
        <v>1</v>
      </c>
      <c r="Q328" s="83" t="s">
        <v>312</v>
      </c>
      <c r="R328" s="103">
        <f t="shared" si="20"/>
        <v>1</v>
      </c>
      <c r="S328" s="27" t="s">
        <v>58</v>
      </c>
      <c r="T328" s="103">
        <f t="shared" si="23"/>
        <v>0</v>
      </c>
      <c r="U328" s="249"/>
      <c r="V328" s="103">
        <f t="shared" si="21"/>
        <v>0</v>
      </c>
      <c r="W328" s="241" t="s">
        <v>58</v>
      </c>
      <c r="X328" s="324">
        <f t="shared" si="22"/>
        <v>1</v>
      </c>
      <c r="Y328" s="235" t="s">
        <v>462</v>
      </c>
      <c r="Z328" s="340" t="s">
        <v>476</v>
      </c>
      <c r="AA328" s="237" t="s">
        <v>153</v>
      </c>
      <c r="AB328" s="83"/>
      <c r="AC328" s="249"/>
      <c r="AD328" s="27"/>
      <c r="AE328" s="250" t="s">
        <v>1148</v>
      </c>
      <c r="AF328" s="237"/>
      <c r="AG328" s="237"/>
    </row>
    <row r="329" spans="1:33" s="15" customFormat="1" ht="165" x14ac:dyDescent="0.15">
      <c r="A329" s="237" t="s">
        <v>43</v>
      </c>
      <c r="B329" s="238">
        <v>260</v>
      </c>
      <c r="C329" s="237" t="s">
        <v>44</v>
      </c>
      <c r="D329" s="237" t="s">
        <v>161</v>
      </c>
      <c r="E329" s="237">
        <v>1</v>
      </c>
      <c r="F329" s="237" t="s">
        <v>477</v>
      </c>
      <c r="G329" s="239" t="s">
        <v>478</v>
      </c>
      <c r="H329" s="240">
        <v>44242.194606481484</v>
      </c>
      <c r="I329" s="237" t="s">
        <v>48</v>
      </c>
      <c r="J329" s="237">
        <v>10</v>
      </c>
      <c r="K329" s="100">
        <v>2.4</v>
      </c>
      <c r="L329" s="89" t="s">
        <v>1145</v>
      </c>
      <c r="M329" s="251" t="s">
        <v>68</v>
      </c>
      <c r="N329" s="251" t="s">
        <v>68</v>
      </c>
      <c r="O329" s="251" t="s">
        <v>1163</v>
      </c>
      <c r="P329" s="237">
        <v>1</v>
      </c>
      <c r="Q329" s="87" t="s">
        <v>295</v>
      </c>
      <c r="R329" s="103">
        <f t="shared" si="20"/>
        <v>1</v>
      </c>
      <c r="S329" s="28"/>
      <c r="T329" s="103">
        <f t="shared" si="23"/>
        <v>1</v>
      </c>
      <c r="U329" s="252">
        <v>1</v>
      </c>
      <c r="V329" s="103">
        <f t="shared" si="21"/>
        <v>1</v>
      </c>
      <c r="W329" s="241"/>
      <c r="X329" s="324">
        <f t="shared" si="22"/>
        <v>0</v>
      </c>
      <c r="Y329" s="235" t="s">
        <v>477</v>
      </c>
      <c r="Z329" s="340" t="s">
        <v>478</v>
      </c>
      <c r="AA329" s="237" t="s">
        <v>161</v>
      </c>
      <c r="AB329" s="30" t="s">
        <v>112</v>
      </c>
      <c r="AC329" s="252" t="s">
        <v>112</v>
      </c>
      <c r="AD329" s="31"/>
      <c r="AE329" s="253"/>
      <c r="AF329" s="239" t="s">
        <v>479</v>
      </c>
      <c r="AG329" s="237"/>
    </row>
    <row r="330" spans="1:33" s="15" customFormat="1" ht="15" x14ac:dyDescent="0.15">
      <c r="A330" s="237" t="s">
        <v>43</v>
      </c>
      <c r="B330" s="238">
        <v>260</v>
      </c>
      <c r="C330" s="237" t="s">
        <v>44</v>
      </c>
      <c r="D330" s="237" t="s">
        <v>161</v>
      </c>
      <c r="E330" s="237">
        <v>1</v>
      </c>
      <c r="F330" s="237" t="s">
        <v>480</v>
      </c>
      <c r="G330" s="239" t="s">
        <v>481</v>
      </c>
      <c r="H330" s="240">
        <v>44243.984409722223</v>
      </c>
      <c r="I330" s="237" t="s">
        <v>48</v>
      </c>
      <c r="J330" s="237">
        <v>10</v>
      </c>
      <c r="K330" s="100">
        <v>2.4</v>
      </c>
      <c r="L330" s="32" t="s">
        <v>1145</v>
      </c>
      <c r="M330" s="241" t="s">
        <v>49</v>
      </c>
      <c r="N330" s="241" t="s">
        <v>49</v>
      </c>
      <c r="O330" s="241" t="s">
        <v>1163</v>
      </c>
      <c r="P330" s="237">
        <v>1</v>
      </c>
      <c r="Q330" s="88"/>
      <c r="R330" s="103">
        <f t="shared" si="20"/>
        <v>0</v>
      </c>
      <c r="S330" s="32"/>
      <c r="T330" s="103">
        <f t="shared" si="23"/>
        <v>0</v>
      </c>
      <c r="U330" s="242">
        <v>1</v>
      </c>
      <c r="V330" s="103">
        <f t="shared" si="21"/>
        <v>1</v>
      </c>
      <c r="W330" s="241"/>
      <c r="X330" s="324">
        <f t="shared" si="22"/>
        <v>0</v>
      </c>
      <c r="Y330" s="235" t="s">
        <v>480</v>
      </c>
      <c r="Z330" s="340" t="s">
        <v>481</v>
      </c>
      <c r="AA330" s="237" t="s">
        <v>161</v>
      </c>
      <c r="AB330" s="34"/>
      <c r="AC330" s="242"/>
      <c r="AD330" s="35"/>
      <c r="AE330" s="243"/>
      <c r="AF330" s="237"/>
      <c r="AG330" s="237"/>
    </row>
    <row r="331" spans="1:33" s="15" customFormat="1" ht="30" x14ac:dyDescent="0.15">
      <c r="A331" s="237" t="s">
        <v>43</v>
      </c>
      <c r="B331" s="238">
        <v>260</v>
      </c>
      <c r="C331" s="237" t="s">
        <v>44</v>
      </c>
      <c r="D331" s="237" t="s">
        <v>161</v>
      </c>
      <c r="E331" s="237">
        <v>1</v>
      </c>
      <c r="F331" s="237" t="s">
        <v>480</v>
      </c>
      <c r="G331" s="239" t="s">
        <v>482</v>
      </c>
      <c r="H331" s="240">
        <v>44243.984861111108</v>
      </c>
      <c r="I331" s="237" t="s">
        <v>48</v>
      </c>
      <c r="J331" s="237">
        <v>10</v>
      </c>
      <c r="K331" s="100">
        <v>2.4</v>
      </c>
      <c r="L331" s="90" t="s">
        <v>1145</v>
      </c>
      <c r="M331" s="241" t="s">
        <v>68</v>
      </c>
      <c r="N331" s="241" t="s">
        <v>68</v>
      </c>
      <c r="O331" s="241" t="s">
        <v>1163</v>
      </c>
      <c r="P331" s="237">
        <v>1</v>
      </c>
      <c r="Q331" s="88"/>
      <c r="R331" s="103">
        <f t="shared" si="20"/>
        <v>0</v>
      </c>
      <c r="S331" s="32"/>
      <c r="T331" s="103">
        <f t="shared" si="23"/>
        <v>0</v>
      </c>
      <c r="U331" s="242">
        <v>1</v>
      </c>
      <c r="V331" s="103">
        <f t="shared" si="21"/>
        <v>1</v>
      </c>
      <c r="W331" s="241" t="s">
        <v>637</v>
      </c>
      <c r="X331" s="324">
        <f t="shared" si="22"/>
        <v>1</v>
      </c>
      <c r="Y331" s="235" t="s">
        <v>480</v>
      </c>
      <c r="Z331" s="340" t="s">
        <v>482</v>
      </c>
      <c r="AA331" s="237" t="s">
        <v>161</v>
      </c>
      <c r="AB331" s="34"/>
      <c r="AC331" s="242"/>
      <c r="AD331" s="35"/>
      <c r="AE331" s="243"/>
      <c r="AF331" s="237"/>
      <c r="AG331" s="237"/>
    </row>
    <row r="332" spans="1:33" s="15" customFormat="1" ht="15" x14ac:dyDescent="0.15">
      <c r="A332" s="237" t="s">
        <v>43</v>
      </c>
      <c r="B332" s="238">
        <v>260</v>
      </c>
      <c r="C332" s="237" t="s">
        <v>44</v>
      </c>
      <c r="D332" s="237" t="s">
        <v>161</v>
      </c>
      <c r="E332" s="237">
        <v>1</v>
      </c>
      <c r="F332" s="237" t="s">
        <v>483</v>
      </c>
      <c r="G332" s="239" t="s">
        <v>484</v>
      </c>
      <c r="H332" s="240">
        <v>44248.869618055556</v>
      </c>
      <c r="I332" s="237" t="s">
        <v>48</v>
      </c>
      <c r="J332" s="237">
        <v>10</v>
      </c>
      <c r="K332" s="100">
        <v>2.4</v>
      </c>
      <c r="L332" s="32" t="s">
        <v>1145</v>
      </c>
      <c r="M332" s="241" t="s">
        <v>49</v>
      </c>
      <c r="N332" s="241" t="s">
        <v>49</v>
      </c>
      <c r="O332" s="241" t="s">
        <v>1163</v>
      </c>
      <c r="P332" s="237">
        <v>1</v>
      </c>
      <c r="Q332" s="88"/>
      <c r="R332" s="103">
        <f t="shared" si="20"/>
        <v>0</v>
      </c>
      <c r="S332" s="32"/>
      <c r="T332" s="103">
        <f t="shared" si="23"/>
        <v>0</v>
      </c>
      <c r="U332" s="242">
        <v>1</v>
      </c>
      <c r="V332" s="103">
        <f t="shared" si="21"/>
        <v>1</v>
      </c>
      <c r="W332" s="241" t="s">
        <v>637</v>
      </c>
      <c r="X332" s="324">
        <f t="shared" si="22"/>
        <v>1</v>
      </c>
      <c r="Y332" s="235" t="s">
        <v>483</v>
      </c>
      <c r="Z332" s="340" t="s">
        <v>484</v>
      </c>
      <c r="AA332" s="237" t="s">
        <v>161</v>
      </c>
      <c r="AB332" s="34"/>
      <c r="AC332" s="242"/>
      <c r="AD332" s="35"/>
      <c r="AE332" s="243"/>
      <c r="AF332" s="237"/>
      <c r="AG332" s="237"/>
    </row>
    <row r="333" spans="1:33" s="15" customFormat="1" ht="30" x14ac:dyDescent="0.15">
      <c r="A333" s="237" t="s">
        <v>43</v>
      </c>
      <c r="B333" s="238">
        <v>260</v>
      </c>
      <c r="C333" s="237" t="s">
        <v>44</v>
      </c>
      <c r="D333" s="237" t="s">
        <v>161</v>
      </c>
      <c r="E333" s="237">
        <v>1</v>
      </c>
      <c r="F333" s="237" t="s">
        <v>480</v>
      </c>
      <c r="G333" s="239" t="s">
        <v>485</v>
      </c>
      <c r="H333" s="240">
        <v>44248.878078703703</v>
      </c>
      <c r="I333" s="237" t="s">
        <v>48</v>
      </c>
      <c r="J333" s="237">
        <v>10</v>
      </c>
      <c r="K333" s="100">
        <v>2.4</v>
      </c>
      <c r="L333" s="90" t="s">
        <v>1145</v>
      </c>
      <c r="M333" s="241" t="s">
        <v>68</v>
      </c>
      <c r="N333" s="241" t="s">
        <v>68</v>
      </c>
      <c r="O333" s="241" t="s">
        <v>1163</v>
      </c>
      <c r="P333" s="237">
        <v>1</v>
      </c>
      <c r="Q333" s="88"/>
      <c r="R333" s="103">
        <f t="shared" si="20"/>
        <v>0</v>
      </c>
      <c r="S333" s="32"/>
      <c r="T333" s="103">
        <f t="shared" si="23"/>
        <v>0</v>
      </c>
      <c r="U333" s="242">
        <v>1</v>
      </c>
      <c r="V333" s="103">
        <f t="shared" si="21"/>
        <v>1</v>
      </c>
      <c r="W333" s="241" t="s">
        <v>637</v>
      </c>
      <c r="X333" s="324">
        <f t="shared" si="22"/>
        <v>1</v>
      </c>
      <c r="Y333" s="235" t="s">
        <v>480</v>
      </c>
      <c r="Z333" s="340" t="s">
        <v>485</v>
      </c>
      <c r="AA333" s="237" t="s">
        <v>161</v>
      </c>
      <c r="AB333" s="34" t="s">
        <v>112</v>
      </c>
      <c r="AC333" s="242" t="s">
        <v>112</v>
      </c>
      <c r="AD333" s="35"/>
      <c r="AE333" s="243"/>
      <c r="AF333" s="237"/>
      <c r="AG333" s="237"/>
    </row>
    <row r="334" spans="1:33" s="15" customFormat="1" ht="30" x14ac:dyDescent="0.15">
      <c r="A334" s="237" t="s">
        <v>43</v>
      </c>
      <c r="B334" s="238">
        <v>260</v>
      </c>
      <c r="C334" s="237" t="s">
        <v>44</v>
      </c>
      <c r="D334" s="237" t="s">
        <v>161</v>
      </c>
      <c r="E334" s="237">
        <v>1</v>
      </c>
      <c r="F334" s="237" t="s">
        <v>477</v>
      </c>
      <c r="G334" s="239" t="s">
        <v>486</v>
      </c>
      <c r="H334" s="240">
        <v>44249.576863425929</v>
      </c>
      <c r="I334" s="237" t="s">
        <v>48</v>
      </c>
      <c r="J334" s="237">
        <v>10</v>
      </c>
      <c r="K334" s="100">
        <v>2.4</v>
      </c>
      <c r="L334" s="90" t="s">
        <v>1145</v>
      </c>
      <c r="M334" s="241" t="s">
        <v>68</v>
      </c>
      <c r="N334" s="241" t="s">
        <v>68</v>
      </c>
      <c r="O334" s="241" t="s">
        <v>1163</v>
      </c>
      <c r="P334" s="237">
        <v>1</v>
      </c>
      <c r="Q334" s="88" t="s">
        <v>312</v>
      </c>
      <c r="R334" s="103">
        <f t="shared" si="20"/>
        <v>1</v>
      </c>
      <c r="S334" s="32"/>
      <c r="T334" s="103">
        <f t="shared" si="23"/>
        <v>0</v>
      </c>
      <c r="U334" s="242">
        <v>1</v>
      </c>
      <c r="V334" s="103">
        <f t="shared" si="21"/>
        <v>1</v>
      </c>
      <c r="W334" s="241" t="s">
        <v>637</v>
      </c>
      <c r="X334" s="324">
        <f t="shared" si="22"/>
        <v>1</v>
      </c>
      <c r="Y334" s="235" t="s">
        <v>477</v>
      </c>
      <c r="Z334" s="340" t="s">
        <v>486</v>
      </c>
      <c r="AA334" s="237" t="s">
        <v>161</v>
      </c>
      <c r="AB334" s="34"/>
      <c r="AC334" s="242"/>
      <c r="AD334" s="35"/>
      <c r="AE334" s="243"/>
      <c r="AF334" s="237"/>
      <c r="AG334" s="237"/>
    </row>
    <row r="335" spans="1:33" s="15" customFormat="1" ht="30" x14ac:dyDescent="0.15">
      <c r="A335" s="237" t="s">
        <v>43</v>
      </c>
      <c r="B335" s="238">
        <v>260</v>
      </c>
      <c r="C335" s="237" t="s">
        <v>44</v>
      </c>
      <c r="D335" s="237" t="s">
        <v>161</v>
      </c>
      <c r="E335" s="237">
        <v>1</v>
      </c>
      <c r="F335" s="237" t="s">
        <v>477</v>
      </c>
      <c r="G335" s="239" t="s">
        <v>487</v>
      </c>
      <c r="H335" s="240">
        <v>44250.827060185184</v>
      </c>
      <c r="I335" s="237" t="s">
        <v>48</v>
      </c>
      <c r="J335" s="237">
        <v>9</v>
      </c>
      <c r="K335" s="100">
        <v>2.4</v>
      </c>
      <c r="L335" s="90" t="s">
        <v>1145</v>
      </c>
      <c r="M335" s="241" t="s">
        <v>68</v>
      </c>
      <c r="N335" s="241" t="s">
        <v>68</v>
      </c>
      <c r="O335" s="241" t="s">
        <v>1163</v>
      </c>
      <c r="P335" s="237">
        <v>1</v>
      </c>
      <c r="Q335" s="34"/>
      <c r="R335" s="103">
        <f t="shared" si="20"/>
        <v>0</v>
      </c>
      <c r="S335" s="32"/>
      <c r="T335" s="103">
        <f t="shared" si="23"/>
        <v>0</v>
      </c>
      <c r="U335" s="242">
        <v>1</v>
      </c>
      <c r="V335" s="103">
        <f t="shared" si="21"/>
        <v>1</v>
      </c>
      <c r="W335" s="241" t="s">
        <v>637</v>
      </c>
      <c r="X335" s="324">
        <f t="shared" si="22"/>
        <v>1</v>
      </c>
      <c r="Y335" s="235" t="s">
        <v>477</v>
      </c>
      <c r="Z335" s="340" t="s">
        <v>487</v>
      </c>
      <c r="AA335" s="237" t="s">
        <v>161</v>
      </c>
      <c r="AB335" s="34"/>
      <c r="AC335" s="242"/>
      <c r="AD335" s="35"/>
      <c r="AE335" s="243"/>
      <c r="AF335" s="237"/>
      <c r="AG335" s="237"/>
    </row>
    <row r="336" spans="1:33" s="15" customFormat="1" ht="30" x14ac:dyDescent="0.15">
      <c r="A336" s="237" t="s">
        <v>43</v>
      </c>
      <c r="B336" s="238">
        <v>260</v>
      </c>
      <c r="C336" s="237" t="s">
        <v>44</v>
      </c>
      <c r="D336" s="237" t="s">
        <v>161</v>
      </c>
      <c r="E336" s="237">
        <v>1</v>
      </c>
      <c r="F336" s="237" t="s">
        <v>483</v>
      </c>
      <c r="G336" s="239" t="s">
        <v>488</v>
      </c>
      <c r="H336" s="240">
        <v>44250.82984953704</v>
      </c>
      <c r="I336" s="237" t="s">
        <v>48</v>
      </c>
      <c r="J336" s="237">
        <v>9</v>
      </c>
      <c r="K336" s="100">
        <v>2.4</v>
      </c>
      <c r="L336" s="90" t="s">
        <v>1145</v>
      </c>
      <c r="M336" s="241" t="s">
        <v>68</v>
      </c>
      <c r="N336" s="241" t="s">
        <v>68</v>
      </c>
      <c r="O336" s="241" t="s">
        <v>1163</v>
      </c>
      <c r="P336" s="237">
        <v>1</v>
      </c>
      <c r="Q336" s="34"/>
      <c r="R336" s="103">
        <f t="shared" si="20"/>
        <v>0</v>
      </c>
      <c r="S336" s="32"/>
      <c r="T336" s="103">
        <f t="shared" si="23"/>
        <v>0</v>
      </c>
      <c r="U336" s="242">
        <v>1</v>
      </c>
      <c r="V336" s="103">
        <f t="shared" si="21"/>
        <v>1</v>
      </c>
      <c r="W336" s="241" t="s">
        <v>637</v>
      </c>
      <c r="X336" s="324">
        <f t="shared" si="22"/>
        <v>1</v>
      </c>
      <c r="Y336" s="235" t="s">
        <v>483</v>
      </c>
      <c r="Z336" s="340" t="s">
        <v>488</v>
      </c>
      <c r="AA336" s="237" t="s">
        <v>161</v>
      </c>
      <c r="AB336" s="34"/>
      <c r="AC336" s="242"/>
      <c r="AD336" s="35"/>
      <c r="AE336" s="243"/>
      <c r="AF336" s="237"/>
      <c r="AG336" s="237"/>
    </row>
    <row r="337" spans="1:33" s="15" customFormat="1" ht="30" x14ac:dyDescent="0.15">
      <c r="A337" s="237" t="s">
        <v>43</v>
      </c>
      <c r="B337" s="238">
        <v>260</v>
      </c>
      <c r="C337" s="237" t="s">
        <v>44</v>
      </c>
      <c r="D337" s="237" t="s">
        <v>161</v>
      </c>
      <c r="E337" s="237">
        <v>1</v>
      </c>
      <c r="F337" s="237" t="s">
        <v>477</v>
      </c>
      <c r="G337" s="239" t="s">
        <v>489</v>
      </c>
      <c r="H337" s="240">
        <v>44250.833773148152</v>
      </c>
      <c r="I337" s="237" t="s">
        <v>48</v>
      </c>
      <c r="J337" s="237">
        <v>9</v>
      </c>
      <c r="K337" s="100">
        <v>2.4</v>
      </c>
      <c r="L337" s="90" t="s">
        <v>1145</v>
      </c>
      <c r="M337" s="241" t="s">
        <v>68</v>
      </c>
      <c r="N337" s="241" t="s">
        <v>68</v>
      </c>
      <c r="O337" s="241" t="s">
        <v>1163</v>
      </c>
      <c r="P337" s="237">
        <v>1</v>
      </c>
      <c r="Q337" s="88" t="s">
        <v>295</v>
      </c>
      <c r="R337" s="103">
        <f t="shared" si="20"/>
        <v>1</v>
      </c>
      <c r="S337" s="32"/>
      <c r="T337" s="103">
        <f t="shared" si="23"/>
        <v>0</v>
      </c>
      <c r="U337" s="242">
        <v>2</v>
      </c>
      <c r="V337" s="103">
        <f t="shared" si="21"/>
        <v>1</v>
      </c>
      <c r="W337" s="241" t="s">
        <v>331</v>
      </c>
      <c r="X337" s="324">
        <f t="shared" si="22"/>
        <v>1</v>
      </c>
      <c r="Y337" s="235" t="s">
        <v>477</v>
      </c>
      <c r="Z337" s="340" t="s">
        <v>489</v>
      </c>
      <c r="AA337" s="237" t="s">
        <v>161</v>
      </c>
      <c r="AB337" s="34" t="s">
        <v>112</v>
      </c>
      <c r="AC337" s="242" t="s">
        <v>112</v>
      </c>
      <c r="AD337" s="35"/>
      <c r="AE337" s="243"/>
      <c r="AF337" s="237"/>
      <c r="AG337" s="237"/>
    </row>
    <row r="338" spans="1:33" s="15" customFormat="1" ht="30" x14ac:dyDescent="0.15">
      <c r="A338" s="237" t="s">
        <v>43</v>
      </c>
      <c r="B338" s="238">
        <v>260</v>
      </c>
      <c r="C338" s="237" t="s">
        <v>44</v>
      </c>
      <c r="D338" s="237" t="s">
        <v>161</v>
      </c>
      <c r="E338" s="237">
        <v>1</v>
      </c>
      <c r="F338" s="237" t="s">
        <v>483</v>
      </c>
      <c r="G338" s="239" t="s">
        <v>490</v>
      </c>
      <c r="H338" s="240">
        <v>44250.834108796298</v>
      </c>
      <c r="I338" s="237" t="s">
        <v>48</v>
      </c>
      <c r="J338" s="237">
        <v>9</v>
      </c>
      <c r="K338" s="100">
        <v>2.4</v>
      </c>
      <c r="L338" s="90" t="s">
        <v>1145</v>
      </c>
      <c r="M338" s="241" t="s">
        <v>68</v>
      </c>
      <c r="N338" s="241" t="s">
        <v>68</v>
      </c>
      <c r="O338" s="241" t="s">
        <v>1163</v>
      </c>
      <c r="P338" s="237">
        <v>1</v>
      </c>
      <c r="Q338" s="88"/>
      <c r="R338" s="103">
        <f t="shared" si="20"/>
        <v>0</v>
      </c>
      <c r="S338" s="32" t="s">
        <v>58</v>
      </c>
      <c r="T338" s="103">
        <f t="shared" si="23"/>
        <v>0</v>
      </c>
      <c r="U338" s="242">
        <v>2</v>
      </c>
      <c r="V338" s="103">
        <f t="shared" si="21"/>
        <v>1</v>
      </c>
      <c r="W338" s="241" t="s">
        <v>58</v>
      </c>
      <c r="X338" s="324">
        <f t="shared" si="22"/>
        <v>1</v>
      </c>
      <c r="Y338" s="235" t="s">
        <v>483</v>
      </c>
      <c r="Z338" s="340" t="s">
        <v>490</v>
      </c>
      <c r="AA338" s="237" t="s">
        <v>161</v>
      </c>
      <c r="AB338" s="34"/>
      <c r="AC338" s="242"/>
      <c r="AD338" s="35"/>
      <c r="AE338" s="243"/>
      <c r="AF338" s="237"/>
      <c r="AG338" s="237"/>
    </row>
    <row r="339" spans="1:33" s="15" customFormat="1" ht="30" x14ac:dyDescent="0.15">
      <c r="A339" s="237" t="s">
        <v>43</v>
      </c>
      <c r="B339" s="238">
        <v>260</v>
      </c>
      <c r="C339" s="237" t="s">
        <v>44</v>
      </c>
      <c r="D339" s="237" t="s">
        <v>161</v>
      </c>
      <c r="E339" s="237">
        <v>1</v>
      </c>
      <c r="F339" s="237" t="s">
        <v>477</v>
      </c>
      <c r="G339" s="51" t="s">
        <v>491</v>
      </c>
      <c r="H339" s="240">
        <v>44250.834652777776</v>
      </c>
      <c r="I339" s="237" t="s">
        <v>48</v>
      </c>
      <c r="J339" s="237">
        <v>9</v>
      </c>
      <c r="K339" s="100">
        <v>2.4</v>
      </c>
      <c r="L339" s="90" t="s">
        <v>1145</v>
      </c>
      <c r="M339" s="241" t="s">
        <v>68</v>
      </c>
      <c r="N339" s="241" t="s">
        <v>68</v>
      </c>
      <c r="O339" s="241" t="s">
        <v>1163</v>
      </c>
      <c r="P339" s="237">
        <v>1</v>
      </c>
      <c r="Q339" s="88"/>
      <c r="R339" s="103">
        <f t="shared" si="20"/>
        <v>0</v>
      </c>
      <c r="S339" s="32" t="s">
        <v>58</v>
      </c>
      <c r="T339" s="103">
        <f t="shared" si="23"/>
        <v>1</v>
      </c>
      <c r="U339" s="242">
        <v>2</v>
      </c>
      <c r="V339" s="103">
        <f t="shared" si="21"/>
        <v>1</v>
      </c>
      <c r="W339" s="241" t="s">
        <v>58</v>
      </c>
      <c r="X339" s="324">
        <f t="shared" si="22"/>
        <v>1</v>
      </c>
      <c r="Y339" s="235" t="s">
        <v>477</v>
      </c>
      <c r="Z339" s="341" t="s">
        <v>491</v>
      </c>
      <c r="AA339" s="237" t="s">
        <v>161</v>
      </c>
      <c r="AB339" s="242" t="s">
        <v>112</v>
      </c>
      <c r="AC339" s="242" t="s">
        <v>112</v>
      </c>
      <c r="AD339" s="35"/>
      <c r="AE339" s="243"/>
      <c r="AF339" s="237"/>
      <c r="AG339" s="237"/>
    </row>
    <row r="340" spans="1:33" s="15" customFormat="1" ht="60" x14ac:dyDescent="0.15">
      <c r="A340" s="237" t="s">
        <v>43</v>
      </c>
      <c r="B340" s="238">
        <v>260</v>
      </c>
      <c r="C340" s="237" t="s">
        <v>44</v>
      </c>
      <c r="D340" s="237" t="s">
        <v>161</v>
      </c>
      <c r="E340" s="237">
        <v>1</v>
      </c>
      <c r="F340" s="237" t="s">
        <v>483</v>
      </c>
      <c r="G340" s="239" t="s">
        <v>492</v>
      </c>
      <c r="H340" s="240">
        <v>44250.834849537037</v>
      </c>
      <c r="I340" s="237" t="s">
        <v>48</v>
      </c>
      <c r="J340" s="237">
        <v>9</v>
      </c>
      <c r="K340" s="100">
        <v>2.4</v>
      </c>
      <c r="L340" s="90" t="s">
        <v>1145</v>
      </c>
      <c r="M340" s="241" t="s">
        <v>68</v>
      </c>
      <c r="N340" s="241" t="s">
        <v>68</v>
      </c>
      <c r="O340" s="241" t="s">
        <v>1163</v>
      </c>
      <c r="P340" s="237">
        <v>1</v>
      </c>
      <c r="Q340" s="88"/>
      <c r="R340" s="103">
        <f t="shared" si="20"/>
        <v>0</v>
      </c>
      <c r="S340" s="32"/>
      <c r="T340" s="103">
        <f t="shared" si="23"/>
        <v>1</v>
      </c>
      <c r="U340" s="242">
        <v>2</v>
      </c>
      <c r="V340" s="103">
        <f t="shared" si="21"/>
        <v>1</v>
      </c>
      <c r="W340" s="241" t="s">
        <v>58</v>
      </c>
      <c r="X340" s="324">
        <f t="shared" si="22"/>
        <v>1</v>
      </c>
      <c r="Y340" s="235" t="s">
        <v>483</v>
      </c>
      <c r="Z340" s="340" t="s">
        <v>492</v>
      </c>
      <c r="AA340" s="237" t="s">
        <v>161</v>
      </c>
      <c r="AB340" s="34"/>
      <c r="AC340" s="242"/>
      <c r="AD340" s="35"/>
      <c r="AE340" s="243"/>
      <c r="AF340" s="237"/>
      <c r="AG340" s="237"/>
    </row>
    <row r="341" spans="1:33" s="15" customFormat="1" ht="30" x14ac:dyDescent="0.15">
      <c r="A341" s="237" t="s">
        <v>43</v>
      </c>
      <c r="B341" s="238">
        <v>260</v>
      </c>
      <c r="C341" s="237" t="s">
        <v>44</v>
      </c>
      <c r="D341" s="237" t="s">
        <v>161</v>
      </c>
      <c r="E341" s="237">
        <v>1</v>
      </c>
      <c r="F341" s="237" t="s">
        <v>477</v>
      </c>
      <c r="G341" s="239" t="s">
        <v>493</v>
      </c>
      <c r="H341" s="240">
        <v>44250.836018518516</v>
      </c>
      <c r="I341" s="237" t="s">
        <v>48</v>
      </c>
      <c r="J341" s="237">
        <v>9</v>
      </c>
      <c r="K341" s="100">
        <v>2.4</v>
      </c>
      <c r="L341" s="90" t="s">
        <v>1145</v>
      </c>
      <c r="M341" s="241" t="s">
        <v>68</v>
      </c>
      <c r="N341" s="241" t="s">
        <v>68</v>
      </c>
      <c r="O341" s="241" t="s">
        <v>1163</v>
      </c>
      <c r="P341" s="237">
        <v>1</v>
      </c>
      <c r="Q341" s="88"/>
      <c r="R341" s="103">
        <f t="shared" si="20"/>
        <v>0</v>
      </c>
      <c r="S341" s="32" t="s">
        <v>58</v>
      </c>
      <c r="T341" s="103">
        <f t="shared" si="23"/>
        <v>0</v>
      </c>
      <c r="U341" s="242">
        <v>2</v>
      </c>
      <c r="V341" s="103">
        <f t="shared" si="21"/>
        <v>1</v>
      </c>
      <c r="W341" s="241" t="s">
        <v>58</v>
      </c>
      <c r="X341" s="324">
        <f t="shared" si="22"/>
        <v>1</v>
      </c>
      <c r="Y341" s="235" t="s">
        <v>477</v>
      </c>
      <c r="Z341" s="340" t="s">
        <v>493</v>
      </c>
      <c r="AA341" s="237" t="s">
        <v>161</v>
      </c>
      <c r="AB341" s="34"/>
      <c r="AC341" s="242"/>
      <c r="AD341" s="35"/>
      <c r="AE341" s="243"/>
      <c r="AF341" s="237"/>
      <c r="AG341" s="237"/>
    </row>
    <row r="342" spans="1:33" s="15" customFormat="1" ht="75" x14ac:dyDescent="0.15">
      <c r="A342" s="237" t="s">
        <v>43</v>
      </c>
      <c r="B342" s="238">
        <v>260</v>
      </c>
      <c r="C342" s="237" t="s">
        <v>44</v>
      </c>
      <c r="D342" s="237" t="s">
        <v>161</v>
      </c>
      <c r="E342" s="237">
        <v>1</v>
      </c>
      <c r="F342" s="237" t="s">
        <v>477</v>
      </c>
      <c r="G342" s="239" t="s">
        <v>494</v>
      </c>
      <c r="H342" s="240">
        <v>44250.83766203704</v>
      </c>
      <c r="I342" s="237" t="s">
        <v>48</v>
      </c>
      <c r="J342" s="237">
        <v>9</v>
      </c>
      <c r="K342" s="100">
        <v>2.4</v>
      </c>
      <c r="L342" s="90" t="s">
        <v>108</v>
      </c>
      <c r="M342" s="241" t="s">
        <v>108</v>
      </c>
      <c r="N342" s="241" t="s">
        <v>108</v>
      </c>
      <c r="O342" s="241" t="s">
        <v>108</v>
      </c>
      <c r="P342" s="237">
        <v>1</v>
      </c>
      <c r="Q342" s="88"/>
      <c r="R342" s="103">
        <f t="shared" si="20"/>
        <v>0</v>
      </c>
      <c r="S342" s="32"/>
      <c r="T342" s="103">
        <f t="shared" si="23"/>
        <v>1</v>
      </c>
      <c r="U342" s="242">
        <v>2</v>
      </c>
      <c r="V342" s="103">
        <f t="shared" si="21"/>
        <v>1</v>
      </c>
      <c r="W342" s="241" t="s">
        <v>305</v>
      </c>
      <c r="X342" s="324">
        <f t="shared" si="22"/>
        <v>1</v>
      </c>
      <c r="Y342" s="235" t="s">
        <v>477</v>
      </c>
      <c r="Z342" s="340" t="s">
        <v>494</v>
      </c>
      <c r="AA342" s="237" t="s">
        <v>161</v>
      </c>
      <c r="AB342" s="34"/>
      <c r="AC342" s="242"/>
      <c r="AD342" s="35" t="s">
        <v>1150</v>
      </c>
      <c r="AE342" s="243" t="s">
        <v>1150</v>
      </c>
      <c r="AF342" s="237"/>
      <c r="AG342" s="237"/>
    </row>
    <row r="343" spans="1:33" s="15" customFormat="1" ht="30" x14ac:dyDescent="0.15">
      <c r="A343" s="237" t="s">
        <v>43</v>
      </c>
      <c r="B343" s="238">
        <v>260</v>
      </c>
      <c r="C343" s="237" t="s">
        <v>44</v>
      </c>
      <c r="D343" s="237" t="s">
        <v>161</v>
      </c>
      <c r="E343" s="237">
        <v>1</v>
      </c>
      <c r="F343" s="237" t="s">
        <v>483</v>
      </c>
      <c r="G343" s="239" t="s">
        <v>495</v>
      </c>
      <c r="H343" s="240">
        <v>44250.838043981479</v>
      </c>
      <c r="I343" s="237" t="s">
        <v>48</v>
      </c>
      <c r="J343" s="237">
        <v>9</v>
      </c>
      <c r="K343" s="100">
        <v>2.4</v>
      </c>
      <c r="L343" s="90" t="s">
        <v>108</v>
      </c>
      <c r="M343" s="241" t="s">
        <v>108</v>
      </c>
      <c r="N343" s="241" t="s">
        <v>108</v>
      </c>
      <c r="O343" s="241" t="s">
        <v>108</v>
      </c>
      <c r="P343" s="237">
        <v>1</v>
      </c>
      <c r="Q343" s="88"/>
      <c r="R343" s="103">
        <f t="shared" si="20"/>
        <v>0</v>
      </c>
      <c r="S343" s="32"/>
      <c r="T343" s="103">
        <f t="shared" si="23"/>
        <v>0</v>
      </c>
      <c r="U343" s="242">
        <v>2</v>
      </c>
      <c r="V343" s="103">
        <f t="shared" si="21"/>
        <v>1</v>
      </c>
      <c r="W343" s="241" t="s">
        <v>58</v>
      </c>
      <c r="X343" s="324">
        <f t="shared" si="22"/>
        <v>1</v>
      </c>
      <c r="Y343" s="235" t="s">
        <v>483</v>
      </c>
      <c r="Z343" s="340" t="s">
        <v>495</v>
      </c>
      <c r="AA343" s="237" t="s">
        <v>161</v>
      </c>
      <c r="AB343" s="34"/>
      <c r="AC343" s="242"/>
      <c r="AD343" s="35"/>
      <c r="AE343" s="243"/>
      <c r="AF343" s="237"/>
      <c r="AG343" s="237"/>
    </row>
    <row r="344" spans="1:33" s="15" customFormat="1" ht="15" x14ac:dyDescent="0.15">
      <c r="A344" s="237" t="s">
        <v>43</v>
      </c>
      <c r="B344" s="238">
        <v>260</v>
      </c>
      <c r="C344" s="237" t="s">
        <v>44</v>
      </c>
      <c r="D344" s="237" t="s">
        <v>161</v>
      </c>
      <c r="E344" s="237">
        <v>1</v>
      </c>
      <c r="F344" s="237" t="s">
        <v>477</v>
      </c>
      <c r="G344" s="239" t="s">
        <v>496</v>
      </c>
      <c r="H344" s="240">
        <v>44250.838969907411</v>
      </c>
      <c r="I344" s="237" t="s">
        <v>48</v>
      </c>
      <c r="J344" s="237">
        <v>9</v>
      </c>
      <c r="K344" s="100">
        <v>2.4</v>
      </c>
      <c r="L344" s="90" t="s">
        <v>108</v>
      </c>
      <c r="M344" s="241" t="s">
        <v>108</v>
      </c>
      <c r="N344" s="241" t="s">
        <v>108</v>
      </c>
      <c r="O344" s="241" t="s">
        <v>108</v>
      </c>
      <c r="P344" s="237">
        <v>1</v>
      </c>
      <c r="Q344" s="88"/>
      <c r="R344" s="103">
        <f t="shared" si="20"/>
        <v>0</v>
      </c>
      <c r="S344" s="32"/>
      <c r="T344" s="103">
        <f t="shared" si="23"/>
        <v>0</v>
      </c>
      <c r="U344" s="242">
        <v>2</v>
      </c>
      <c r="V344" s="103">
        <f t="shared" si="21"/>
        <v>1</v>
      </c>
      <c r="W344" s="241" t="s">
        <v>58</v>
      </c>
      <c r="X344" s="324">
        <f t="shared" si="22"/>
        <v>1</v>
      </c>
      <c r="Y344" s="235" t="s">
        <v>477</v>
      </c>
      <c r="Z344" s="340" t="s">
        <v>496</v>
      </c>
      <c r="AA344" s="237" t="s">
        <v>161</v>
      </c>
      <c r="AB344" s="34"/>
      <c r="AC344" s="242"/>
      <c r="AD344" s="35"/>
      <c r="AE344" s="243"/>
      <c r="AF344" s="237"/>
      <c r="AG344" s="237"/>
    </row>
    <row r="345" spans="1:33" s="15" customFormat="1" ht="75" x14ac:dyDescent="0.15">
      <c r="A345" s="237" t="s">
        <v>43</v>
      </c>
      <c r="B345" s="238">
        <v>260</v>
      </c>
      <c r="C345" s="237" t="s">
        <v>44</v>
      </c>
      <c r="D345" s="237" t="s">
        <v>161</v>
      </c>
      <c r="E345" s="237">
        <v>1</v>
      </c>
      <c r="F345" s="237" t="s">
        <v>477</v>
      </c>
      <c r="G345" s="239" t="s">
        <v>497</v>
      </c>
      <c r="H345" s="240">
        <v>44250.839282407411</v>
      </c>
      <c r="I345" s="237" t="s">
        <v>48</v>
      </c>
      <c r="J345" s="237">
        <v>9</v>
      </c>
      <c r="K345" s="100">
        <v>2.4</v>
      </c>
      <c r="L345" s="90" t="s">
        <v>1145</v>
      </c>
      <c r="M345" s="241" t="s">
        <v>68</v>
      </c>
      <c r="N345" s="241" t="s">
        <v>68</v>
      </c>
      <c r="O345" s="241" t="s">
        <v>1163</v>
      </c>
      <c r="P345" s="237">
        <v>1</v>
      </c>
      <c r="Q345" s="88"/>
      <c r="R345" s="103">
        <f t="shared" si="20"/>
        <v>0</v>
      </c>
      <c r="S345" s="32"/>
      <c r="T345" s="103">
        <f t="shared" si="23"/>
        <v>0</v>
      </c>
      <c r="U345" s="242">
        <v>2</v>
      </c>
      <c r="V345" s="103">
        <f t="shared" si="21"/>
        <v>1</v>
      </c>
      <c r="W345" s="241" t="s">
        <v>331</v>
      </c>
      <c r="X345" s="324">
        <f t="shared" si="22"/>
        <v>1</v>
      </c>
      <c r="Y345" s="235" t="s">
        <v>477</v>
      </c>
      <c r="Z345" s="340" t="s">
        <v>497</v>
      </c>
      <c r="AA345" s="237" t="s">
        <v>161</v>
      </c>
      <c r="AB345" s="34" t="s">
        <v>112</v>
      </c>
      <c r="AC345" s="242" t="s">
        <v>112</v>
      </c>
      <c r="AD345" s="35" t="s">
        <v>1148</v>
      </c>
      <c r="AE345" s="243" t="s">
        <v>1148</v>
      </c>
      <c r="AF345" s="237"/>
      <c r="AG345" s="237"/>
    </row>
    <row r="346" spans="1:33" s="15" customFormat="1" ht="30" x14ac:dyDescent="0.15">
      <c r="A346" s="237" t="s">
        <v>43</v>
      </c>
      <c r="B346" s="238">
        <v>260</v>
      </c>
      <c r="C346" s="237" t="s">
        <v>44</v>
      </c>
      <c r="D346" s="237" t="s">
        <v>161</v>
      </c>
      <c r="E346" s="237">
        <v>1</v>
      </c>
      <c r="F346" s="237" t="s">
        <v>483</v>
      </c>
      <c r="G346" s="239" t="s">
        <v>498</v>
      </c>
      <c r="H346" s="240">
        <v>44250.840682870374</v>
      </c>
      <c r="I346" s="237" t="s">
        <v>48</v>
      </c>
      <c r="J346" s="237">
        <v>10</v>
      </c>
      <c r="K346" s="100">
        <v>2.4</v>
      </c>
      <c r="L346" s="90" t="s">
        <v>1145</v>
      </c>
      <c r="M346" s="241" t="s">
        <v>68</v>
      </c>
      <c r="N346" s="241" t="s">
        <v>68</v>
      </c>
      <c r="O346" s="241" t="s">
        <v>1163</v>
      </c>
      <c r="P346" s="237">
        <v>1</v>
      </c>
      <c r="Q346" s="88"/>
      <c r="R346" s="103">
        <f t="shared" si="20"/>
        <v>0</v>
      </c>
      <c r="S346" s="32"/>
      <c r="T346" s="103">
        <f t="shared" si="23"/>
        <v>0</v>
      </c>
      <c r="U346" s="242">
        <v>2</v>
      </c>
      <c r="V346" s="103">
        <f t="shared" si="21"/>
        <v>1</v>
      </c>
      <c r="W346" s="241" t="s">
        <v>331</v>
      </c>
      <c r="X346" s="324">
        <f t="shared" si="22"/>
        <v>1</v>
      </c>
      <c r="Y346" s="235" t="s">
        <v>483</v>
      </c>
      <c r="Z346" s="340" t="s">
        <v>498</v>
      </c>
      <c r="AA346" s="237" t="s">
        <v>161</v>
      </c>
      <c r="AB346" s="34" t="s">
        <v>112</v>
      </c>
      <c r="AC346" s="242" t="s">
        <v>112</v>
      </c>
      <c r="AD346" s="35"/>
      <c r="AE346" s="243"/>
      <c r="AF346" s="237"/>
      <c r="AG346" s="237"/>
    </row>
    <row r="347" spans="1:33" s="15" customFormat="1" ht="60" x14ac:dyDescent="0.15">
      <c r="A347" s="237" t="s">
        <v>43</v>
      </c>
      <c r="B347" s="238">
        <v>260</v>
      </c>
      <c r="C347" s="237" t="s">
        <v>44</v>
      </c>
      <c r="D347" s="237" t="s">
        <v>161</v>
      </c>
      <c r="E347" s="237">
        <v>1</v>
      </c>
      <c r="F347" s="237" t="s">
        <v>483</v>
      </c>
      <c r="G347" s="239" t="s">
        <v>499</v>
      </c>
      <c r="H347" s="240">
        <v>44250.841296296298</v>
      </c>
      <c r="I347" s="237" t="s">
        <v>48</v>
      </c>
      <c r="J347" s="237">
        <v>10</v>
      </c>
      <c r="K347" s="100">
        <v>2.4</v>
      </c>
      <c r="L347" s="90" t="s">
        <v>1145</v>
      </c>
      <c r="M347" s="241" t="s">
        <v>68</v>
      </c>
      <c r="N347" s="241" t="s">
        <v>68</v>
      </c>
      <c r="O347" s="241" t="s">
        <v>1163</v>
      </c>
      <c r="P347" s="237">
        <v>1</v>
      </c>
      <c r="Q347" s="88" t="s">
        <v>312</v>
      </c>
      <c r="R347" s="103">
        <f t="shared" si="20"/>
        <v>1</v>
      </c>
      <c r="S347" s="32"/>
      <c r="T347" s="103">
        <f t="shared" si="23"/>
        <v>0</v>
      </c>
      <c r="U347" s="242">
        <v>2</v>
      </c>
      <c r="V347" s="103">
        <f t="shared" si="21"/>
        <v>1</v>
      </c>
      <c r="W347" s="241" t="s">
        <v>305</v>
      </c>
      <c r="X347" s="324">
        <f t="shared" si="22"/>
        <v>1</v>
      </c>
      <c r="Y347" s="235" t="s">
        <v>483</v>
      </c>
      <c r="Z347" s="340" t="s">
        <v>499</v>
      </c>
      <c r="AA347" s="237" t="s">
        <v>161</v>
      </c>
      <c r="AB347" s="34"/>
      <c r="AC347" s="242"/>
      <c r="AD347" s="35"/>
      <c r="AE347" s="243"/>
      <c r="AF347" s="237"/>
      <c r="AG347" s="237"/>
    </row>
    <row r="348" spans="1:33" s="15" customFormat="1" ht="15" x14ac:dyDescent="0.15">
      <c r="A348" s="237" t="s">
        <v>43</v>
      </c>
      <c r="B348" s="238">
        <v>260</v>
      </c>
      <c r="C348" s="237" t="s">
        <v>44</v>
      </c>
      <c r="D348" s="237" t="s">
        <v>161</v>
      </c>
      <c r="E348" s="237">
        <v>1</v>
      </c>
      <c r="F348" s="237" t="s">
        <v>480</v>
      </c>
      <c r="G348" s="239" t="s">
        <v>500</v>
      </c>
      <c r="H348" s="240">
        <v>44250.841678240744</v>
      </c>
      <c r="I348" s="237" t="s">
        <v>48</v>
      </c>
      <c r="J348" s="237">
        <v>9</v>
      </c>
      <c r="K348" s="100">
        <v>2.4</v>
      </c>
      <c r="L348" s="90" t="s">
        <v>108</v>
      </c>
      <c r="M348" s="241" t="s">
        <v>108</v>
      </c>
      <c r="N348" s="241" t="s">
        <v>108</v>
      </c>
      <c r="O348" s="241" t="s">
        <v>108</v>
      </c>
      <c r="P348" s="237">
        <v>1</v>
      </c>
      <c r="Q348" s="34"/>
      <c r="R348" s="103">
        <f t="shared" si="20"/>
        <v>0</v>
      </c>
      <c r="S348" s="32"/>
      <c r="T348" s="103">
        <f t="shared" si="23"/>
        <v>0</v>
      </c>
      <c r="U348" s="242"/>
      <c r="V348" s="103">
        <f t="shared" si="21"/>
        <v>0</v>
      </c>
      <c r="W348" s="241" t="s">
        <v>331</v>
      </c>
      <c r="X348" s="324">
        <f t="shared" si="22"/>
        <v>1</v>
      </c>
      <c r="Y348" s="235" t="s">
        <v>480</v>
      </c>
      <c r="Z348" s="340" t="s">
        <v>500</v>
      </c>
      <c r="AA348" s="237" t="s">
        <v>161</v>
      </c>
      <c r="AB348" s="34" t="s">
        <v>261</v>
      </c>
      <c r="AC348" s="242" t="s">
        <v>261</v>
      </c>
      <c r="AD348" s="35"/>
      <c r="AE348" s="243"/>
      <c r="AF348" s="237"/>
      <c r="AG348" s="237"/>
    </row>
    <row r="349" spans="1:33" s="15" customFormat="1" ht="30" x14ac:dyDescent="0.15">
      <c r="A349" s="237" t="s">
        <v>43</v>
      </c>
      <c r="B349" s="238">
        <v>260</v>
      </c>
      <c r="C349" s="237" t="s">
        <v>44</v>
      </c>
      <c r="D349" s="237" t="s">
        <v>161</v>
      </c>
      <c r="E349" s="237">
        <v>1</v>
      </c>
      <c r="F349" s="237" t="s">
        <v>477</v>
      </c>
      <c r="G349" s="239" t="s">
        <v>501</v>
      </c>
      <c r="H349" s="240">
        <v>44250.842002314814</v>
      </c>
      <c r="I349" s="237" t="s">
        <v>48</v>
      </c>
      <c r="J349" s="237">
        <v>9</v>
      </c>
      <c r="K349" s="100">
        <v>2.4</v>
      </c>
      <c r="L349" s="90" t="s">
        <v>1145</v>
      </c>
      <c r="M349" s="241" t="s">
        <v>68</v>
      </c>
      <c r="N349" s="241" t="s">
        <v>68</v>
      </c>
      <c r="O349" s="241" t="s">
        <v>1163</v>
      </c>
      <c r="P349" s="237">
        <v>1</v>
      </c>
      <c r="Q349" s="34"/>
      <c r="R349" s="103">
        <f t="shared" si="20"/>
        <v>0</v>
      </c>
      <c r="S349" s="32"/>
      <c r="T349" s="103">
        <f t="shared" si="23"/>
        <v>0</v>
      </c>
      <c r="U349" s="242"/>
      <c r="V349" s="103">
        <f t="shared" si="21"/>
        <v>0</v>
      </c>
      <c r="W349" s="241" t="s">
        <v>637</v>
      </c>
      <c r="X349" s="324">
        <f t="shared" si="22"/>
        <v>1</v>
      </c>
      <c r="Y349" s="235" t="s">
        <v>477</v>
      </c>
      <c r="Z349" s="340" t="s">
        <v>501</v>
      </c>
      <c r="AA349" s="237" t="s">
        <v>161</v>
      </c>
      <c r="AB349" s="34"/>
      <c r="AC349" s="242"/>
      <c r="AD349" s="35"/>
      <c r="AE349" s="243"/>
      <c r="AF349" s="237"/>
      <c r="AG349" s="237"/>
    </row>
    <row r="350" spans="1:33" s="15" customFormat="1" ht="30" x14ac:dyDescent="0.15">
      <c r="A350" s="237" t="s">
        <v>43</v>
      </c>
      <c r="B350" s="238">
        <v>260</v>
      </c>
      <c r="C350" s="237" t="s">
        <v>44</v>
      </c>
      <c r="D350" s="237" t="s">
        <v>161</v>
      </c>
      <c r="E350" s="237">
        <v>1</v>
      </c>
      <c r="F350" s="237" t="s">
        <v>480</v>
      </c>
      <c r="G350" s="239" t="s">
        <v>502</v>
      </c>
      <c r="H350" s="240">
        <v>44250.842222222222</v>
      </c>
      <c r="I350" s="237" t="s">
        <v>48</v>
      </c>
      <c r="J350" s="237">
        <v>9</v>
      </c>
      <c r="K350" s="100">
        <v>2.4</v>
      </c>
      <c r="L350" s="90" t="s">
        <v>1145</v>
      </c>
      <c r="M350" s="241" t="s">
        <v>49</v>
      </c>
      <c r="N350" s="241" t="s">
        <v>49</v>
      </c>
      <c r="O350" s="241" t="s">
        <v>1163</v>
      </c>
      <c r="P350" s="237">
        <v>1</v>
      </c>
      <c r="Q350" s="34"/>
      <c r="R350" s="103">
        <f t="shared" si="20"/>
        <v>0</v>
      </c>
      <c r="S350" s="32"/>
      <c r="T350" s="103">
        <f t="shared" si="23"/>
        <v>0</v>
      </c>
      <c r="U350" s="242"/>
      <c r="V350" s="103">
        <f t="shared" si="21"/>
        <v>0</v>
      </c>
      <c r="W350" s="241"/>
      <c r="X350" s="324">
        <f t="shared" si="22"/>
        <v>0</v>
      </c>
      <c r="Y350" s="235" t="s">
        <v>480</v>
      </c>
      <c r="Z350" s="340" t="s">
        <v>502</v>
      </c>
      <c r="AA350" s="237" t="s">
        <v>161</v>
      </c>
      <c r="AB350" s="34"/>
      <c r="AC350" s="242"/>
      <c r="AD350" s="35"/>
      <c r="AE350" s="243"/>
      <c r="AF350" s="237"/>
      <c r="AG350" s="237"/>
    </row>
    <row r="351" spans="1:33" s="15" customFormat="1" ht="60" x14ac:dyDescent="0.15">
      <c r="A351" s="237" t="s">
        <v>43</v>
      </c>
      <c r="B351" s="238">
        <v>260</v>
      </c>
      <c r="C351" s="237" t="s">
        <v>44</v>
      </c>
      <c r="D351" s="237" t="s">
        <v>161</v>
      </c>
      <c r="E351" s="237">
        <v>1</v>
      </c>
      <c r="F351" s="237" t="s">
        <v>483</v>
      </c>
      <c r="G351" s="239" t="s">
        <v>503</v>
      </c>
      <c r="H351" s="240">
        <v>44250.842280092591</v>
      </c>
      <c r="I351" s="237" t="s">
        <v>48</v>
      </c>
      <c r="J351" s="237">
        <v>10</v>
      </c>
      <c r="K351" s="100">
        <v>2.4</v>
      </c>
      <c r="L351" s="90" t="s">
        <v>52</v>
      </c>
      <c r="M351" s="241" t="s">
        <v>52</v>
      </c>
      <c r="N351" s="241" t="s">
        <v>1143</v>
      </c>
      <c r="O351" s="241" t="s">
        <v>1143</v>
      </c>
      <c r="P351" s="237">
        <v>1</v>
      </c>
      <c r="Q351" s="88" t="s">
        <v>295</v>
      </c>
      <c r="R351" s="103">
        <f t="shared" si="20"/>
        <v>1</v>
      </c>
      <c r="S351" s="32"/>
      <c r="T351" s="103">
        <f t="shared" si="23"/>
        <v>0</v>
      </c>
      <c r="U351" s="242">
        <v>3</v>
      </c>
      <c r="V351" s="103">
        <f t="shared" si="21"/>
        <v>1</v>
      </c>
      <c r="W351" s="241"/>
      <c r="X351" s="324">
        <f t="shared" si="22"/>
        <v>0</v>
      </c>
      <c r="Y351" s="235" t="s">
        <v>483</v>
      </c>
      <c r="Z351" s="340" t="s">
        <v>503</v>
      </c>
      <c r="AA351" s="237" t="s">
        <v>161</v>
      </c>
      <c r="AB351" s="34"/>
      <c r="AC351" s="242"/>
      <c r="AD351" s="35" t="s">
        <v>1158</v>
      </c>
      <c r="AE351" s="243" t="s">
        <v>1146</v>
      </c>
      <c r="AF351" s="237"/>
      <c r="AG351" s="237"/>
    </row>
    <row r="352" spans="1:33" s="15" customFormat="1" ht="15" x14ac:dyDescent="0.15">
      <c r="A352" s="237" t="s">
        <v>43</v>
      </c>
      <c r="B352" s="238">
        <v>260</v>
      </c>
      <c r="C352" s="237" t="s">
        <v>44</v>
      </c>
      <c r="D352" s="237" t="s">
        <v>161</v>
      </c>
      <c r="E352" s="237">
        <v>1</v>
      </c>
      <c r="F352" s="237" t="s">
        <v>480</v>
      </c>
      <c r="G352" s="239" t="s">
        <v>505</v>
      </c>
      <c r="H352" s="240">
        <v>44250.842581018522</v>
      </c>
      <c r="I352" s="237" t="s">
        <v>48</v>
      </c>
      <c r="J352" s="237">
        <v>9</v>
      </c>
      <c r="K352" s="100">
        <v>2.4</v>
      </c>
      <c r="L352" s="90" t="s">
        <v>52</v>
      </c>
      <c r="M352" s="241" t="s">
        <v>52</v>
      </c>
      <c r="N352" s="241" t="s">
        <v>1143</v>
      </c>
      <c r="O352" s="241" t="s">
        <v>1143</v>
      </c>
      <c r="P352" s="237">
        <v>1</v>
      </c>
      <c r="Q352" s="88"/>
      <c r="R352" s="103">
        <f t="shared" si="20"/>
        <v>0</v>
      </c>
      <c r="S352" s="32" t="s">
        <v>58</v>
      </c>
      <c r="T352" s="103">
        <f t="shared" si="23"/>
        <v>0</v>
      </c>
      <c r="U352" s="242">
        <v>3</v>
      </c>
      <c r="V352" s="103">
        <f t="shared" si="21"/>
        <v>1</v>
      </c>
      <c r="W352" s="241" t="s">
        <v>58</v>
      </c>
      <c r="X352" s="324">
        <f t="shared" si="22"/>
        <v>1</v>
      </c>
      <c r="Y352" s="235" t="s">
        <v>480</v>
      </c>
      <c r="Z352" s="340" t="s">
        <v>505</v>
      </c>
      <c r="AA352" s="237" t="s">
        <v>161</v>
      </c>
      <c r="AB352" s="34"/>
      <c r="AC352" s="242"/>
      <c r="AD352" s="35"/>
      <c r="AE352" s="243"/>
      <c r="AF352" s="237"/>
      <c r="AG352" s="237"/>
    </row>
    <row r="353" spans="1:33" s="15" customFormat="1" ht="30" x14ac:dyDescent="0.15">
      <c r="A353" s="237" t="s">
        <v>43</v>
      </c>
      <c r="B353" s="238">
        <v>260</v>
      </c>
      <c r="C353" s="237" t="s">
        <v>44</v>
      </c>
      <c r="D353" s="237" t="s">
        <v>161</v>
      </c>
      <c r="E353" s="237">
        <v>1</v>
      </c>
      <c r="F353" s="237" t="s">
        <v>477</v>
      </c>
      <c r="G353" s="239" t="s">
        <v>506</v>
      </c>
      <c r="H353" s="240">
        <v>44250.842604166668</v>
      </c>
      <c r="I353" s="237" t="s">
        <v>48</v>
      </c>
      <c r="J353" s="237">
        <v>9</v>
      </c>
      <c r="K353" s="100">
        <v>2.4</v>
      </c>
      <c r="L353" s="90" t="s">
        <v>52</v>
      </c>
      <c r="M353" s="241" t="s">
        <v>52</v>
      </c>
      <c r="N353" s="241" t="s">
        <v>1143</v>
      </c>
      <c r="O353" s="241" t="s">
        <v>1143</v>
      </c>
      <c r="P353" s="237">
        <v>1</v>
      </c>
      <c r="Q353" s="88"/>
      <c r="R353" s="103">
        <f t="shared" si="20"/>
        <v>0</v>
      </c>
      <c r="S353" s="32"/>
      <c r="T353" s="103">
        <f t="shared" si="23"/>
        <v>1</v>
      </c>
      <c r="U353" s="242">
        <v>3</v>
      </c>
      <c r="V353" s="103">
        <f t="shared" si="21"/>
        <v>1</v>
      </c>
      <c r="W353" s="241" t="s">
        <v>58</v>
      </c>
      <c r="X353" s="324">
        <f t="shared" si="22"/>
        <v>1</v>
      </c>
      <c r="Y353" s="235" t="s">
        <v>477</v>
      </c>
      <c r="Z353" s="340" t="s">
        <v>506</v>
      </c>
      <c r="AA353" s="237" t="s">
        <v>161</v>
      </c>
      <c r="AB353" s="34"/>
      <c r="AC353" s="242"/>
      <c r="AD353" s="35"/>
      <c r="AE353" s="243"/>
      <c r="AF353" s="237"/>
      <c r="AG353" s="237"/>
    </row>
    <row r="354" spans="1:33" s="15" customFormat="1" ht="15" x14ac:dyDescent="0.15">
      <c r="A354" s="237" t="s">
        <v>43</v>
      </c>
      <c r="B354" s="238">
        <v>260</v>
      </c>
      <c r="C354" s="237" t="s">
        <v>44</v>
      </c>
      <c r="D354" s="237" t="s">
        <v>161</v>
      </c>
      <c r="E354" s="237">
        <v>1</v>
      </c>
      <c r="F354" s="237" t="s">
        <v>477</v>
      </c>
      <c r="G354" s="239" t="s">
        <v>507</v>
      </c>
      <c r="H354" s="240">
        <v>44250.842881944445</v>
      </c>
      <c r="I354" s="237" t="s">
        <v>48</v>
      </c>
      <c r="J354" s="237">
        <v>9</v>
      </c>
      <c r="K354" s="100">
        <v>2.4</v>
      </c>
      <c r="L354" s="90" t="s">
        <v>52</v>
      </c>
      <c r="M354" s="241" t="s">
        <v>52</v>
      </c>
      <c r="N354" s="241" t="s">
        <v>1143</v>
      </c>
      <c r="O354" s="241" t="s">
        <v>1143</v>
      </c>
      <c r="P354" s="237">
        <v>1</v>
      </c>
      <c r="Q354" s="88"/>
      <c r="R354" s="103">
        <f t="shared" si="20"/>
        <v>0</v>
      </c>
      <c r="S354" s="32" t="s">
        <v>58</v>
      </c>
      <c r="T354" s="103">
        <f t="shared" si="23"/>
        <v>0</v>
      </c>
      <c r="U354" s="242">
        <v>3</v>
      </c>
      <c r="V354" s="103">
        <f t="shared" si="21"/>
        <v>1</v>
      </c>
      <c r="W354" s="241" t="s">
        <v>58</v>
      </c>
      <c r="X354" s="324">
        <f t="shared" si="22"/>
        <v>1</v>
      </c>
      <c r="Y354" s="235" t="s">
        <v>477</v>
      </c>
      <c r="Z354" s="340" t="s">
        <v>507</v>
      </c>
      <c r="AA354" s="237" t="s">
        <v>161</v>
      </c>
      <c r="AB354" s="34"/>
      <c r="AC354" s="242"/>
      <c r="AD354" s="35"/>
      <c r="AE354" s="243"/>
      <c r="AF354" s="237"/>
      <c r="AG354" s="237"/>
    </row>
    <row r="355" spans="1:33" s="15" customFormat="1" ht="60" x14ac:dyDescent="0.15">
      <c r="A355" s="237" t="s">
        <v>43</v>
      </c>
      <c r="B355" s="238">
        <v>260</v>
      </c>
      <c r="C355" s="237" t="s">
        <v>44</v>
      </c>
      <c r="D355" s="237" t="s">
        <v>161</v>
      </c>
      <c r="E355" s="237">
        <v>1</v>
      </c>
      <c r="F355" s="237" t="s">
        <v>483</v>
      </c>
      <c r="G355" s="239" t="s">
        <v>508</v>
      </c>
      <c r="H355" s="240">
        <v>44250.843078703707</v>
      </c>
      <c r="I355" s="237" t="s">
        <v>48</v>
      </c>
      <c r="J355" s="237">
        <v>10</v>
      </c>
      <c r="K355" s="100">
        <v>2.4</v>
      </c>
      <c r="L355" s="90" t="s">
        <v>431</v>
      </c>
      <c r="M355" s="241" t="s">
        <v>431</v>
      </c>
      <c r="N355" s="241" t="s">
        <v>1162</v>
      </c>
      <c r="O355" s="241" t="s">
        <v>1162</v>
      </c>
      <c r="P355" s="237">
        <v>1</v>
      </c>
      <c r="Q355" s="88"/>
      <c r="R355" s="103">
        <f t="shared" si="20"/>
        <v>0</v>
      </c>
      <c r="S355" s="32"/>
      <c r="T355" s="103">
        <f t="shared" si="23"/>
        <v>1</v>
      </c>
      <c r="U355" s="242">
        <v>3</v>
      </c>
      <c r="V355" s="103">
        <f t="shared" si="21"/>
        <v>1</v>
      </c>
      <c r="W355" s="241" t="s">
        <v>331</v>
      </c>
      <c r="X355" s="324">
        <f t="shared" si="22"/>
        <v>1</v>
      </c>
      <c r="Y355" s="235" t="s">
        <v>483</v>
      </c>
      <c r="Z355" s="340" t="s">
        <v>508</v>
      </c>
      <c r="AA355" s="237" t="s">
        <v>161</v>
      </c>
      <c r="AB355" s="34" t="s">
        <v>74</v>
      </c>
      <c r="AC355" s="242" t="s">
        <v>74</v>
      </c>
      <c r="AD355" s="35" t="s">
        <v>509</v>
      </c>
      <c r="AE355" s="243" t="s">
        <v>509</v>
      </c>
      <c r="AF355" s="237"/>
      <c r="AG355" s="237"/>
    </row>
    <row r="356" spans="1:33" s="15" customFormat="1" ht="15" x14ac:dyDescent="0.15">
      <c r="A356" s="237" t="s">
        <v>43</v>
      </c>
      <c r="B356" s="238">
        <v>260</v>
      </c>
      <c r="C356" s="237" t="s">
        <v>44</v>
      </c>
      <c r="D356" s="237" t="s">
        <v>161</v>
      </c>
      <c r="E356" s="237">
        <v>1</v>
      </c>
      <c r="F356" s="237" t="s">
        <v>477</v>
      </c>
      <c r="G356" s="239" t="s">
        <v>510</v>
      </c>
      <c r="H356" s="240">
        <v>44250.843287037038</v>
      </c>
      <c r="I356" s="237" t="s">
        <v>48</v>
      </c>
      <c r="J356" s="237">
        <v>9</v>
      </c>
      <c r="K356" s="100">
        <v>2.4</v>
      </c>
      <c r="L356" s="90" t="s">
        <v>431</v>
      </c>
      <c r="M356" s="241" t="s">
        <v>431</v>
      </c>
      <c r="N356" s="241" t="s">
        <v>1162</v>
      </c>
      <c r="O356" s="241" t="s">
        <v>1162</v>
      </c>
      <c r="P356" s="237">
        <v>1</v>
      </c>
      <c r="Q356" s="88"/>
      <c r="R356" s="103">
        <f t="shared" si="20"/>
        <v>0</v>
      </c>
      <c r="S356" s="32" t="s">
        <v>58</v>
      </c>
      <c r="T356" s="103">
        <f t="shared" si="23"/>
        <v>0</v>
      </c>
      <c r="U356" s="242">
        <v>3</v>
      </c>
      <c r="V356" s="103">
        <f t="shared" si="21"/>
        <v>1</v>
      </c>
      <c r="W356" s="241" t="s">
        <v>58</v>
      </c>
      <c r="X356" s="324">
        <f t="shared" si="22"/>
        <v>1</v>
      </c>
      <c r="Y356" s="235" t="s">
        <v>477</v>
      </c>
      <c r="Z356" s="340" t="s">
        <v>510</v>
      </c>
      <c r="AA356" s="237" t="s">
        <v>161</v>
      </c>
      <c r="AB356" s="34"/>
      <c r="AC356" s="242"/>
      <c r="AD356" s="35"/>
      <c r="AE356" s="243"/>
      <c r="AF356" s="237"/>
      <c r="AG356" s="237"/>
    </row>
    <row r="357" spans="1:33" s="15" customFormat="1" ht="45" x14ac:dyDescent="0.15">
      <c r="A357" s="237" t="s">
        <v>43</v>
      </c>
      <c r="B357" s="238">
        <v>260</v>
      </c>
      <c r="C357" s="237" t="s">
        <v>44</v>
      </c>
      <c r="D357" s="237" t="s">
        <v>161</v>
      </c>
      <c r="E357" s="237">
        <v>1</v>
      </c>
      <c r="F357" s="237" t="s">
        <v>477</v>
      </c>
      <c r="G357" s="239" t="s">
        <v>511</v>
      </c>
      <c r="H357" s="240">
        <v>44250.843622685185</v>
      </c>
      <c r="I357" s="237" t="s">
        <v>48</v>
      </c>
      <c r="J357" s="237">
        <v>9</v>
      </c>
      <c r="K357" s="100">
        <v>2.4</v>
      </c>
      <c r="L357" s="90" t="s">
        <v>52</v>
      </c>
      <c r="M357" s="241" t="s">
        <v>52</v>
      </c>
      <c r="N357" s="241" t="s">
        <v>1143</v>
      </c>
      <c r="O357" s="241" t="s">
        <v>1143</v>
      </c>
      <c r="P357" s="237">
        <v>1</v>
      </c>
      <c r="Q357" s="88"/>
      <c r="R357" s="103">
        <f t="shared" si="20"/>
        <v>0</v>
      </c>
      <c r="S357" s="32" t="s">
        <v>340</v>
      </c>
      <c r="T357" s="103">
        <f t="shared" si="23"/>
        <v>1</v>
      </c>
      <c r="U357" s="242">
        <v>3</v>
      </c>
      <c r="V357" s="103">
        <f t="shared" si="21"/>
        <v>1</v>
      </c>
      <c r="W357" s="241" t="s">
        <v>331</v>
      </c>
      <c r="X357" s="324">
        <f t="shared" si="22"/>
        <v>1</v>
      </c>
      <c r="Y357" s="235" t="s">
        <v>477</v>
      </c>
      <c r="Z357" s="340" t="s">
        <v>511</v>
      </c>
      <c r="AA357" s="237" t="s">
        <v>161</v>
      </c>
      <c r="AB357" s="34" t="s">
        <v>74</v>
      </c>
      <c r="AC357" s="242" t="s">
        <v>74</v>
      </c>
      <c r="AD357" s="35" t="s">
        <v>512</v>
      </c>
      <c r="AE357" s="243" t="s">
        <v>513</v>
      </c>
      <c r="AF357" s="237"/>
      <c r="AG357" s="237"/>
    </row>
    <row r="358" spans="1:33" s="15" customFormat="1" ht="30" x14ac:dyDescent="0.15">
      <c r="A358" s="237" t="s">
        <v>43</v>
      </c>
      <c r="B358" s="238">
        <v>260</v>
      </c>
      <c r="C358" s="237" t="s">
        <v>44</v>
      </c>
      <c r="D358" s="237" t="s">
        <v>161</v>
      </c>
      <c r="E358" s="237">
        <v>1</v>
      </c>
      <c r="F358" s="237" t="s">
        <v>480</v>
      </c>
      <c r="G358" s="239" t="s">
        <v>514</v>
      </c>
      <c r="H358" s="240">
        <v>44250.843657407408</v>
      </c>
      <c r="I358" s="237" t="s">
        <v>48</v>
      </c>
      <c r="J358" s="237">
        <v>9</v>
      </c>
      <c r="K358" s="100">
        <v>2.4</v>
      </c>
      <c r="L358" s="90" t="s">
        <v>52</v>
      </c>
      <c r="M358" s="241" t="s">
        <v>52</v>
      </c>
      <c r="N358" s="241" t="s">
        <v>1143</v>
      </c>
      <c r="O358" s="241" t="s">
        <v>1143</v>
      </c>
      <c r="P358" s="237">
        <v>1</v>
      </c>
      <c r="Q358" s="88"/>
      <c r="R358" s="103">
        <f t="shared" si="20"/>
        <v>0</v>
      </c>
      <c r="S358" s="32" t="s">
        <v>302</v>
      </c>
      <c r="T358" s="103">
        <f t="shared" si="23"/>
        <v>1</v>
      </c>
      <c r="U358" s="242">
        <v>3</v>
      </c>
      <c r="V358" s="103">
        <f t="shared" si="21"/>
        <v>1</v>
      </c>
      <c r="W358" s="241" t="s">
        <v>302</v>
      </c>
      <c r="X358" s="324">
        <f t="shared" si="22"/>
        <v>1</v>
      </c>
      <c r="Y358" s="235" t="s">
        <v>480</v>
      </c>
      <c r="Z358" s="340" t="s">
        <v>514</v>
      </c>
      <c r="AA358" s="237" t="s">
        <v>161</v>
      </c>
      <c r="AB358" s="34"/>
      <c r="AC358" s="242"/>
      <c r="AD358" s="35"/>
      <c r="AE358" s="243"/>
      <c r="AF358" s="237"/>
      <c r="AG358" s="237"/>
    </row>
    <row r="359" spans="1:33" s="15" customFormat="1" ht="30" x14ac:dyDescent="0.15">
      <c r="A359" s="237" t="s">
        <v>43</v>
      </c>
      <c r="B359" s="238">
        <v>260</v>
      </c>
      <c r="C359" s="237" t="s">
        <v>44</v>
      </c>
      <c r="D359" s="237" t="s">
        <v>161</v>
      </c>
      <c r="E359" s="237">
        <v>1</v>
      </c>
      <c r="F359" s="237" t="s">
        <v>477</v>
      </c>
      <c r="G359" s="239" t="s">
        <v>515</v>
      </c>
      <c r="H359" s="240">
        <v>44250.844143518516</v>
      </c>
      <c r="I359" s="237" t="s">
        <v>48</v>
      </c>
      <c r="J359" s="237">
        <v>9</v>
      </c>
      <c r="K359" s="100">
        <v>2.4</v>
      </c>
      <c r="L359" s="90" t="s">
        <v>52</v>
      </c>
      <c r="M359" s="241" t="s">
        <v>52</v>
      </c>
      <c r="N359" s="241" t="s">
        <v>1143</v>
      </c>
      <c r="O359" s="241" t="s">
        <v>1143</v>
      </c>
      <c r="P359" s="237">
        <v>1</v>
      </c>
      <c r="Q359" s="88"/>
      <c r="R359" s="103">
        <f t="shared" si="20"/>
        <v>0</v>
      </c>
      <c r="S359" s="32" t="s">
        <v>58</v>
      </c>
      <c r="T359" s="103">
        <f t="shared" si="23"/>
        <v>1</v>
      </c>
      <c r="U359" s="242">
        <v>3</v>
      </c>
      <c r="V359" s="103">
        <f t="shared" si="21"/>
        <v>1</v>
      </c>
      <c r="W359" s="241" t="s">
        <v>58</v>
      </c>
      <c r="X359" s="324">
        <f t="shared" si="22"/>
        <v>1</v>
      </c>
      <c r="Y359" s="235" t="s">
        <v>477</v>
      </c>
      <c r="Z359" s="340" t="s">
        <v>515</v>
      </c>
      <c r="AA359" s="237" t="s">
        <v>161</v>
      </c>
      <c r="AB359" s="34"/>
      <c r="AC359" s="242"/>
      <c r="AD359" s="35"/>
      <c r="AE359" s="243"/>
      <c r="AF359" s="237"/>
      <c r="AG359" s="237"/>
    </row>
    <row r="360" spans="1:33" s="15" customFormat="1" ht="30" x14ac:dyDescent="0.15">
      <c r="A360" s="237" t="s">
        <v>43</v>
      </c>
      <c r="B360" s="238">
        <v>260</v>
      </c>
      <c r="C360" s="237" t="s">
        <v>44</v>
      </c>
      <c r="D360" s="237" t="s">
        <v>161</v>
      </c>
      <c r="E360" s="237">
        <v>1</v>
      </c>
      <c r="F360" s="237" t="s">
        <v>483</v>
      </c>
      <c r="G360" s="239" t="s">
        <v>516</v>
      </c>
      <c r="H360" s="240">
        <v>44250.844143518516</v>
      </c>
      <c r="I360" s="237" t="s">
        <v>48</v>
      </c>
      <c r="J360" s="237">
        <v>10</v>
      </c>
      <c r="K360" s="100">
        <v>2.4</v>
      </c>
      <c r="L360" s="90" t="s">
        <v>52</v>
      </c>
      <c r="M360" s="241" t="s">
        <v>52</v>
      </c>
      <c r="N360" s="241" t="s">
        <v>1143</v>
      </c>
      <c r="O360" s="241" t="s">
        <v>1143</v>
      </c>
      <c r="P360" s="237">
        <v>1</v>
      </c>
      <c r="Q360" s="88"/>
      <c r="R360" s="103">
        <f t="shared" si="20"/>
        <v>0</v>
      </c>
      <c r="S360" s="32" t="s">
        <v>58</v>
      </c>
      <c r="T360" s="103">
        <f t="shared" si="23"/>
        <v>1</v>
      </c>
      <c r="U360" s="242">
        <v>3</v>
      </c>
      <c r="V360" s="103">
        <f t="shared" si="21"/>
        <v>1</v>
      </c>
      <c r="W360" s="241" t="s">
        <v>58</v>
      </c>
      <c r="X360" s="324">
        <f t="shared" si="22"/>
        <v>1</v>
      </c>
      <c r="Y360" s="235" t="s">
        <v>483</v>
      </c>
      <c r="Z360" s="340" t="s">
        <v>516</v>
      </c>
      <c r="AA360" s="237" t="s">
        <v>161</v>
      </c>
      <c r="AB360" s="34"/>
      <c r="AC360" s="242"/>
      <c r="AD360" s="35"/>
      <c r="AE360" s="243"/>
      <c r="AF360" s="237"/>
      <c r="AG360" s="237"/>
    </row>
    <row r="361" spans="1:33" s="15" customFormat="1" ht="45" x14ac:dyDescent="0.15">
      <c r="A361" s="237" t="s">
        <v>43</v>
      </c>
      <c r="B361" s="238">
        <v>260</v>
      </c>
      <c r="C361" s="237" t="s">
        <v>44</v>
      </c>
      <c r="D361" s="237" t="s">
        <v>161</v>
      </c>
      <c r="E361" s="237">
        <v>1</v>
      </c>
      <c r="F361" s="237" t="s">
        <v>480</v>
      </c>
      <c r="G361" s="239" t="s">
        <v>517</v>
      </c>
      <c r="H361" s="240">
        <v>44250.844398148147</v>
      </c>
      <c r="I361" s="237" t="s">
        <v>48</v>
      </c>
      <c r="J361" s="237">
        <v>9</v>
      </c>
      <c r="K361" s="100">
        <v>2.4</v>
      </c>
      <c r="L361" s="90" t="s">
        <v>52</v>
      </c>
      <c r="M361" s="241" t="s">
        <v>52</v>
      </c>
      <c r="N361" s="241" t="s">
        <v>1143</v>
      </c>
      <c r="O361" s="241" t="s">
        <v>1143</v>
      </c>
      <c r="P361" s="237">
        <v>1</v>
      </c>
      <c r="Q361" s="88" t="s">
        <v>312</v>
      </c>
      <c r="R361" s="103">
        <f t="shared" si="20"/>
        <v>1</v>
      </c>
      <c r="S361" s="32" t="s">
        <v>58</v>
      </c>
      <c r="T361" s="103">
        <f t="shared" si="23"/>
        <v>1</v>
      </c>
      <c r="U361" s="242">
        <v>3</v>
      </c>
      <c r="V361" s="103">
        <f t="shared" si="21"/>
        <v>1</v>
      </c>
      <c r="W361" s="241" t="s">
        <v>58</v>
      </c>
      <c r="X361" s="324">
        <f t="shared" si="22"/>
        <v>1</v>
      </c>
      <c r="Y361" s="235" t="s">
        <v>480</v>
      </c>
      <c r="Z361" s="340" t="s">
        <v>517</v>
      </c>
      <c r="AA361" s="237" t="s">
        <v>161</v>
      </c>
      <c r="AB361" s="34"/>
      <c r="AC361" s="242"/>
      <c r="AD361" s="35"/>
      <c r="AE361" s="243"/>
      <c r="AF361" s="237"/>
      <c r="AG361" s="237"/>
    </row>
    <row r="362" spans="1:33" s="15" customFormat="1" ht="60" x14ac:dyDescent="0.15">
      <c r="A362" s="237" t="s">
        <v>43</v>
      </c>
      <c r="B362" s="238">
        <v>260</v>
      </c>
      <c r="C362" s="237" t="s">
        <v>44</v>
      </c>
      <c r="D362" s="237" t="s">
        <v>161</v>
      </c>
      <c r="E362" s="237">
        <v>1</v>
      </c>
      <c r="F362" s="237" t="s">
        <v>477</v>
      </c>
      <c r="G362" s="239" t="s">
        <v>518</v>
      </c>
      <c r="H362" s="240">
        <v>44250.844756944447</v>
      </c>
      <c r="I362" s="237" t="s">
        <v>48</v>
      </c>
      <c r="J362" s="237">
        <v>9</v>
      </c>
      <c r="K362" s="100">
        <v>2.4</v>
      </c>
      <c r="L362" s="90" t="s">
        <v>108</v>
      </c>
      <c r="M362" s="241" t="s">
        <v>108</v>
      </c>
      <c r="N362" s="241" t="s">
        <v>108</v>
      </c>
      <c r="O362" s="241" t="s">
        <v>108</v>
      </c>
      <c r="P362" s="237">
        <v>1</v>
      </c>
      <c r="Q362" s="88" t="s">
        <v>295</v>
      </c>
      <c r="R362" s="103">
        <f t="shared" si="20"/>
        <v>1</v>
      </c>
      <c r="S362" s="32"/>
      <c r="T362" s="103">
        <f t="shared" si="23"/>
        <v>1</v>
      </c>
      <c r="U362" s="242">
        <v>4</v>
      </c>
      <c r="V362" s="103">
        <f t="shared" si="21"/>
        <v>1</v>
      </c>
      <c r="W362" s="241" t="s">
        <v>331</v>
      </c>
      <c r="X362" s="324">
        <f t="shared" si="22"/>
        <v>1</v>
      </c>
      <c r="Y362" s="235" t="s">
        <v>477</v>
      </c>
      <c r="Z362" s="340" t="s">
        <v>518</v>
      </c>
      <c r="AA362" s="237" t="s">
        <v>161</v>
      </c>
      <c r="AB362" s="34" t="s">
        <v>519</v>
      </c>
      <c r="AC362" s="242" t="s">
        <v>519</v>
      </c>
      <c r="AD362" s="35" t="s">
        <v>109</v>
      </c>
      <c r="AE362" s="243" t="s">
        <v>109</v>
      </c>
      <c r="AF362" s="237"/>
      <c r="AG362" s="237"/>
    </row>
    <row r="363" spans="1:33" s="15" customFormat="1" ht="15" x14ac:dyDescent="0.15">
      <c r="A363" s="237" t="s">
        <v>43</v>
      </c>
      <c r="B363" s="238">
        <v>260</v>
      </c>
      <c r="C363" s="237" t="s">
        <v>44</v>
      </c>
      <c r="D363" s="237" t="s">
        <v>161</v>
      </c>
      <c r="E363" s="237">
        <v>1</v>
      </c>
      <c r="F363" s="237" t="s">
        <v>480</v>
      </c>
      <c r="G363" s="239" t="s">
        <v>520</v>
      </c>
      <c r="H363" s="240">
        <v>44250.844895833332</v>
      </c>
      <c r="I363" s="237" t="s">
        <v>48</v>
      </c>
      <c r="J363" s="237">
        <v>9</v>
      </c>
      <c r="K363" s="100">
        <v>2.4</v>
      </c>
      <c r="L363" s="90" t="s">
        <v>108</v>
      </c>
      <c r="M363" s="241" t="s">
        <v>108</v>
      </c>
      <c r="N363" s="241" t="s">
        <v>108</v>
      </c>
      <c r="O363" s="241" t="s">
        <v>108</v>
      </c>
      <c r="P363" s="237">
        <v>1</v>
      </c>
      <c r="Q363" s="88"/>
      <c r="R363" s="103">
        <f t="shared" si="20"/>
        <v>0</v>
      </c>
      <c r="S363" s="32"/>
      <c r="T363" s="103">
        <f t="shared" si="23"/>
        <v>0</v>
      </c>
      <c r="U363" s="242">
        <v>4</v>
      </c>
      <c r="V363" s="103">
        <f t="shared" si="21"/>
        <v>1</v>
      </c>
      <c r="W363" s="241" t="s">
        <v>331</v>
      </c>
      <c r="X363" s="324">
        <f t="shared" si="22"/>
        <v>1</v>
      </c>
      <c r="Y363" s="235" t="s">
        <v>480</v>
      </c>
      <c r="Z363" s="340" t="s">
        <v>520</v>
      </c>
      <c r="AA363" s="237" t="s">
        <v>161</v>
      </c>
      <c r="AB363" s="34" t="s">
        <v>112</v>
      </c>
      <c r="AC363" s="242" t="s">
        <v>112</v>
      </c>
      <c r="AD363" s="35"/>
      <c r="AE363" s="243"/>
      <c r="AF363" s="237"/>
      <c r="AG363" s="237"/>
    </row>
    <row r="364" spans="1:33" s="15" customFormat="1" ht="45" x14ac:dyDescent="0.15">
      <c r="A364" s="237" t="s">
        <v>43</v>
      </c>
      <c r="B364" s="238">
        <v>260</v>
      </c>
      <c r="C364" s="237" t="s">
        <v>44</v>
      </c>
      <c r="D364" s="237" t="s">
        <v>161</v>
      </c>
      <c r="E364" s="237">
        <v>1</v>
      </c>
      <c r="F364" s="237" t="s">
        <v>483</v>
      </c>
      <c r="G364" s="239" t="s">
        <v>521</v>
      </c>
      <c r="H364" s="240">
        <v>44250.845023148147</v>
      </c>
      <c r="I364" s="237" t="s">
        <v>48</v>
      </c>
      <c r="J364" s="237">
        <v>10</v>
      </c>
      <c r="K364" s="100">
        <v>2.4</v>
      </c>
      <c r="L364" s="90" t="s">
        <v>52</v>
      </c>
      <c r="M364" s="241" t="s">
        <v>52</v>
      </c>
      <c r="N364" s="241" t="s">
        <v>1143</v>
      </c>
      <c r="O364" s="241" t="s">
        <v>1143</v>
      </c>
      <c r="P364" s="237">
        <v>1</v>
      </c>
      <c r="Q364" s="88" t="s">
        <v>315</v>
      </c>
      <c r="R364" s="103">
        <f t="shared" si="20"/>
        <v>1</v>
      </c>
      <c r="S364" s="32"/>
      <c r="T364" s="103">
        <f t="shared" si="23"/>
        <v>0</v>
      </c>
      <c r="U364" s="242"/>
      <c r="V364" s="103">
        <f t="shared" si="21"/>
        <v>0</v>
      </c>
      <c r="W364" s="241" t="s">
        <v>305</v>
      </c>
      <c r="X364" s="324">
        <f t="shared" si="22"/>
        <v>1</v>
      </c>
      <c r="Y364" s="235" t="s">
        <v>483</v>
      </c>
      <c r="Z364" s="340" t="s">
        <v>521</v>
      </c>
      <c r="AA364" s="237" t="s">
        <v>161</v>
      </c>
      <c r="AB364" s="34"/>
      <c r="AC364" s="242"/>
      <c r="AD364" s="35"/>
      <c r="AE364" s="243"/>
      <c r="AF364" s="237"/>
      <c r="AG364" s="237"/>
    </row>
    <row r="365" spans="1:33" s="15" customFormat="1" ht="30" x14ac:dyDescent="0.15">
      <c r="A365" s="237" t="s">
        <v>43</v>
      </c>
      <c r="B365" s="238">
        <v>260</v>
      </c>
      <c r="C365" s="237" t="s">
        <v>44</v>
      </c>
      <c r="D365" s="237" t="s">
        <v>161</v>
      </c>
      <c r="E365" s="237">
        <v>1</v>
      </c>
      <c r="F365" s="237" t="s">
        <v>477</v>
      </c>
      <c r="G365" s="239" t="s">
        <v>522</v>
      </c>
      <c r="H365" s="240">
        <v>44250.845289351855</v>
      </c>
      <c r="I365" s="237" t="s">
        <v>48</v>
      </c>
      <c r="J365" s="237">
        <v>9</v>
      </c>
      <c r="K365" s="100">
        <v>2.4</v>
      </c>
      <c r="L365" s="90" t="s">
        <v>108</v>
      </c>
      <c r="M365" s="241" t="s">
        <v>108</v>
      </c>
      <c r="N365" s="241" t="s">
        <v>108</v>
      </c>
      <c r="O365" s="241" t="s">
        <v>108</v>
      </c>
      <c r="P365" s="237">
        <v>1</v>
      </c>
      <c r="Q365" s="88"/>
      <c r="R365" s="103">
        <f t="shared" si="20"/>
        <v>0</v>
      </c>
      <c r="S365" s="32" t="s">
        <v>58</v>
      </c>
      <c r="T365" s="103">
        <f t="shared" si="23"/>
        <v>0</v>
      </c>
      <c r="U365" s="242">
        <v>4</v>
      </c>
      <c r="V365" s="103">
        <f t="shared" si="21"/>
        <v>1</v>
      </c>
      <c r="W365" s="241" t="s">
        <v>58</v>
      </c>
      <c r="X365" s="324">
        <f t="shared" si="22"/>
        <v>1</v>
      </c>
      <c r="Y365" s="235" t="s">
        <v>477</v>
      </c>
      <c r="Z365" s="340" t="s">
        <v>522</v>
      </c>
      <c r="AA365" s="237" t="s">
        <v>161</v>
      </c>
      <c r="AB365" s="34" t="s">
        <v>112</v>
      </c>
      <c r="AC365" s="242" t="s">
        <v>112</v>
      </c>
      <c r="AD365" s="35"/>
      <c r="AE365" s="243"/>
      <c r="AF365" s="237"/>
      <c r="AG365" s="237"/>
    </row>
    <row r="366" spans="1:33" s="15" customFormat="1" ht="45" x14ac:dyDescent="0.15">
      <c r="A366" s="237" t="s">
        <v>43</v>
      </c>
      <c r="B366" s="238">
        <v>260</v>
      </c>
      <c r="C366" s="237" t="s">
        <v>44</v>
      </c>
      <c r="D366" s="237" t="s">
        <v>161</v>
      </c>
      <c r="E366" s="237">
        <v>1</v>
      </c>
      <c r="F366" s="237" t="s">
        <v>483</v>
      </c>
      <c r="G366" s="239" t="s">
        <v>523</v>
      </c>
      <c r="H366" s="240">
        <v>44250.845451388886</v>
      </c>
      <c r="I366" s="237" t="s">
        <v>48</v>
      </c>
      <c r="J366" s="237">
        <v>10</v>
      </c>
      <c r="K366" s="100">
        <v>2.4</v>
      </c>
      <c r="L366" s="90" t="s">
        <v>108</v>
      </c>
      <c r="M366" s="241" t="s">
        <v>108</v>
      </c>
      <c r="N366" s="241" t="s">
        <v>108</v>
      </c>
      <c r="O366" s="241" t="s">
        <v>108</v>
      </c>
      <c r="P366" s="237">
        <v>1</v>
      </c>
      <c r="Q366" s="88"/>
      <c r="R366" s="103">
        <f t="shared" si="20"/>
        <v>0</v>
      </c>
      <c r="S366" s="32"/>
      <c r="T366" s="103">
        <f t="shared" si="23"/>
        <v>1</v>
      </c>
      <c r="U366" s="242">
        <v>4</v>
      </c>
      <c r="V366" s="103">
        <f t="shared" si="21"/>
        <v>1</v>
      </c>
      <c r="W366" s="241"/>
      <c r="X366" s="324">
        <f t="shared" si="22"/>
        <v>0</v>
      </c>
      <c r="Y366" s="235" t="s">
        <v>483</v>
      </c>
      <c r="Z366" s="340" t="s">
        <v>523</v>
      </c>
      <c r="AA366" s="237" t="s">
        <v>161</v>
      </c>
      <c r="AB366" s="34"/>
      <c r="AC366" s="242"/>
      <c r="AD366" s="35"/>
      <c r="AE366" s="243"/>
      <c r="AF366" s="237"/>
      <c r="AG366" s="237"/>
    </row>
    <row r="367" spans="1:33" s="15" customFormat="1" ht="15" x14ac:dyDescent="0.15">
      <c r="A367" s="237" t="s">
        <v>43</v>
      </c>
      <c r="B367" s="238">
        <v>260</v>
      </c>
      <c r="C367" s="237" t="s">
        <v>44</v>
      </c>
      <c r="D367" s="237" t="s">
        <v>161</v>
      </c>
      <c r="E367" s="237">
        <v>1</v>
      </c>
      <c r="F367" s="237" t="s">
        <v>480</v>
      </c>
      <c r="G367" s="239" t="s">
        <v>524</v>
      </c>
      <c r="H367" s="240">
        <v>44250.845451388886</v>
      </c>
      <c r="I367" s="237" t="s">
        <v>48</v>
      </c>
      <c r="J367" s="237">
        <v>9</v>
      </c>
      <c r="K367" s="100">
        <v>2.4</v>
      </c>
      <c r="L367" s="90" t="s">
        <v>108</v>
      </c>
      <c r="M367" s="241" t="s">
        <v>108</v>
      </c>
      <c r="N367" s="241" t="s">
        <v>108</v>
      </c>
      <c r="O367" s="241" t="s">
        <v>108</v>
      </c>
      <c r="P367" s="237">
        <v>1</v>
      </c>
      <c r="Q367" s="88"/>
      <c r="R367" s="103">
        <f t="shared" si="20"/>
        <v>0</v>
      </c>
      <c r="S367" s="32" t="s">
        <v>58</v>
      </c>
      <c r="T367" s="103">
        <f t="shared" si="23"/>
        <v>0</v>
      </c>
      <c r="U367" s="242">
        <v>4</v>
      </c>
      <c r="V367" s="103">
        <f t="shared" si="21"/>
        <v>1</v>
      </c>
      <c r="W367" s="241" t="s">
        <v>58</v>
      </c>
      <c r="X367" s="324">
        <f t="shared" si="22"/>
        <v>1</v>
      </c>
      <c r="Y367" s="235" t="s">
        <v>480</v>
      </c>
      <c r="Z367" s="340" t="s">
        <v>524</v>
      </c>
      <c r="AA367" s="237" t="s">
        <v>161</v>
      </c>
      <c r="AB367" s="34"/>
      <c r="AC367" s="242"/>
      <c r="AD367" s="35"/>
      <c r="AE367" s="243"/>
      <c r="AF367" s="237"/>
      <c r="AG367" s="237"/>
    </row>
    <row r="368" spans="1:33" s="15" customFormat="1" ht="45" x14ac:dyDescent="0.15">
      <c r="A368" s="237" t="s">
        <v>43</v>
      </c>
      <c r="B368" s="238">
        <v>260</v>
      </c>
      <c r="C368" s="237" t="s">
        <v>44</v>
      </c>
      <c r="D368" s="237" t="s">
        <v>161</v>
      </c>
      <c r="E368" s="237">
        <v>1</v>
      </c>
      <c r="F368" s="237" t="s">
        <v>483</v>
      </c>
      <c r="G368" s="239" t="s">
        <v>525</v>
      </c>
      <c r="H368" s="240">
        <v>44250.846226851849</v>
      </c>
      <c r="I368" s="237" t="s">
        <v>48</v>
      </c>
      <c r="J368" s="237">
        <v>10</v>
      </c>
      <c r="K368" s="100">
        <v>2.4</v>
      </c>
      <c r="L368" s="90" t="s">
        <v>108</v>
      </c>
      <c r="M368" s="241" t="s">
        <v>108</v>
      </c>
      <c r="N368" s="241" t="s">
        <v>108</v>
      </c>
      <c r="O368" s="241" t="s">
        <v>108</v>
      </c>
      <c r="P368" s="237">
        <v>1</v>
      </c>
      <c r="Q368" s="88"/>
      <c r="R368" s="103">
        <f t="shared" si="20"/>
        <v>0</v>
      </c>
      <c r="S368" s="32"/>
      <c r="T368" s="103">
        <f t="shared" si="23"/>
        <v>1</v>
      </c>
      <c r="U368" s="242">
        <v>4</v>
      </c>
      <c r="V368" s="103">
        <f t="shared" si="21"/>
        <v>1</v>
      </c>
      <c r="W368" s="241" t="s">
        <v>302</v>
      </c>
      <c r="X368" s="324">
        <f t="shared" si="22"/>
        <v>1</v>
      </c>
      <c r="Y368" s="235" t="s">
        <v>483</v>
      </c>
      <c r="Z368" s="340" t="s">
        <v>525</v>
      </c>
      <c r="AA368" s="237" t="s">
        <v>161</v>
      </c>
      <c r="AB368" s="34"/>
      <c r="AC368" s="242"/>
      <c r="AD368" s="35"/>
      <c r="AE368" s="243"/>
      <c r="AF368" s="237"/>
      <c r="AG368" s="237"/>
    </row>
    <row r="369" spans="1:33" s="15" customFormat="1" ht="30" x14ac:dyDescent="0.15">
      <c r="A369" s="237" t="s">
        <v>43</v>
      </c>
      <c r="B369" s="238">
        <v>260</v>
      </c>
      <c r="C369" s="237" t="s">
        <v>44</v>
      </c>
      <c r="D369" s="237" t="s">
        <v>161</v>
      </c>
      <c r="E369" s="237">
        <v>1</v>
      </c>
      <c r="F369" s="237" t="s">
        <v>480</v>
      </c>
      <c r="G369" s="239" t="s">
        <v>526</v>
      </c>
      <c r="H369" s="240">
        <v>44250.846261574072</v>
      </c>
      <c r="I369" s="237" t="s">
        <v>48</v>
      </c>
      <c r="J369" s="237">
        <v>9</v>
      </c>
      <c r="K369" s="100">
        <v>2.4</v>
      </c>
      <c r="L369" s="90" t="s">
        <v>108</v>
      </c>
      <c r="M369" s="241" t="s">
        <v>108</v>
      </c>
      <c r="N369" s="241" t="s">
        <v>108</v>
      </c>
      <c r="O369" s="241" t="s">
        <v>108</v>
      </c>
      <c r="P369" s="237">
        <v>1</v>
      </c>
      <c r="Q369" s="88"/>
      <c r="R369" s="103">
        <f t="shared" si="20"/>
        <v>0</v>
      </c>
      <c r="S369" s="32"/>
      <c r="T369" s="103">
        <f t="shared" si="23"/>
        <v>0</v>
      </c>
      <c r="U369" s="242">
        <v>4</v>
      </c>
      <c r="V369" s="103">
        <f t="shared" si="21"/>
        <v>1</v>
      </c>
      <c r="W369" s="241" t="s">
        <v>305</v>
      </c>
      <c r="X369" s="324">
        <f t="shared" si="22"/>
        <v>1</v>
      </c>
      <c r="Y369" s="235" t="s">
        <v>480</v>
      </c>
      <c r="Z369" s="340" t="s">
        <v>526</v>
      </c>
      <c r="AA369" s="237" t="s">
        <v>161</v>
      </c>
      <c r="AB369" s="34"/>
      <c r="AC369" s="242"/>
      <c r="AD369" s="35"/>
      <c r="AE369" s="243"/>
      <c r="AF369" s="237"/>
      <c r="AG369" s="237"/>
    </row>
    <row r="370" spans="1:33" s="15" customFormat="1" ht="45" x14ac:dyDescent="0.15">
      <c r="A370" s="237" t="s">
        <v>43</v>
      </c>
      <c r="B370" s="238">
        <v>260</v>
      </c>
      <c r="C370" s="237" t="s">
        <v>44</v>
      </c>
      <c r="D370" s="237" t="s">
        <v>161</v>
      </c>
      <c r="E370" s="237">
        <v>1</v>
      </c>
      <c r="F370" s="237" t="s">
        <v>483</v>
      </c>
      <c r="G370" s="239" t="s">
        <v>527</v>
      </c>
      <c r="H370" s="240">
        <v>44250.847048611111</v>
      </c>
      <c r="I370" s="237" t="s">
        <v>48</v>
      </c>
      <c r="J370" s="237">
        <v>10</v>
      </c>
      <c r="K370" s="100">
        <v>2.4</v>
      </c>
      <c r="L370" s="90" t="s">
        <v>108</v>
      </c>
      <c r="M370" s="241" t="s">
        <v>108</v>
      </c>
      <c r="N370" s="241" t="s">
        <v>108</v>
      </c>
      <c r="O370" s="241" t="s">
        <v>108</v>
      </c>
      <c r="P370" s="237">
        <v>1</v>
      </c>
      <c r="Q370" s="88"/>
      <c r="R370" s="103">
        <f t="shared" si="20"/>
        <v>0</v>
      </c>
      <c r="S370" s="32"/>
      <c r="T370" s="103">
        <f t="shared" si="23"/>
        <v>0</v>
      </c>
      <c r="U370" s="242">
        <v>4</v>
      </c>
      <c r="V370" s="103">
        <f t="shared" si="21"/>
        <v>1</v>
      </c>
      <c r="W370" s="241"/>
      <c r="X370" s="324">
        <f t="shared" si="22"/>
        <v>0</v>
      </c>
      <c r="Y370" s="235" t="s">
        <v>483</v>
      </c>
      <c r="Z370" s="340" t="s">
        <v>527</v>
      </c>
      <c r="AA370" s="237" t="s">
        <v>161</v>
      </c>
      <c r="AB370" s="34" t="s">
        <v>112</v>
      </c>
      <c r="AC370" s="242" t="s">
        <v>112</v>
      </c>
      <c r="AD370" s="35"/>
      <c r="AE370" s="243"/>
      <c r="AF370" s="237"/>
      <c r="AG370" s="237"/>
    </row>
    <row r="371" spans="1:33" s="15" customFormat="1" ht="15" x14ac:dyDescent="0.15">
      <c r="A371" s="237" t="s">
        <v>43</v>
      </c>
      <c r="B371" s="238">
        <v>260</v>
      </c>
      <c r="C371" s="237" t="s">
        <v>44</v>
      </c>
      <c r="D371" s="237" t="s">
        <v>161</v>
      </c>
      <c r="E371" s="237">
        <v>1</v>
      </c>
      <c r="F371" s="237" t="s">
        <v>477</v>
      </c>
      <c r="G371" s="239" t="s">
        <v>528</v>
      </c>
      <c r="H371" s="240">
        <v>44250.847094907411</v>
      </c>
      <c r="I371" s="237" t="s">
        <v>48</v>
      </c>
      <c r="J371" s="237">
        <v>9</v>
      </c>
      <c r="K371" s="100">
        <v>2.4</v>
      </c>
      <c r="L371" s="90" t="s">
        <v>108</v>
      </c>
      <c r="M371" s="241" t="s">
        <v>108</v>
      </c>
      <c r="N371" s="241" t="s">
        <v>108</v>
      </c>
      <c r="O371" s="241" t="s">
        <v>108</v>
      </c>
      <c r="P371" s="237">
        <v>1</v>
      </c>
      <c r="Q371" s="88"/>
      <c r="R371" s="103">
        <f t="shared" si="20"/>
        <v>0</v>
      </c>
      <c r="S371" s="32"/>
      <c r="T371" s="103">
        <f t="shared" si="23"/>
        <v>0</v>
      </c>
      <c r="U371" s="242">
        <v>4</v>
      </c>
      <c r="V371" s="103">
        <f t="shared" si="21"/>
        <v>1</v>
      </c>
      <c r="W371" s="241" t="s">
        <v>58</v>
      </c>
      <c r="X371" s="324">
        <f t="shared" si="22"/>
        <v>1</v>
      </c>
      <c r="Y371" s="235" t="s">
        <v>477</v>
      </c>
      <c r="Z371" s="340" t="s">
        <v>528</v>
      </c>
      <c r="AA371" s="237" t="s">
        <v>161</v>
      </c>
      <c r="AB371" s="34"/>
      <c r="AC371" s="242"/>
      <c r="AD371" s="35"/>
      <c r="AE371" s="243"/>
      <c r="AF371" s="237"/>
      <c r="AG371" s="237"/>
    </row>
    <row r="372" spans="1:33" s="15" customFormat="1" ht="15" x14ac:dyDescent="0.15">
      <c r="A372" s="237" t="s">
        <v>43</v>
      </c>
      <c r="B372" s="238">
        <v>260</v>
      </c>
      <c r="C372" s="237" t="s">
        <v>44</v>
      </c>
      <c r="D372" s="237" t="s">
        <v>161</v>
      </c>
      <c r="E372" s="237">
        <v>1</v>
      </c>
      <c r="F372" s="237" t="s">
        <v>483</v>
      </c>
      <c r="G372" s="239" t="s">
        <v>529</v>
      </c>
      <c r="H372" s="240">
        <v>44250.84715277778</v>
      </c>
      <c r="I372" s="237" t="s">
        <v>48</v>
      </c>
      <c r="J372" s="237">
        <v>10</v>
      </c>
      <c r="K372" s="100">
        <v>2.4</v>
      </c>
      <c r="L372" s="90" t="s">
        <v>108</v>
      </c>
      <c r="M372" s="241" t="s">
        <v>108</v>
      </c>
      <c r="N372" s="241" t="s">
        <v>108</v>
      </c>
      <c r="O372" s="241" t="s">
        <v>108</v>
      </c>
      <c r="P372" s="237">
        <v>1</v>
      </c>
      <c r="Q372" s="88"/>
      <c r="R372" s="103">
        <f t="shared" si="20"/>
        <v>0</v>
      </c>
      <c r="S372" s="32"/>
      <c r="T372" s="103">
        <f t="shared" si="23"/>
        <v>0</v>
      </c>
      <c r="U372" s="242">
        <v>4</v>
      </c>
      <c r="V372" s="103">
        <f t="shared" si="21"/>
        <v>1</v>
      </c>
      <c r="W372" s="241" t="s">
        <v>331</v>
      </c>
      <c r="X372" s="324">
        <f t="shared" si="22"/>
        <v>1</v>
      </c>
      <c r="Y372" s="235" t="s">
        <v>483</v>
      </c>
      <c r="Z372" s="340" t="s">
        <v>529</v>
      </c>
      <c r="AA372" s="237" t="s">
        <v>161</v>
      </c>
      <c r="AB372" s="34" t="s">
        <v>112</v>
      </c>
      <c r="AC372" s="242" t="s">
        <v>112</v>
      </c>
      <c r="AD372" s="35"/>
      <c r="AE372" s="243"/>
      <c r="AF372" s="237"/>
      <c r="AG372" s="237"/>
    </row>
    <row r="373" spans="1:33" s="15" customFormat="1" ht="15" x14ac:dyDescent="0.15">
      <c r="A373" s="237" t="s">
        <v>43</v>
      </c>
      <c r="B373" s="238">
        <v>260</v>
      </c>
      <c r="C373" s="237" t="s">
        <v>44</v>
      </c>
      <c r="D373" s="237" t="s">
        <v>161</v>
      </c>
      <c r="E373" s="237">
        <v>1</v>
      </c>
      <c r="F373" s="237" t="s">
        <v>477</v>
      </c>
      <c r="G373" s="239" t="s">
        <v>530</v>
      </c>
      <c r="H373" s="240">
        <v>44250.847337962965</v>
      </c>
      <c r="I373" s="237" t="s">
        <v>48</v>
      </c>
      <c r="J373" s="237">
        <v>9</v>
      </c>
      <c r="K373" s="100">
        <v>2.4</v>
      </c>
      <c r="L373" s="90" t="s">
        <v>108</v>
      </c>
      <c r="M373" s="241" t="s">
        <v>108</v>
      </c>
      <c r="N373" s="241" t="s">
        <v>108</v>
      </c>
      <c r="O373" s="241" t="s">
        <v>108</v>
      </c>
      <c r="P373" s="237">
        <v>1</v>
      </c>
      <c r="Q373" s="88"/>
      <c r="R373" s="103">
        <f t="shared" si="20"/>
        <v>0</v>
      </c>
      <c r="S373" s="32" t="s">
        <v>58</v>
      </c>
      <c r="T373" s="103">
        <f t="shared" si="23"/>
        <v>0</v>
      </c>
      <c r="U373" s="242">
        <v>4</v>
      </c>
      <c r="V373" s="103">
        <f t="shared" si="21"/>
        <v>1</v>
      </c>
      <c r="W373" s="241" t="s">
        <v>58</v>
      </c>
      <c r="X373" s="324">
        <f t="shared" si="22"/>
        <v>1</v>
      </c>
      <c r="Y373" s="235" t="s">
        <v>477</v>
      </c>
      <c r="Z373" s="340" t="s">
        <v>530</v>
      </c>
      <c r="AA373" s="237" t="s">
        <v>161</v>
      </c>
      <c r="AB373" s="34"/>
      <c r="AC373" s="242"/>
      <c r="AD373" s="35"/>
      <c r="AE373" s="243"/>
      <c r="AF373" s="237"/>
      <c r="AG373" s="237"/>
    </row>
    <row r="374" spans="1:33" s="15" customFormat="1" ht="15" x14ac:dyDescent="0.15">
      <c r="A374" s="237" t="s">
        <v>43</v>
      </c>
      <c r="B374" s="238">
        <v>260</v>
      </c>
      <c r="C374" s="237" t="s">
        <v>44</v>
      </c>
      <c r="D374" s="237" t="s">
        <v>161</v>
      </c>
      <c r="E374" s="237">
        <v>1</v>
      </c>
      <c r="F374" s="237" t="s">
        <v>480</v>
      </c>
      <c r="G374" s="239" t="s">
        <v>531</v>
      </c>
      <c r="H374" s="240">
        <v>44250.847511574073</v>
      </c>
      <c r="I374" s="237" t="s">
        <v>48</v>
      </c>
      <c r="J374" s="237">
        <v>9</v>
      </c>
      <c r="K374" s="100">
        <v>2.4</v>
      </c>
      <c r="L374" s="90" t="s">
        <v>108</v>
      </c>
      <c r="M374" s="241" t="s">
        <v>108</v>
      </c>
      <c r="N374" s="241" t="s">
        <v>108</v>
      </c>
      <c r="O374" s="241" t="s">
        <v>108</v>
      </c>
      <c r="P374" s="237">
        <v>1</v>
      </c>
      <c r="Q374" s="88" t="s">
        <v>312</v>
      </c>
      <c r="R374" s="103">
        <f t="shared" si="20"/>
        <v>1</v>
      </c>
      <c r="S374" s="32" t="s">
        <v>58</v>
      </c>
      <c r="T374" s="103">
        <f t="shared" si="23"/>
        <v>1</v>
      </c>
      <c r="U374" s="242">
        <v>4</v>
      </c>
      <c r="V374" s="103">
        <f t="shared" si="21"/>
        <v>1</v>
      </c>
      <c r="W374" s="241" t="s">
        <v>58</v>
      </c>
      <c r="X374" s="324">
        <f t="shared" si="22"/>
        <v>1</v>
      </c>
      <c r="Y374" s="235" t="s">
        <v>480</v>
      </c>
      <c r="Z374" s="340" t="s">
        <v>531</v>
      </c>
      <c r="AA374" s="237" t="s">
        <v>161</v>
      </c>
      <c r="AB374" s="34"/>
      <c r="AC374" s="242"/>
      <c r="AD374" s="35"/>
      <c r="AE374" s="243"/>
      <c r="AF374" s="237"/>
      <c r="AG374" s="237"/>
    </row>
    <row r="375" spans="1:33" s="15" customFormat="1" ht="45" x14ac:dyDescent="0.15">
      <c r="A375" s="237" t="s">
        <v>43</v>
      </c>
      <c r="B375" s="238">
        <v>260</v>
      </c>
      <c r="C375" s="237" t="s">
        <v>44</v>
      </c>
      <c r="D375" s="237" t="s">
        <v>161</v>
      </c>
      <c r="E375" s="237">
        <v>1</v>
      </c>
      <c r="F375" s="237" t="s">
        <v>483</v>
      </c>
      <c r="G375" s="239" t="s">
        <v>532</v>
      </c>
      <c r="H375" s="240">
        <v>44250.848171296297</v>
      </c>
      <c r="I375" s="237" t="s">
        <v>48</v>
      </c>
      <c r="J375" s="237">
        <v>10</v>
      </c>
      <c r="K375" s="100">
        <v>2.4</v>
      </c>
      <c r="L375" s="90" t="s">
        <v>52</v>
      </c>
      <c r="M375" s="241" t="s">
        <v>52</v>
      </c>
      <c r="N375" s="241" t="s">
        <v>1143</v>
      </c>
      <c r="O375" s="241" t="s">
        <v>1143</v>
      </c>
      <c r="P375" s="237">
        <v>1</v>
      </c>
      <c r="Q375" s="88" t="s">
        <v>295</v>
      </c>
      <c r="R375" s="103">
        <f t="shared" si="20"/>
        <v>1</v>
      </c>
      <c r="S375" s="32"/>
      <c r="T375" s="103">
        <f t="shared" si="23"/>
        <v>1</v>
      </c>
      <c r="U375" s="242">
        <v>5</v>
      </c>
      <c r="V375" s="103">
        <f t="shared" si="21"/>
        <v>1</v>
      </c>
      <c r="W375" s="241"/>
      <c r="X375" s="324">
        <f t="shared" si="22"/>
        <v>0</v>
      </c>
      <c r="Y375" s="235" t="s">
        <v>483</v>
      </c>
      <c r="Z375" s="340" t="s">
        <v>532</v>
      </c>
      <c r="AA375" s="237" t="s">
        <v>161</v>
      </c>
      <c r="AB375" s="34"/>
      <c r="AC375" s="242"/>
      <c r="AD375" s="35" t="s">
        <v>533</v>
      </c>
      <c r="AE375" s="243" t="s">
        <v>534</v>
      </c>
      <c r="AF375" s="237"/>
      <c r="AG375" s="237"/>
    </row>
    <row r="376" spans="1:33" s="15" customFormat="1" ht="15" x14ac:dyDescent="0.15">
      <c r="A376" s="237" t="s">
        <v>43</v>
      </c>
      <c r="B376" s="238">
        <v>260</v>
      </c>
      <c r="C376" s="237" t="s">
        <v>44</v>
      </c>
      <c r="D376" s="237" t="s">
        <v>161</v>
      </c>
      <c r="E376" s="237">
        <v>1</v>
      </c>
      <c r="F376" s="237" t="s">
        <v>480</v>
      </c>
      <c r="G376" s="239" t="s">
        <v>535</v>
      </c>
      <c r="H376" s="240">
        <v>44250.848900462966</v>
      </c>
      <c r="I376" s="237" t="s">
        <v>48</v>
      </c>
      <c r="J376" s="237">
        <v>9</v>
      </c>
      <c r="K376" s="100">
        <v>2.4</v>
      </c>
      <c r="L376" s="90" t="s">
        <v>52</v>
      </c>
      <c r="M376" s="241" t="s">
        <v>52</v>
      </c>
      <c r="N376" s="241" t="s">
        <v>1143</v>
      </c>
      <c r="O376" s="241" t="s">
        <v>1143</v>
      </c>
      <c r="P376" s="237">
        <v>1</v>
      </c>
      <c r="Q376" s="88"/>
      <c r="R376" s="103">
        <f t="shared" si="20"/>
        <v>0</v>
      </c>
      <c r="S376" s="32"/>
      <c r="T376" s="103">
        <f t="shared" si="23"/>
        <v>0</v>
      </c>
      <c r="U376" s="242">
        <v>5</v>
      </c>
      <c r="V376" s="103">
        <f t="shared" si="21"/>
        <v>1</v>
      </c>
      <c r="W376" s="241"/>
      <c r="X376" s="324">
        <f t="shared" si="22"/>
        <v>0</v>
      </c>
      <c r="Y376" s="235" t="s">
        <v>480</v>
      </c>
      <c r="Z376" s="340" t="s">
        <v>535</v>
      </c>
      <c r="AA376" s="237" t="s">
        <v>161</v>
      </c>
      <c r="AB376" s="34" t="s">
        <v>74</v>
      </c>
      <c r="AC376" s="242" t="s">
        <v>74</v>
      </c>
      <c r="AD376" s="35"/>
      <c r="AE376" s="243"/>
      <c r="AF376" s="237"/>
      <c r="AG376" s="237"/>
    </row>
    <row r="377" spans="1:33" s="15" customFormat="1" ht="15" x14ac:dyDescent="0.15">
      <c r="A377" s="237" t="s">
        <v>43</v>
      </c>
      <c r="B377" s="238">
        <v>260</v>
      </c>
      <c r="C377" s="237" t="s">
        <v>44</v>
      </c>
      <c r="D377" s="237" t="s">
        <v>161</v>
      </c>
      <c r="E377" s="237">
        <v>1</v>
      </c>
      <c r="F377" s="237" t="s">
        <v>477</v>
      </c>
      <c r="G377" s="239" t="s">
        <v>536</v>
      </c>
      <c r="H377" s="240">
        <v>44250.849189814813</v>
      </c>
      <c r="I377" s="237" t="s">
        <v>48</v>
      </c>
      <c r="J377" s="237">
        <v>9</v>
      </c>
      <c r="K377" s="100">
        <v>2.4</v>
      </c>
      <c r="L377" s="90" t="s">
        <v>52</v>
      </c>
      <c r="M377" s="241" t="s">
        <v>52</v>
      </c>
      <c r="N377" s="241" t="s">
        <v>1143</v>
      </c>
      <c r="O377" s="241" t="s">
        <v>1143</v>
      </c>
      <c r="P377" s="237">
        <v>1</v>
      </c>
      <c r="Q377" s="88"/>
      <c r="R377" s="103">
        <f t="shared" si="20"/>
        <v>0</v>
      </c>
      <c r="S377" s="32" t="s">
        <v>58</v>
      </c>
      <c r="T377" s="103">
        <f t="shared" si="23"/>
        <v>0</v>
      </c>
      <c r="U377" s="242">
        <v>5</v>
      </c>
      <c r="V377" s="103">
        <f t="shared" si="21"/>
        <v>1</v>
      </c>
      <c r="W377" s="241" t="s">
        <v>58</v>
      </c>
      <c r="X377" s="324">
        <f t="shared" si="22"/>
        <v>1</v>
      </c>
      <c r="Y377" s="235" t="s">
        <v>477</v>
      </c>
      <c r="Z377" s="340" t="s">
        <v>536</v>
      </c>
      <c r="AA377" s="237" t="s">
        <v>161</v>
      </c>
      <c r="AB377" s="34"/>
      <c r="AC377" s="242"/>
      <c r="AD377" s="35"/>
      <c r="AE377" s="243"/>
      <c r="AF377" s="237"/>
      <c r="AG377" s="237"/>
    </row>
    <row r="378" spans="1:33" s="15" customFormat="1" ht="15" x14ac:dyDescent="0.15">
      <c r="A378" s="237" t="s">
        <v>43</v>
      </c>
      <c r="B378" s="238">
        <v>260</v>
      </c>
      <c r="C378" s="237" t="s">
        <v>44</v>
      </c>
      <c r="D378" s="237" t="s">
        <v>161</v>
      </c>
      <c r="E378" s="237">
        <v>1</v>
      </c>
      <c r="F378" s="237" t="s">
        <v>483</v>
      </c>
      <c r="G378" s="239" t="s">
        <v>537</v>
      </c>
      <c r="H378" s="240">
        <v>44250.849305555559</v>
      </c>
      <c r="I378" s="237" t="s">
        <v>48</v>
      </c>
      <c r="J378" s="237">
        <v>10</v>
      </c>
      <c r="K378" s="100">
        <v>2.4</v>
      </c>
      <c r="L378" s="90" t="s">
        <v>52</v>
      </c>
      <c r="M378" s="241" t="s">
        <v>52</v>
      </c>
      <c r="N378" s="241" t="s">
        <v>1143</v>
      </c>
      <c r="O378" s="241" t="s">
        <v>1143</v>
      </c>
      <c r="P378" s="237">
        <v>1</v>
      </c>
      <c r="Q378" s="88"/>
      <c r="R378" s="103">
        <f t="shared" si="20"/>
        <v>0</v>
      </c>
      <c r="S378" s="32" t="s">
        <v>58</v>
      </c>
      <c r="T378" s="103">
        <f t="shared" si="23"/>
        <v>1</v>
      </c>
      <c r="U378" s="242">
        <v>5</v>
      </c>
      <c r="V378" s="103">
        <f t="shared" si="21"/>
        <v>1</v>
      </c>
      <c r="W378" s="241" t="s">
        <v>58</v>
      </c>
      <c r="X378" s="324">
        <f t="shared" si="22"/>
        <v>1</v>
      </c>
      <c r="Y378" s="235" t="s">
        <v>483</v>
      </c>
      <c r="Z378" s="340" t="s">
        <v>537</v>
      </c>
      <c r="AA378" s="237" t="s">
        <v>161</v>
      </c>
      <c r="AB378" s="34"/>
      <c r="AC378" s="242"/>
      <c r="AD378" s="35"/>
      <c r="AE378" s="243"/>
      <c r="AF378" s="237"/>
      <c r="AG378" s="237"/>
    </row>
    <row r="379" spans="1:33" s="15" customFormat="1" ht="15" x14ac:dyDescent="0.15">
      <c r="A379" s="237" t="s">
        <v>43</v>
      </c>
      <c r="B379" s="238">
        <v>260</v>
      </c>
      <c r="C379" s="237" t="s">
        <v>44</v>
      </c>
      <c r="D379" s="237" t="s">
        <v>161</v>
      </c>
      <c r="E379" s="237">
        <v>1</v>
      </c>
      <c r="F379" s="237" t="s">
        <v>483</v>
      </c>
      <c r="G379" s="239" t="s">
        <v>538</v>
      </c>
      <c r="H379" s="240">
        <v>44250.851504629631</v>
      </c>
      <c r="I379" s="237" t="s">
        <v>48</v>
      </c>
      <c r="J379" s="237">
        <v>10</v>
      </c>
      <c r="K379" s="100">
        <v>2.4</v>
      </c>
      <c r="L379" s="90" t="s">
        <v>52</v>
      </c>
      <c r="M379" s="241" t="s">
        <v>52</v>
      </c>
      <c r="N379" s="241" t="s">
        <v>1143</v>
      </c>
      <c r="O379" s="241" t="s">
        <v>1143</v>
      </c>
      <c r="P379" s="237">
        <v>1</v>
      </c>
      <c r="Q379" s="88"/>
      <c r="R379" s="103">
        <f t="shared" si="20"/>
        <v>0</v>
      </c>
      <c r="S379" s="32"/>
      <c r="T379" s="103">
        <f t="shared" si="23"/>
        <v>1</v>
      </c>
      <c r="U379" s="242">
        <v>5</v>
      </c>
      <c r="V379" s="103">
        <f t="shared" si="21"/>
        <v>1</v>
      </c>
      <c r="W379" s="241" t="s">
        <v>331</v>
      </c>
      <c r="X379" s="324">
        <f t="shared" si="22"/>
        <v>1</v>
      </c>
      <c r="Y379" s="235" t="s">
        <v>483</v>
      </c>
      <c r="Z379" s="340" t="s">
        <v>538</v>
      </c>
      <c r="AA379" s="237" t="s">
        <v>161</v>
      </c>
      <c r="AB379" s="34" t="s">
        <v>74</v>
      </c>
      <c r="AC379" s="242" t="s">
        <v>74</v>
      </c>
      <c r="AD379" s="35"/>
      <c r="AE379" s="243"/>
      <c r="AF379" s="237"/>
      <c r="AG379" s="237"/>
    </row>
    <row r="380" spans="1:33" s="15" customFormat="1" ht="30" x14ac:dyDescent="0.15">
      <c r="A380" s="237" t="s">
        <v>43</v>
      </c>
      <c r="B380" s="238">
        <v>260</v>
      </c>
      <c r="C380" s="237" t="s">
        <v>44</v>
      </c>
      <c r="D380" s="237" t="s">
        <v>161</v>
      </c>
      <c r="E380" s="237">
        <v>1</v>
      </c>
      <c r="F380" s="237" t="s">
        <v>480</v>
      </c>
      <c r="G380" s="239" t="s">
        <v>539</v>
      </c>
      <c r="H380" s="240">
        <v>44250.851747685185</v>
      </c>
      <c r="I380" s="237" t="s">
        <v>48</v>
      </c>
      <c r="J380" s="237">
        <v>9</v>
      </c>
      <c r="K380" s="100">
        <v>2.4</v>
      </c>
      <c r="L380" s="90" t="s">
        <v>52</v>
      </c>
      <c r="M380" s="241" t="s">
        <v>52</v>
      </c>
      <c r="N380" s="241" t="s">
        <v>1143</v>
      </c>
      <c r="O380" s="241" t="s">
        <v>1143</v>
      </c>
      <c r="P380" s="237">
        <v>1</v>
      </c>
      <c r="Q380" s="88"/>
      <c r="R380" s="103">
        <f t="shared" si="20"/>
        <v>0</v>
      </c>
      <c r="S380" s="32"/>
      <c r="T380" s="103">
        <f t="shared" si="23"/>
        <v>0</v>
      </c>
      <c r="U380" s="242">
        <v>5</v>
      </c>
      <c r="V380" s="103">
        <f t="shared" si="21"/>
        <v>1</v>
      </c>
      <c r="W380" s="241" t="s">
        <v>302</v>
      </c>
      <c r="X380" s="324">
        <f t="shared" si="22"/>
        <v>1</v>
      </c>
      <c r="Y380" s="235" t="s">
        <v>480</v>
      </c>
      <c r="Z380" s="340" t="s">
        <v>539</v>
      </c>
      <c r="AA380" s="237" t="s">
        <v>161</v>
      </c>
      <c r="AB380" s="34" t="s">
        <v>74</v>
      </c>
      <c r="AC380" s="242" t="s">
        <v>74</v>
      </c>
      <c r="AD380" s="35"/>
      <c r="AE380" s="243"/>
      <c r="AF380" s="237"/>
      <c r="AG380" s="237"/>
    </row>
    <row r="381" spans="1:33" s="15" customFormat="1" ht="15" x14ac:dyDescent="0.15">
      <c r="A381" s="237" t="s">
        <v>43</v>
      </c>
      <c r="B381" s="238">
        <v>260</v>
      </c>
      <c r="C381" s="237" t="s">
        <v>44</v>
      </c>
      <c r="D381" s="237" t="s">
        <v>161</v>
      </c>
      <c r="E381" s="237">
        <v>1</v>
      </c>
      <c r="F381" s="237" t="s">
        <v>477</v>
      </c>
      <c r="G381" s="239" t="s">
        <v>540</v>
      </c>
      <c r="H381" s="240">
        <v>44250.851886574077</v>
      </c>
      <c r="I381" s="237" t="s">
        <v>48</v>
      </c>
      <c r="J381" s="237">
        <v>9</v>
      </c>
      <c r="K381" s="100">
        <v>2.4</v>
      </c>
      <c r="L381" s="90" t="s">
        <v>52</v>
      </c>
      <c r="M381" s="241" t="s">
        <v>52</v>
      </c>
      <c r="N381" s="241" t="s">
        <v>1143</v>
      </c>
      <c r="O381" s="241" t="s">
        <v>1143</v>
      </c>
      <c r="P381" s="237">
        <v>1</v>
      </c>
      <c r="Q381" s="88"/>
      <c r="R381" s="103">
        <f t="shared" si="20"/>
        <v>0</v>
      </c>
      <c r="S381" s="32" t="s">
        <v>58</v>
      </c>
      <c r="T381" s="103">
        <f t="shared" si="23"/>
        <v>0</v>
      </c>
      <c r="U381" s="242">
        <v>5</v>
      </c>
      <c r="V381" s="103">
        <f t="shared" si="21"/>
        <v>1</v>
      </c>
      <c r="W381" s="241" t="s">
        <v>58</v>
      </c>
      <c r="X381" s="324">
        <f t="shared" si="22"/>
        <v>1</v>
      </c>
      <c r="Y381" s="235" t="s">
        <v>477</v>
      </c>
      <c r="Z381" s="340" t="s">
        <v>540</v>
      </c>
      <c r="AA381" s="237" t="s">
        <v>161</v>
      </c>
      <c r="AB381" s="34"/>
      <c r="AC381" s="242"/>
      <c r="AD381" s="35"/>
      <c r="AE381" s="243"/>
      <c r="AF381" s="237"/>
      <c r="AG381" s="237"/>
    </row>
    <row r="382" spans="1:33" s="15" customFormat="1" ht="15" x14ac:dyDescent="0.15">
      <c r="A382" s="237" t="s">
        <v>43</v>
      </c>
      <c r="B382" s="238">
        <v>260</v>
      </c>
      <c r="C382" s="237" t="s">
        <v>44</v>
      </c>
      <c r="D382" s="237" t="s">
        <v>161</v>
      </c>
      <c r="E382" s="237">
        <v>1</v>
      </c>
      <c r="F382" s="237" t="s">
        <v>483</v>
      </c>
      <c r="G382" s="239" t="s">
        <v>541</v>
      </c>
      <c r="H382" s="240">
        <v>44250.851990740739</v>
      </c>
      <c r="I382" s="237" t="s">
        <v>48</v>
      </c>
      <c r="J382" s="237">
        <v>10</v>
      </c>
      <c r="K382" s="100">
        <v>2.4</v>
      </c>
      <c r="L382" s="90" t="s">
        <v>52</v>
      </c>
      <c r="M382" s="241" t="s">
        <v>52</v>
      </c>
      <c r="N382" s="241" t="s">
        <v>1143</v>
      </c>
      <c r="O382" s="241" t="s">
        <v>1143</v>
      </c>
      <c r="P382" s="237">
        <v>1</v>
      </c>
      <c r="Q382" s="88"/>
      <c r="R382" s="103">
        <f t="shared" si="20"/>
        <v>0</v>
      </c>
      <c r="S382" s="32" t="s">
        <v>58</v>
      </c>
      <c r="T382" s="103">
        <f t="shared" si="23"/>
        <v>1</v>
      </c>
      <c r="U382" s="242">
        <v>5</v>
      </c>
      <c r="V382" s="103">
        <f t="shared" si="21"/>
        <v>1</v>
      </c>
      <c r="W382" s="241" t="s">
        <v>58</v>
      </c>
      <c r="X382" s="324">
        <f t="shared" si="22"/>
        <v>1</v>
      </c>
      <c r="Y382" s="235" t="s">
        <v>483</v>
      </c>
      <c r="Z382" s="340" t="s">
        <v>541</v>
      </c>
      <c r="AA382" s="237" t="s">
        <v>161</v>
      </c>
      <c r="AB382" s="34"/>
      <c r="AC382" s="242"/>
      <c r="AD382" s="35"/>
      <c r="AE382" s="243"/>
      <c r="AF382" s="237"/>
      <c r="AG382" s="237"/>
    </row>
    <row r="383" spans="1:33" s="15" customFormat="1" ht="15" x14ac:dyDescent="0.15">
      <c r="A383" s="237" t="s">
        <v>43</v>
      </c>
      <c r="B383" s="238">
        <v>260</v>
      </c>
      <c r="C383" s="237" t="s">
        <v>44</v>
      </c>
      <c r="D383" s="237" t="s">
        <v>161</v>
      </c>
      <c r="E383" s="237">
        <v>1</v>
      </c>
      <c r="F383" s="237" t="s">
        <v>477</v>
      </c>
      <c r="G383" s="239" t="s">
        <v>542</v>
      </c>
      <c r="H383" s="240">
        <v>44250.852002314816</v>
      </c>
      <c r="I383" s="237" t="s">
        <v>48</v>
      </c>
      <c r="J383" s="237">
        <v>9</v>
      </c>
      <c r="K383" s="100">
        <v>2.4</v>
      </c>
      <c r="L383" s="90" t="s">
        <v>52</v>
      </c>
      <c r="M383" s="241" t="s">
        <v>52</v>
      </c>
      <c r="N383" s="241" t="s">
        <v>1143</v>
      </c>
      <c r="O383" s="241" t="s">
        <v>1143</v>
      </c>
      <c r="P383" s="237">
        <v>1</v>
      </c>
      <c r="Q383" s="88" t="s">
        <v>312</v>
      </c>
      <c r="R383" s="103">
        <f t="shared" si="20"/>
        <v>1</v>
      </c>
      <c r="S383" s="32" t="s">
        <v>58</v>
      </c>
      <c r="T383" s="103">
        <f t="shared" si="23"/>
        <v>1</v>
      </c>
      <c r="U383" s="242">
        <v>5</v>
      </c>
      <c r="V383" s="103">
        <f t="shared" si="21"/>
        <v>1</v>
      </c>
      <c r="W383" s="241" t="s">
        <v>58</v>
      </c>
      <c r="X383" s="324">
        <f t="shared" si="22"/>
        <v>1</v>
      </c>
      <c r="Y383" s="235" t="s">
        <v>477</v>
      </c>
      <c r="Z383" s="340" t="s">
        <v>542</v>
      </c>
      <c r="AA383" s="237" t="s">
        <v>161</v>
      </c>
      <c r="AB383" s="34"/>
      <c r="AC383" s="242"/>
      <c r="AD383" s="35"/>
      <c r="AE383" s="243"/>
      <c r="AF383" s="237"/>
      <c r="AG383" s="237"/>
    </row>
    <row r="384" spans="1:33" s="15" customFormat="1" ht="45" x14ac:dyDescent="0.15">
      <c r="A384" s="237" t="s">
        <v>43</v>
      </c>
      <c r="B384" s="238">
        <v>260</v>
      </c>
      <c r="C384" s="237" t="s">
        <v>44</v>
      </c>
      <c r="D384" s="237" t="s">
        <v>161</v>
      </c>
      <c r="E384" s="237">
        <v>1</v>
      </c>
      <c r="F384" s="237" t="s">
        <v>480</v>
      </c>
      <c r="G384" s="239" t="s">
        <v>543</v>
      </c>
      <c r="H384" s="240">
        <v>44250.853784722225</v>
      </c>
      <c r="I384" s="237" t="s">
        <v>48</v>
      </c>
      <c r="J384" s="237">
        <v>9</v>
      </c>
      <c r="K384" s="100">
        <v>2.4</v>
      </c>
      <c r="L384" s="90" t="s">
        <v>52</v>
      </c>
      <c r="M384" s="241" t="s">
        <v>52</v>
      </c>
      <c r="N384" s="241" t="s">
        <v>1143</v>
      </c>
      <c r="O384" s="241" t="s">
        <v>1143</v>
      </c>
      <c r="P384" s="237">
        <v>1</v>
      </c>
      <c r="Q384" s="88" t="s">
        <v>295</v>
      </c>
      <c r="R384" s="103">
        <f t="shared" si="20"/>
        <v>1</v>
      </c>
      <c r="S384" s="32" t="s">
        <v>305</v>
      </c>
      <c r="T384" s="103">
        <f t="shared" si="23"/>
        <v>1</v>
      </c>
      <c r="U384" s="242">
        <v>6</v>
      </c>
      <c r="V384" s="103">
        <f t="shared" si="21"/>
        <v>1</v>
      </c>
      <c r="W384" s="241" t="s">
        <v>302</v>
      </c>
      <c r="X384" s="324">
        <f t="shared" si="22"/>
        <v>1</v>
      </c>
      <c r="Y384" s="235" t="s">
        <v>480</v>
      </c>
      <c r="Z384" s="340" t="s">
        <v>543</v>
      </c>
      <c r="AA384" s="237" t="s">
        <v>161</v>
      </c>
      <c r="AB384" s="34" t="s">
        <v>74</v>
      </c>
      <c r="AC384" s="242" t="s">
        <v>74</v>
      </c>
      <c r="AD384" s="35"/>
      <c r="AE384" s="243"/>
      <c r="AF384" s="237"/>
      <c r="AG384" s="237"/>
    </row>
    <row r="385" spans="1:33" s="15" customFormat="1" ht="30" x14ac:dyDescent="0.15">
      <c r="A385" s="237" t="s">
        <v>43</v>
      </c>
      <c r="B385" s="238">
        <v>260</v>
      </c>
      <c r="C385" s="237" t="s">
        <v>44</v>
      </c>
      <c r="D385" s="237" t="s">
        <v>161</v>
      </c>
      <c r="E385" s="237">
        <v>1</v>
      </c>
      <c r="F385" s="237" t="s">
        <v>483</v>
      </c>
      <c r="G385" s="239" t="s">
        <v>544</v>
      </c>
      <c r="H385" s="240">
        <v>44250.854224537034</v>
      </c>
      <c r="I385" s="237" t="s">
        <v>48</v>
      </c>
      <c r="J385" s="237">
        <v>10</v>
      </c>
      <c r="K385" s="100">
        <v>2.4</v>
      </c>
      <c r="L385" s="90" t="s">
        <v>52</v>
      </c>
      <c r="M385" s="241" t="s">
        <v>52</v>
      </c>
      <c r="N385" s="241" t="s">
        <v>1143</v>
      </c>
      <c r="O385" s="241" t="s">
        <v>1143</v>
      </c>
      <c r="P385" s="237">
        <v>1</v>
      </c>
      <c r="Q385" s="88"/>
      <c r="R385" s="103">
        <f t="shared" si="20"/>
        <v>0</v>
      </c>
      <c r="S385" s="32" t="s">
        <v>305</v>
      </c>
      <c r="T385" s="103">
        <f t="shared" si="23"/>
        <v>1</v>
      </c>
      <c r="U385" s="242">
        <v>6</v>
      </c>
      <c r="V385" s="103">
        <f t="shared" si="21"/>
        <v>1</v>
      </c>
      <c r="W385" s="241" t="s">
        <v>305</v>
      </c>
      <c r="X385" s="324">
        <f t="shared" si="22"/>
        <v>1</v>
      </c>
      <c r="Y385" s="235" t="s">
        <v>483</v>
      </c>
      <c r="Z385" s="340" t="s">
        <v>544</v>
      </c>
      <c r="AA385" s="237" t="s">
        <v>161</v>
      </c>
      <c r="AB385" s="34"/>
      <c r="AC385" s="242"/>
      <c r="AD385" s="35"/>
      <c r="AE385" s="243"/>
      <c r="AF385" s="237"/>
      <c r="AG385" s="237"/>
    </row>
    <row r="386" spans="1:33" s="15" customFormat="1" ht="30" x14ac:dyDescent="0.15">
      <c r="A386" s="237" t="s">
        <v>43</v>
      </c>
      <c r="B386" s="238">
        <v>260</v>
      </c>
      <c r="C386" s="237" t="s">
        <v>44</v>
      </c>
      <c r="D386" s="237" t="s">
        <v>161</v>
      </c>
      <c r="E386" s="237">
        <v>1</v>
      </c>
      <c r="F386" s="237" t="s">
        <v>483</v>
      </c>
      <c r="G386" s="239" t="s">
        <v>545</v>
      </c>
      <c r="H386" s="240">
        <v>44250.854548611111</v>
      </c>
      <c r="I386" s="237" t="s">
        <v>48</v>
      </c>
      <c r="J386" s="237">
        <v>10</v>
      </c>
      <c r="K386" s="100">
        <v>2.4</v>
      </c>
      <c r="L386" s="90" t="s">
        <v>52</v>
      </c>
      <c r="M386" s="241" t="s">
        <v>52</v>
      </c>
      <c r="N386" s="241" t="s">
        <v>1143</v>
      </c>
      <c r="O386" s="241" t="s">
        <v>1143</v>
      </c>
      <c r="P386" s="237">
        <v>1</v>
      </c>
      <c r="Q386" s="88"/>
      <c r="R386" s="103">
        <f t="shared" si="20"/>
        <v>0</v>
      </c>
      <c r="S386" s="32" t="s">
        <v>305</v>
      </c>
      <c r="T386" s="103">
        <f t="shared" si="23"/>
        <v>1</v>
      </c>
      <c r="U386" s="242">
        <v>6</v>
      </c>
      <c r="V386" s="103">
        <f t="shared" si="21"/>
        <v>1</v>
      </c>
      <c r="W386" s="241" t="s">
        <v>305</v>
      </c>
      <c r="X386" s="324">
        <f t="shared" si="22"/>
        <v>1</v>
      </c>
      <c r="Y386" s="235" t="s">
        <v>483</v>
      </c>
      <c r="Z386" s="340" t="s">
        <v>545</v>
      </c>
      <c r="AA386" s="237" t="s">
        <v>161</v>
      </c>
      <c r="AB386" s="34"/>
      <c r="AC386" s="242"/>
      <c r="AD386" s="35"/>
      <c r="AE386" s="243"/>
      <c r="AF386" s="237"/>
      <c r="AG386" s="237"/>
    </row>
    <row r="387" spans="1:33" s="15" customFormat="1" ht="30" x14ac:dyDescent="0.15">
      <c r="A387" s="237" t="s">
        <v>43</v>
      </c>
      <c r="B387" s="238">
        <v>260</v>
      </c>
      <c r="C387" s="237" t="s">
        <v>44</v>
      </c>
      <c r="D387" s="237" t="s">
        <v>161</v>
      </c>
      <c r="E387" s="237">
        <v>1</v>
      </c>
      <c r="F387" s="237" t="s">
        <v>477</v>
      </c>
      <c r="G387" s="239" t="s">
        <v>546</v>
      </c>
      <c r="H387" s="240">
        <v>44250.854699074072</v>
      </c>
      <c r="I387" s="237" t="s">
        <v>48</v>
      </c>
      <c r="J387" s="237">
        <v>9</v>
      </c>
      <c r="K387" s="100">
        <v>2.4</v>
      </c>
      <c r="L387" s="90" t="s">
        <v>52</v>
      </c>
      <c r="M387" s="241" t="s">
        <v>52</v>
      </c>
      <c r="N387" s="241" t="s">
        <v>1143</v>
      </c>
      <c r="O387" s="241" t="s">
        <v>1143</v>
      </c>
      <c r="P387" s="237">
        <v>1</v>
      </c>
      <c r="Q387" s="88"/>
      <c r="R387" s="103">
        <f t="shared" ref="R387:R449" si="24">IF(Q387&lt;&gt;"",1,0)</f>
        <v>0</v>
      </c>
      <c r="S387" s="32" t="s">
        <v>305</v>
      </c>
      <c r="T387" s="103">
        <f t="shared" si="23"/>
        <v>1</v>
      </c>
      <c r="U387" s="242">
        <v>6</v>
      </c>
      <c r="V387" s="103">
        <f t="shared" ref="V387:V446" si="25">IF(U387&lt;&gt;"",1,0)</f>
        <v>1</v>
      </c>
      <c r="W387" s="241" t="s">
        <v>305</v>
      </c>
      <c r="X387" s="324">
        <f t="shared" ref="X387:X422" si="26">IF(W387&lt;&gt;"",1,0)</f>
        <v>1</v>
      </c>
      <c r="Y387" s="235" t="s">
        <v>477</v>
      </c>
      <c r="Z387" s="340" t="s">
        <v>546</v>
      </c>
      <c r="AA387" s="237" t="s">
        <v>161</v>
      </c>
      <c r="AB387" s="34"/>
      <c r="AC387" s="242"/>
      <c r="AD387" s="35"/>
      <c r="AE387" s="243"/>
      <c r="AF387" s="237"/>
      <c r="AG387" s="237"/>
    </row>
    <row r="388" spans="1:33" s="15" customFormat="1" ht="15" x14ac:dyDescent="0.15">
      <c r="A388" s="237" t="s">
        <v>43</v>
      </c>
      <c r="B388" s="238">
        <v>260</v>
      </c>
      <c r="C388" s="237" t="s">
        <v>44</v>
      </c>
      <c r="D388" s="237" t="s">
        <v>161</v>
      </c>
      <c r="E388" s="237">
        <v>1</v>
      </c>
      <c r="F388" s="237" t="s">
        <v>477</v>
      </c>
      <c r="G388" s="239" t="s">
        <v>547</v>
      </c>
      <c r="H388" s="240">
        <v>44250.855069444442</v>
      </c>
      <c r="I388" s="237" t="s">
        <v>48</v>
      </c>
      <c r="J388" s="237">
        <v>9</v>
      </c>
      <c r="K388" s="100">
        <v>2.4</v>
      </c>
      <c r="L388" s="90" t="s">
        <v>52</v>
      </c>
      <c r="M388" s="241" t="s">
        <v>52</v>
      </c>
      <c r="N388" s="241" t="s">
        <v>1143</v>
      </c>
      <c r="O388" s="241" t="s">
        <v>1143</v>
      </c>
      <c r="P388" s="237">
        <v>1</v>
      </c>
      <c r="Q388" s="88"/>
      <c r="R388" s="103">
        <f t="shared" si="24"/>
        <v>0</v>
      </c>
      <c r="S388" s="32" t="s">
        <v>305</v>
      </c>
      <c r="T388" s="103">
        <f t="shared" ref="T388:T447" si="27">IF(S387&lt;&gt;"",1,0)</f>
        <v>1</v>
      </c>
      <c r="U388" s="242">
        <v>6</v>
      </c>
      <c r="V388" s="103">
        <f t="shared" si="25"/>
        <v>1</v>
      </c>
      <c r="W388" s="241" t="s">
        <v>305</v>
      </c>
      <c r="X388" s="324">
        <f t="shared" si="26"/>
        <v>1</v>
      </c>
      <c r="Y388" s="235" t="s">
        <v>477</v>
      </c>
      <c r="Z388" s="340" t="s">
        <v>547</v>
      </c>
      <c r="AA388" s="237" t="s">
        <v>161</v>
      </c>
      <c r="AB388" s="34" t="s">
        <v>74</v>
      </c>
      <c r="AC388" s="242" t="s">
        <v>74</v>
      </c>
      <c r="AD388" s="35"/>
      <c r="AE388" s="243"/>
      <c r="AF388" s="237"/>
      <c r="AG388" s="237"/>
    </row>
    <row r="389" spans="1:33" s="15" customFormat="1" ht="15" x14ac:dyDescent="0.15">
      <c r="A389" s="237" t="s">
        <v>43</v>
      </c>
      <c r="B389" s="238">
        <v>260</v>
      </c>
      <c r="C389" s="237" t="s">
        <v>44</v>
      </c>
      <c r="D389" s="237" t="s">
        <v>161</v>
      </c>
      <c r="E389" s="237">
        <v>1</v>
      </c>
      <c r="F389" s="237" t="s">
        <v>483</v>
      </c>
      <c r="G389" s="239" t="s">
        <v>548</v>
      </c>
      <c r="H389" s="240">
        <v>44250.855543981481</v>
      </c>
      <c r="I389" s="237" t="s">
        <v>48</v>
      </c>
      <c r="J389" s="237">
        <v>10</v>
      </c>
      <c r="K389" s="100">
        <v>2.4</v>
      </c>
      <c r="L389" s="90" t="s">
        <v>52</v>
      </c>
      <c r="M389" s="241" t="s">
        <v>52</v>
      </c>
      <c r="N389" s="241" t="s">
        <v>1143</v>
      </c>
      <c r="O389" s="241" t="s">
        <v>1143</v>
      </c>
      <c r="P389" s="237">
        <v>1</v>
      </c>
      <c r="Q389" s="88"/>
      <c r="R389" s="103">
        <f t="shared" si="24"/>
        <v>0</v>
      </c>
      <c r="S389" s="32" t="s">
        <v>58</v>
      </c>
      <c r="T389" s="103">
        <f t="shared" si="27"/>
        <v>1</v>
      </c>
      <c r="U389" s="242">
        <v>6</v>
      </c>
      <c r="V389" s="103">
        <f t="shared" si="25"/>
        <v>1</v>
      </c>
      <c r="W389" s="241" t="s">
        <v>58</v>
      </c>
      <c r="X389" s="324">
        <f t="shared" si="26"/>
        <v>1</v>
      </c>
      <c r="Y389" s="235" t="s">
        <v>483</v>
      </c>
      <c r="Z389" s="340" t="s">
        <v>548</v>
      </c>
      <c r="AA389" s="237" t="s">
        <v>161</v>
      </c>
      <c r="AB389" s="34"/>
      <c r="AC389" s="242"/>
      <c r="AD389" s="35"/>
      <c r="AE389" s="243"/>
      <c r="AF389" s="237"/>
      <c r="AG389" s="237"/>
    </row>
    <row r="390" spans="1:33" s="15" customFormat="1" ht="15" x14ac:dyDescent="0.15">
      <c r="A390" s="237" t="s">
        <v>43</v>
      </c>
      <c r="B390" s="238">
        <v>260</v>
      </c>
      <c r="C390" s="237" t="s">
        <v>44</v>
      </c>
      <c r="D390" s="237" t="s">
        <v>161</v>
      </c>
      <c r="E390" s="237">
        <v>1</v>
      </c>
      <c r="F390" s="237" t="s">
        <v>477</v>
      </c>
      <c r="G390" s="239" t="s">
        <v>549</v>
      </c>
      <c r="H390" s="240">
        <v>44250.85596064815</v>
      </c>
      <c r="I390" s="237" t="s">
        <v>48</v>
      </c>
      <c r="J390" s="237">
        <v>9</v>
      </c>
      <c r="K390" s="100">
        <v>2.4</v>
      </c>
      <c r="L390" s="90" t="s">
        <v>52</v>
      </c>
      <c r="M390" s="241" t="s">
        <v>52</v>
      </c>
      <c r="N390" s="241" t="s">
        <v>1143</v>
      </c>
      <c r="O390" s="241" t="s">
        <v>1143</v>
      </c>
      <c r="P390" s="237">
        <v>1</v>
      </c>
      <c r="Q390" s="88"/>
      <c r="R390" s="103">
        <f t="shared" si="24"/>
        <v>0</v>
      </c>
      <c r="S390" s="32" t="s">
        <v>58</v>
      </c>
      <c r="T390" s="103">
        <f t="shared" si="27"/>
        <v>1</v>
      </c>
      <c r="U390" s="242">
        <v>6</v>
      </c>
      <c r="V390" s="103">
        <f t="shared" si="25"/>
        <v>1</v>
      </c>
      <c r="W390" s="241" t="s">
        <v>58</v>
      </c>
      <c r="X390" s="324">
        <f t="shared" si="26"/>
        <v>1</v>
      </c>
      <c r="Y390" s="235" t="s">
        <v>477</v>
      </c>
      <c r="Z390" s="340" t="s">
        <v>549</v>
      </c>
      <c r="AA390" s="237" t="s">
        <v>161</v>
      </c>
      <c r="AB390" s="34"/>
      <c r="AC390" s="242"/>
      <c r="AD390" s="35"/>
      <c r="AE390" s="243"/>
      <c r="AF390" s="237"/>
      <c r="AG390" s="237"/>
    </row>
    <row r="391" spans="1:33" s="15" customFormat="1" ht="15" x14ac:dyDescent="0.15">
      <c r="A391" s="237" t="s">
        <v>43</v>
      </c>
      <c r="B391" s="238">
        <v>260</v>
      </c>
      <c r="C391" s="237" t="s">
        <v>44</v>
      </c>
      <c r="D391" s="237" t="s">
        <v>161</v>
      </c>
      <c r="E391" s="237">
        <v>1</v>
      </c>
      <c r="F391" s="237" t="s">
        <v>477</v>
      </c>
      <c r="G391" s="239" t="s">
        <v>550</v>
      </c>
      <c r="H391" s="240">
        <v>44250.856041666666</v>
      </c>
      <c r="I391" s="237" t="s">
        <v>48</v>
      </c>
      <c r="J391" s="237">
        <v>9</v>
      </c>
      <c r="K391" s="100">
        <v>2.4</v>
      </c>
      <c r="L391" s="90" t="s">
        <v>52</v>
      </c>
      <c r="M391" s="241" t="s">
        <v>52</v>
      </c>
      <c r="N391" s="241" t="s">
        <v>1143</v>
      </c>
      <c r="O391" s="241" t="s">
        <v>1143</v>
      </c>
      <c r="P391" s="237">
        <v>1</v>
      </c>
      <c r="Q391" s="88"/>
      <c r="R391" s="103">
        <f t="shared" si="24"/>
        <v>0</v>
      </c>
      <c r="S391" s="32"/>
      <c r="T391" s="103">
        <f t="shared" si="27"/>
        <v>1</v>
      </c>
      <c r="U391" s="242">
        <v>6</v>
      </c>
      <c r="V391" s="103">
        <f t="shared" si="25"/>
        <v>1</v>
      </c>
      <c r="W391" s="241"/>
      <c r="X391" s="324">
        <f t="shared" si="26"/>
        <v>0</v>
      </c>
      <c r="Y391" s="235" t="s">
        <v>477</v>
      </c>
      <c r="Z391" s="340" t="s">
        <v>550</v>
      </c>
      <c r="AA391" s="237" t="s">
        <v>161</v>
      </c>
      <c r="AB391" s="34"/>
      <c r="AC391" s="242"/>
      <c r="AD391" s="35"/>
      <c r="AE391" s="243"/>
      <c r="AF391" s="237"/>
      <c r="AG391" s="237"/>
    </row>
    <row r="392" spans="1:33" s="15" customFormat="1" ht="15" x14ac:dyDescent="0.15">
      <c r="A392" s="237" t="s">
        <v>43</v>
      </c>
      <c r="B392" s="238">
        <v>260</v>
      </c>
      <c r="C392" s="237" t="s">
        <v>44</v>
      </c>
      <c r="D392" s="237" t="s">
        <v>161</v>
      </c>
      <c r="E392" s="237">
        <v>1</v>
      </c>
      <c r="F392" s="237" t="s">
        <v>480</v>
      </c>
      <c r="G392" s="239" t="s">
        <v>551</v>
      </c>
      <c r="H392" s="240">
        <v>44250.85665509259</v>
      </c>
      <c r="I392" s="237" t="s">
        <v>48</v>
      </c>
      <c r="J392" s="237">
        <v>9</v>
      </c>
      <c r="K392" s="100">
        <v>2.4</v>
      </c>
      <c r="L392" s="90" t="s">
        <v>52</v>
      </c>
      <c r="M392" s="241" t="s">
        <v>52</v>
      </c>
      <c r="N392" s="241" t="s">
        <v>1143</v>
      </c>
      <c r="O392" s="241" t="s">
        <v>1143</v>
      </c>
      <c r="P392" s="237">
        <v>1</v>
      </c>
      <c r="Q392" s="88"/>
      <c r="R392" s="103">
        <f t="shared" si="24"/>
        <v>0</v>
      </c>
      <c r="S392" s="32"/>
      <c r="T392" s="103">
        <f t="shared" si="27"/>
        <v>0</v>
      </c>
      <c r="U392" s="242">
        <v>6</v>
      </c>
      <c r="V392" s="103">
        <f t="shared" si="25"/>
        <v>1</v>
      </c>
      <c r="W392" s="241"/>
      <c r="X392" s="324">
        <f t="shared" si="26"/>
        <v>0</v>
      </c>
      <c r="Y392" s="235" t="s">
        <v>480</v>
      </c>
      <c r="Z392" s="340" t="s">
        <v>551</v>
      </c>
      <c r="AA392" s="237" t="s">
        <v>161</v>
      </c>
      <c r="AB392" s="34" t="s">
        <v>261</v>
      </c>
      <c r="AC392" s="242" t="s">
        <v>261</v>
      </c>
      <c r="AD392" s="35"/>
      <c r="AE392" s="243"/>
      <c r="AF392" s="237"/>
      <c r="AG392" s="237"/>
    </row>
    <row r="393" spans="1:33" s="15" customFormat="1" ht="15" x14ac:dyDescent="0.15">
      <c r="A393" s="237" t="s">
        <v>43</v>
      </c>
      <c r="B393" s="238">
        <v>260</v>
      </c>
      <c r="C393" s="237" t="s">
        <v>44</v>
      </c>
      <c r="D393" s="237" t="s">
        <v>161</v>
      </c>
      <c r="E393" s="237">
        <v>1</v>
      </c>
      <c r="F393" s="237" t="s">
        <v>483</v>
      </c>
      <c r="G393" s="239" t="s">
        <v>552</v>
      </c>
      <c r="H393" s="240">
        <v>44250.856851851851</v>
      </c>
      <c r="I393" s="237" t="s">
        <v>48</v>
      </c>
      <c r="J393" s="237">
        <v>10</v>
      </c>
      <c r="K393" s="100">
        <v>2.4</v>
      </c>
      <c r="L393" s="90" t="s">
        <v>52</v>
      </c>
      <c r="M393" s="241" t="s">
        <v>52</v>
      </c>
      <c r="N393" s="241" t="s">
        <v>1143</v>
      </c>
      <c r="O393" s="241" t="s">
        <v>1143</v>
      </c>
      <c r="P393" s="237">
        <v>1</v>
      </c>
      <c r="Q393" s="88" t="s">
        <v>312</v>
      </c>
      <c r="R393" s="103">
        <f t="shared" si="24"/>
        <v>1</v>
      </c>
      <c r="S393" s="32" t="s">
        <v>58</v>
      </c>
      <c r="T393" s="103">
        <f t="shared" si="27"/>
        <v>0</v>
      </c>
      <c r="U393" s="242">
        <v>6</v>
      </c>
      <c r="V393" s="103">
        <f t="shared" si="25"/>
        <v>1</v>
      </c>
      <c r="W393" s="241" t="s">
        <v>58</v>
      </c>
      <c r="X393" s="324">
        <f t="shared" si="26"/>
        <v>1</v>
      </c>
      <c r="Y393" s="235" t="s">
        <v>483</v>
      </c>
      <c r="Z393" s="340" t="s">
        <v>552</v>
      </c>
      <c r="AA393" s="237" t="s">
        <v>161</v>
      </c>
      <c r="AB393" s="34"/>
      <c r="AC393" s="242"/>
      <c r="AD393" s="35"/>
      <c r="AE393" s="243"/>
      <c r="AF393" s="237"/>
      <c r="AG393" s="237"/>
    </row>
    <row r="394" spans="1:33" s="15" customFormat="1" ht="60" x14ac:dyDescent="0.15">
      <c r="A394" s="237" t="s">
        <v>43</v>
      </c>
      <c r="B394" s="238">
        <v>260</v>
      </c>
      <c r="C394" s="237" t="s">
        <v>44</v>
      </c>
      <c r="D394" s="237" t="s">
        <v>161</v>
      </c>
      <c r="E394" s="237">
        <v>1</v>
      </c>
      <c r="F394" s="237" t="s">
        <v>480</v>
      </c>
      <c r="G394" s="239" t="s">
        <v>553</v>
      </c>
      <c r="H394" s="240">
        <v>44250.857418981483</v>
      </c>
      <c r="I394" s="237" t="s">
        <v>48</v>
      </c>
      <c r="J394" s="237">
        <v>9</v>
      </c>
      <c r="K394" s="100">
        <v>2.4</v>
      </c>
      <c r="L394" s="90" t="s">
        <v>108</v>
      </c>
      <c r="M394" s="241" t="s">
        <v>108</v>
      </c>
      <c r="N394" s="241" t="s">
        <v>108</v>
      </c>
      <c r="O394" s="241" t="s">
        <v>108</v>
      </c>
      <c r="P394" s="237">
        <v>1</v>
      </c>
      <c r="Q394" s="34"/>
      <c r="R394" s="103">
        <f t="shared" si="24"/>
        <v>0</v>
      </c>
      <c r="S394" s="32"/>
      <c r="T394" s="103">
        <f t="shared" si="27"/>
        <v>1</v>
      </c>
      <c r="U394" s="242"/>
      <c r="V394" s="103">
        <v>1</v>
      </c>
      <c r="W394" s="241"/>
      <c r="X394" s="324">
        <f t="shared" si="26"/>
        <v>0</v>
      </c>
      <c r="Y394" s="235" t="s">
        <v>480</v>
      </c>
      <c r="Z394" s="340" t="s">
        <v>553</v>
      </c>
      <c r="AA394" s="237" t="s">
        <v>161</v>
      </c>
      <c r="AB394" s="34" t="s">
        <v>112</v>
      </c>
      <c r="AC394" s="242" t="s">
        <v>112</v>
      </c>
      <c r="AD394" s="35" t="s">
        <v>109</v>
      </c>
      <c r="AE394" s="243" t="s">
        <v>109</v>
      </c>
      <c r="AF394" s="237"/>
      <c r="AG394" s="237"/>
    </row>
    <row r="395" spans="1:33" s="15" customFormat="1" ht="30" x14ac:dyDescent="0.15">
      <c r="A395" s="237" t="s">
        <v>43</v>
      </c>
      <c r="B395" s="238">
        <v>260</v>
      </c>
      <c r="C395" s="237" t="s">
        <v>44</v>
      </c>
      <c r="D395" s="237" t="s">
        <v>161</v>
      </c>
      <c r="E395" s="237">
        <v>1</v>
      </c>
      <c r="F395" s="237" t="s">
        <v>477</v>
      </c>
      <c r="G395" s="239" t="s">
        <v>554</v>
      </c>
      <c r="H395" s="240">
        <v>44250.857488425929</v>
      </c>
      <c r="I395" s="237" t="s">
        <v>48</v>
      </c>
      <c r="J395" s="237">
        <v>9</v>
      </c>
      <c r="K395" s="100">
        <v>2.4</v>
      </c>
      <c r="L395" s="90" t="s">
        <v>1145</v>
      </c>
      <c r="M395" s="241" t="s">
        <v>49</v>
      </c>
      <c r="N395" s="241" t="s">
        <v>49</v>
      </c>
      <c r="O395" s="241" t="s">
        <v>1163</v>
      </c>
      <c r="P395" s="237">
        <v>1</v>
      </c>
      <c r="Q395" s="34"/>
      <c r="R395" s="103">
        <f t="shared" si="24"/>
        <v>0</v>
      </c>
      <c r="S395" s="32"/>
      <c r="T395" s="103">
        <f t="shared" si="27"/>
        <v>0</v>
      </c>
      <c r="U395" s="242"/>
      <c r="V395" s="103">
        <v>1</v>
      </c>
      <c r="W395" s="241" t="s">
        <v>58</v>
      </c>
      <c r="X395" s="324">
        <f t="shared" si="26"/>
        <v>1</v>
      </c>
      <c r="Y395" s="235" t="s">
        <v>477</v>
      </c>
      <c r="Z395" s="340" t="s">
        <v>554</v>
      </c>
      <c r="AA395" s="237" t="s">
        <v>161</v>
      </c>
      <c r="AB395" s="34"/>
      <c r="AC395" s="242"/>
      <c r="AD395" s="35"/>
      <c r="AE395" s="243"/>
      <c r="AF395" s="237"/>
      <c r="AG395" s="237"/>
    </row>
    <row r="396" spans="1:33" s="15" customFormat="1" ht="45" x14ac:dyDescent="0.15">
      <c r="A396" s="237" t="s">
        <v>43</v>
      </c>
      <c r="B396" s="238">
        <v>260</v>
      </c>
      <c r="C396" s="237" t="s">
        <v>44</v>
      </c>
      <c r="D396" s="237" t="s">
        <v>161</v>
      </c>
      <c r="E396" s="237">
        <v>1</v>
      </c>
      <c r="F396" s="237" t="s">
        <v>477</v>
      </c>
      <c r="G396" s="239" t="s">
        <v>555</v>
      </c>
      <c r="H396" s="240">
        <v>44250.857939814814</v>
      </c>
      <c r="I396" s="237" t="s">
        <v>48</v>
      </c>
      <c r="J396" s="237">
        <v>9</v>
      </c>
      <c r="K396" s="100">
        <v>2.4</v>
      </c>
      <c r="L396" s="90" t="s">
        <v>108</v>
      </c>
      <c r="M396" s="241" t="s">
        <v>108</v>
      </c>
      <c r="N396" s="241" t="s">
        <v>108</v>
      </c>
      <c r="O396" s="241" t="s">
        <v>108</v>
      </c>
      <c r="P396" s="237">
        <v>1</v>
      </c>
      <c r="Q396" s="34"/>
      <c r="R396" s="103">
        <f t="shared" si="24"/>
        <v>0</v>
      </c>
      <c r="S396" s="32"/>
      <c r="T396" s="103">
        <f t="shared" si="27"/>
        <v>0</v>
      </c>
      <c r="U396" s="242"/>
      <c r="V396" s="103">
        <v>1</v>
      </c>
      <c r="W396" s="241" t="s">
        <v>58</v>
      </c>
      <c r="X396" s="324">
        <f t="shared" si="26"/>
        <v>1</v>
      </c>
      <c r="Y396" s="235" t="s">
        <v>477</v>
      </c>
      <c r="Z396" s="340" t="s">
        <v>555</v>
      </c>
      <c r="AA396" s="237" t="s">
        <v>161</v>
      </c>
      <c r="AB396" s="34" t="s">
        <v>112</v>
      </c>
      <c r="AC396" s="242" t="s">
        <v>112</v>
      </c>
      <c r="AD396" s="35"/>
      <c r="AE396" s="243"/>
      <c r="AF396" s="237"/>
      <c r="AG396" s="237"/>
    </row>
    <row r="397" spans="1:33" s="15" customFormat="1" ht="60" x14ac:dyDescent="0.15">
      <c r="A397" s="237" t="s">
        <v>43</v>
      </c>
      <c r="B397" s="238">
        <v>260</v>
      </c>
      <c r="C397" s="237" t="s">
        <v>44</v>
      </c>
      <c r="D397" s="237" t="s">
        <v>161</v>
      </c>
      <c r="E397" s="237">
        <v>1</v>
      </c>
      <c r="F397" s="237" t="s">
        <v>483</v>
      </c>
      <c r="G397" s="239" t="s">
        <v>556</v>
      </c>
      <c r="H397" s="240">
        <v>44250.858055555553</v>
      </c>
      <c r="I397" s="237" t="s">
        <v>48</v>
      </c>
      <c r="J397" s="237">
        <v>10</v>
      </c>
      <c r="K397" s="100">
        <v>2.4</v>
      </c>
      <c r="L397" s="90" t="s">
        <v>108</v>
      </c>
      <c r="M397" s="241" t="s">
        <v>108</v>
      </c>
      <c r="N397" s="241" t="s">
        <v>108</v>
      </c>
      <c r="O397" s="241" t="s">
        <v>108</v>
      </c>
      <c r="P397" s="237">
        <v>1</v>
      </c>
      <c r="Q397" s="88" t="s">
        <v>295</v>
      </c>
      <c r="R397" s="103">
        <f t="shared" si="24"/>
        <v>1</v>
      </c>
      <c r="S397" s="32"/>
      <c r="T397" s="103">
        <f t="shared" si="27"/>
        <v>0</v>
      </c>
      <c r="U397" s="242">
        <v>7</v>
      </c>
      <c r="V397" s="103">
        <f t="shared" si="25"/>
        <v>1</v>
      </c>
      <c r="W397" s="241"/>
      <c r="X397" s="324">
        <f t="shared" si="26"/>
        <v>0</v>
      </c>
      <c r="Y397" s="235" t="s">
        <v>483</v>
      </c>
      <c r="Z397" s="340" t="s">
        <v>556</v>
      </c>
      <c r="AA397" s="237" t="s">
        <v>161</v>
      </c>
      <c r="AB397" s="34"/>
      <c r="AC397" s="242"/>
      <c r="AD397" s="35"/>
      <c r="AE397" s="243"/>
      <c r="AF397" s="237"/>
      <c r="AG397" s="237"/>
    </row>
    <row r="398" spans="1:33" s="15" customFormat="1" ht="30" x14ac:dyDescent="0.15">
      <c r="A398" s="237" t="s">
        <v>43</v>
      </c>
      <c r="B398" s="238">
        <v>260</v>
      </c>
      <c r="C398" s="237" t="s">
        <v>44</v>
      </c>
      <c r="D398" s="237" t="s">
        <v>161</v>
      </c>
      <c r="E398" s="237">
        <v>1</v>
      </c>
      <c r="F398" s="237" t="s">
        <v>483</v>
      </c>
      <c r="G398" s="239" t="s">
        <v>557</v>
      </c>
      <c r="H398" s="240">
        <v>44250.85833333333</v>
      </c>
      <c r="I398" s="237" t="s">
        <v>48</v>
      </c>
      <c r="J398" s="237">
        <v>10</v>
      </c>
      <c r="K398" s="100">
        <v>2.4</v>
      </c>
      <c r="L398" s="90" t="s">
        <v>1145</v>
      </c>
      <c r="M398" s="241" t="s">
        <v>68</v>
      </c>
      <c r="N398" s="241" t="s">
        <v>68</v>
      </c>
      <c r="O398" s="241" t="s">
        <v>1163</v>
      </c>
      <c r="P398" s="237">
        <v>1</v>
      </c>
      <c r="Q398" s="88" t="s">
        <v>315</v>
      </c>
      <c r="R398" s="103">
        <f t="shared" si="24"/>
        <v>1</v>
      </c>
      <c r="S398" s="32"/>
      <c r="T398" s="103">
        <f t="shared" si="27"/>
        <v>0</v>
      </c>
      <c r="U398" s="242"/>
      <c r="V398" s="103">
        <v>2</v>
      </c>
      <c r="W398" s="241"/>
      <c r="X398" s="324">
        <f t="shared" si="26"/>
        <v>0</v>
      </c>
      <c r="Y398" s="235" t="s">
        <v>483</v>
      </c>
      <c r="Z398" s="340" t="s">
        <v>557</v>
      </c>
      <c r="AA398" s="237" t="s">
        <v>161</v>
      </c>
      <c r="AB398" s="34"/>
      <c r="AC398" s="242"/>
      <c r="AD398" s="35"/>
      <c r="AE398" s="243"/>
      <c r="AF398" s="237"/>
      <c r="AG398" s="237"/>
    </row>
    <row r="399" spans="1:33" s="15" customFormat="1" ht="15" x14ac:dyDescent="0.15">
      <c r="A399" s="237" t="s">
        <v>43</v>
      </c>
      <c r="B399" s="238">
        <v>260</v>
      </c>
      <c r="C399" s="237" t="s">
        <v>44</v>
      </c>
      <c r="D399" s="237" t="s">
        <v>161</v>
      </c>
      <c r="E399" s="237">
        <v>1</v>
      </c>
      <c r="F399" s="237" t="s">
        <v>477</v>
      </c>
      <c r="G399" s="239" t="s">
        <v>558</v>
      </c>
      <c r="H399" s="240">
        <v>44250.858472222222</v>
      </c>
      <c r="I399" s="237" t="s">
        <v>48</v>
      </c>
      <c r="J399" s="237">
        <v>9</v>
      </c>
      <c r="K399" s="100">
        <v>2.4</v>
      </c>
      <c r="L399" s="90" t="s">
        <v>108</v>
      </c>
      <c r="M399" s="241" t="s">
        <v>108</v>
      </c>
      <c r="N399" s="241" t="s">
        <v>108</v>
      </c>
      <c r="O399" s="241" t="s">
        <v>108</v>
      </c>
      <c r="P399" s="237">
        <v>1</v>
      </c>
      <c r="Q399" s="88"/>
      <c r="R399" s="103">
        <f t="shared" si="24"/>
        <v>0</v>
      </c>
      <c r="S399" s="32"/>
      <c r="T399" s="103">
        <f t="shared" si="27"/>
        <v>0</v>
      </c>
      <c r="U399" s="242">
        <v>7</v>
      </c>
      <c r="V399" s="103">
        <v>2</v>
      </c>
      <c r="W399" s="241"/>
      <c r="X399" s="324">
        <f t="shared" si="26"/>
        <v>0</v>
      </c>
      <c r="Y399" s="235" t="s">
        <v>477</v>
      </c>
      <c r="Z399" s="340" t="s">
        <v>558</v>
      </c>
      <c r="AA399" s="237" t="s">
        <v>161</v>
      </c>
      <c r="AB399" s="34"/>
      <c r="AC399" s="242"/>
      <c r="AD399" s="35"/>
      <c r="AE399" s="243"/>
      <c r="AF399" s="237"/>
      <c r="AG399" s="237"/>
    </row>
    <row r="400" spans="1:33" s="15" customFormat="1" ht="15" x14ac:dyDescent="0.15">
      <c r="A400" s="237" t="s">
        <v>43</v>
      </c>
      <c r="B400" s="238">
        <v>260</v>
      </c>
      <c r="C400" s="237" t="s">
        <v>44</v>
      </c>
      <c r="D400" s="237" t="s">
        <v>161</v>
      </c>
      <c r="E400" s="237">
        <v>1</v>
      </c>
      <c r="F400" s="237" t="s">
        <v>480</v>
      </c>
      <c r="G400" s="239" t="s">
        <v>559</v>
      </c>
      <c r="H400" s="240">
        <v>44250.858738425923</v>
      </c>
      <c r="I400" s="237" t="s">
        <v>48</v>
      </c>
      <c r="J400" s="237">
        <v>9</v>
      </c>
      <c r="K400" s="100">
        <v>2.4</v>
      </c>
      <c r="L400" s="90" t="s">
        <v>108</v>
      </c>
      <c r="M400" s="241" t="s">
        <v>108</v>
      </c>
      <c r="N400" s="241" t="s">
        <v>108</v>
      </c>
      <c r="O400" s="241" t="s">
        <v>108</v>
      </c>
      <c r="P400" s="237">
        <v>1</v>
      </c>
      <c r="Q400" s="88"/>
      <c r="R400" s="103">
        <f t="shared" si="24"/>
        <v>0</v>
      </c>
      <c r="S400" s="32"/>
      <c r="T400" s="103">
        <f t="shared" si="27"/>
        <v>0</v>
      </c>
      <c r="U400" s="242">
        <v>7</v>
      </c>
      <c r="V400" s="103">
        <v>2</v>
      </c>
      <c r="W400" s="241"/>
      <c r="X400" s="324">
        <f t="shared" si="26"/>
        <v>0</v>
      </c>
      <c r="Y400" s="235" t="s">
        <v>480</v>
      </c>
      <c r="Z400" s="340" t="s">
        <v>559</v>
      </c>
      <c r="AA400" s="237" t="s">
        <v>161</v>
      </c>
      <c r="AB400" s="34"/>
      <c r="AC400" s="242"/>
      <c r="AD400" s="35"/>
      <c r="AE400" s="243"/>
      <c r="AF400" s="237"/>
      <c r="AG400" s="237"/>
    </row>
    <row r="401" spans="1:33" s="15" customFormat="1" ht="15" x14ac:dyDescent="0.15">
      <c r="A401" s="237" t="s">
        <v>43</v>
      </c>
      <c r="B401" s="238">
        <v>260</v>
      </c>
      <c r="C401" s="237" t="s">
        <v>44</v>
      </c>
      <c r="D401" s="237" t="s">
        <v>161</v>
      </c>
      <c r="E401" s="237">
        <v>1</v>
      </c>
      <c r="F401" s="237" t="s">
        <v>480</v>
      </c>
      <c r="G401" s="239" t="s">
        <v>560</v>
      </c>
      <c r="H401" s="240">
        <v>44250.859803240739</v>
      </c>
      <c r="I401" s="237" t="s">
        <v>48</v>
      </c>
      <c r="J401" s="237">
        <v>9</v>
      </c>
      <c r="K401" s="100">
        <v>2.4</v>
      </c>
      <c r="L401" s="90" t="s">
        <v>108</v>
      </c>
      <c r="M401" s="241" t="s">
        <v>108</v>
      </c>
      <c r="N401" s="241" t="s">
        <v>108</v>
      </c>
      <c r="O401" s="241" t="s">
        <v>108</v>
      </c>
      <c r="P401" s="237">
        <v>1</v>
      </c>
      <c r="Q401" s="88"/>
      <c r="R401" s="103">
        <f t="shared" si="24"/>
        <v>0</v>
      </c>
      <c r="S401" s="32" t="s">
        <v>58</v>
      </c>
      <c r="T401" s="103">
        <f t="shared" si="27"/>
        <v>0</v>
      </c>
      <c r="U401" s="242">
        <v>7</v>
      </c>
      <c r="V401" s="103">
        <f t="shared" si="25"/>
        <v>1</v>
      </c>
      <c r="W401" s="241" t="s">
        <v>58</v>
      </c>
      <c r="X401" s="324">
        <f t="shared" si="26"/>
        <v>1</v>
      </c>
      <c r="Y401" s="235" t="s">
        <v>480</v>
      </c>
      <c r="Z401" s="340" t="s">
        <v>560</v>
      </c>
      <c r="AA401" s="237" t="s">
        <v>161</v>
      </c>
      <c r="AB401" s="34"/>
      <c r="AC401" s="242"/>
      <c r="AD401" s="35"/>
      <c r="AE401" s="243"/>
      <c r="AF401" s="237"/>
      <c r="AG401" s="237"/>
    </row>
    <row r="402" spans="1:33" s="15" customFormat="1" ht="15" x14ac:dyDescent="0.15">
      <c r="A402" s="237" t="s">
        <v>43</v>
      </c>
      <c r="B402" s="238">
        <v>260</v>
      </c>
      <c r="C402" s="237" t="s">
        <v>44</v>
      </c>
      <c r="D402" s="237" t="s">
        <v>161</v>
      </c>
      <c r="E402" s="237">
        <v>1</v>
      </c>
      <c r="F402" s="237" t="s">
        <v>477</v>
      </c>
      <c r="G402" s="239" t="s">
        <v>561</v>
      </c>
      <c r="H402" s="240">
        <v>44250.860289351855</v>
      </c>
      <c r="I402" s="237" t="s">
        <v>48</v>
      </c>
      <c r="J402" s="237">
        <v>9</v>
      </c>
      <c r="K402" s="100">
        <v>2.4</v>
      </c>
      <c r="L402" s="90" t="s">
        <v>108</v>
      </c>
      <c r="M402" s="241" t="s">
        <v>108</v>
      </c>
      <c r="N402" s="241" t="s">
        <v>108</v>
      </c>
      <c r="O402" s="241" t="s">
        <v>108</v>
      </c>
      <c r="P402" s="237">
        <v>1</v>
      </c>
      <c r="Q402" s="88"/>
      <c r="R402" s="103">
        <f t="shared" si="24"/>
        <v>0</v>
      </c>
      <c r="S402" s="32" t="s">
        <v>58</v>
      </c>
      <c r="T402" s="103">
        <f t="shared" si="27"/>
        <v>1</v>
      </c>
      <c r="U402" s="242">
        <v>7</v>
      </c>
      <c r="V402" s="103">
        <f t="shared" si="25"/>
        <v>1</v>
      </c>
      <c r="W402" s="241" t="s">
        <v>58</v>
      </c>
      <c r="X402" s="324">
        <f t="shared" si="26"/>
        <v>1</v>
      </c>
      <c r="Y402" s="235" t="s">
        <v>477</v>
      </c>
      <c r="Z402" s="340" t="s">
        <v>561</v>
      </c>
      <c r="AA402" s="237" t="s">
        <v>161</v>
      </c>
      <c r="AB402" s="34"/>
      <c r="AC402" s="242"/>
      <c r="AD402" s="35"/>
      <c r="AE402" s="243"/>
      <c r="AF402" s="237"/>
      <c r="AG402" s="237"/>
    </row>
    <row r="403" spans="1:33" s="15" customFormat="1" ht="15" x14ac:dyDescent="0.15">
      <c r="A403" s="237" t="s">
        <v>43</v>
      </c>
      <c r="B403" s="238">
        <v>260</v>
      </c>
      <c r="C403" s="237" t="s">
        <v>44</v>
      </c>
      <c r="D403" s="237" t="s">
        <v>161</v>
      </c>
      <c r="E403" s="237">
        <v>1</v>
      </c>
      <c r="F403" s="237" t="s">
        <v>477</v>
      </c>
      <c r="G403" s="239" t="s">
        <v>562</v>
      </c>
      <c r="H403" s="240">
        <v>44250.860393518517</v>
      </c>
      <c r="I403" s="237" t="s">
        <v>48</v>
      </c>
      <c r="J403" s="237">
        <v>9</v>
      </c>
      <c r="K403" s="100">
        <v>2.4</v>
      </c>
      <c r="L403" s="90" t="s">
        <v>108</v>
      </c>
      <c r="M403" s="241" t="s">
        <v>108</v>
      </c>
      <c r="N403" s="241" t="s">
        <v>108</v>
      </c>
      <c r="O403" s="241" t="s">
        <v>108</v>
      </c>
      <c r="P403" s="237">
        <v>1</v>
      </c>
      <c r="Q403" s="88"/>
      <c r="R403" s="103">
        <f t="shared" si="24"/>
        <v>0</v>
      </c>
      <c r="S403" s="32" t="s">
        <v>58</v>
      </c>
      <c r="T403" s="103">
        <f t="shared" si="27"/>
        <v>1</v>
      </c>
      <c r="U403" s="242">
        <v>7</v>
      </c>
      <c r="V403" s="103">
        <f t="shared" si="25"/>
        <v>1</v>
      </c>
      <c r="W403" s="241" t="s">
        <v>58</v>
      </c>
      <c r="X403" s="324">
        <f t="shared" si="26"/>
        <v>1</v>
      </c>
      <c r="Y403" s="235" t="s">
        <v>477</v>
      </c>
      <c r="Z403" s="340" t="s">
        <v>562</v>
      </c>
      <c r="AA403" s="237" t="s">
        <v>161</v>
      </c>
      <c r="AB403" s="34"/>
      <c r="AC403" s="242"/>
      <c r="AD403" s="35"/>
      <c r="AE403" s="243"/>
      <c r="AF403" s="237"/>
      <c r="AG403" s="237"/>
    </row>
    <row r="404" spans="1:33" s="15" customFormat="1" ht="15" x14ac:dyDescent="0.15">
      <c r="A404" s="237" t="s">
        <v>43</v>
      </c>
      <c r="B404" s="238">
        <v>260</v>
      </c>
      <c r="C404" s="237" t="s">
        <v>44</v>
      </c>
      <c r="D404" s="237" t="s">
        <v>161</v>
      </c>
      <c r="E404" s="237">
        <v>1</v>
      </c>
      <c r="F404" s="237" t="s">
        <v>480</v>
      </c>
      <c r="G404" s="239" t="s">
        <v>563</v>
      </c>
      <c r="H404" s="240">
        <v>44250.860625000001</v>
      </c>
      <c r="I404" s="237" t="s">
        <v>48</v>
      </c>
      <c r="J404" s="237">
        <v>9</v>
      </c>
      <c r="K404" s="100">
        <v>2.4</v>
      </c>
      <c r="L404" s="90" t="s">
        <v>108</v>
      </c>
      <c r="M404" s="241" t="s">
        <v>108</v>
      </c>
      <c r="N404" s="241" t="s">
        <v>108</v>
      </c>
      <c r="O404" s="241" t="s">
        <v>108</v>
      </c>
      <c r="P404" s="237">
        <v>1</v>
      </c>
      <c r="Q404" s="88"/>
      <c r="R404" s="103">
        <f t="shared" si="24"/>
        <v>0</v>
      </c>
      <c r="S404" s="32" t="s">
        <v>58</v>
      </c>
      <c r="T404" s="103">
        <f t="shared" si="27"/>
        <v>1</v>
      </c>
      <c r="U404" s="242">
        <v>7</v>
      </c>
      <c r="V404" s="103">
        <f t="shared" si="25"/>
        <v>1</v>
      </c>
      <c r="W404" s="241" t="s">
        <v>58</v>
      </c>
      <c r="X404" s="324">
        <f t="shared" si="26"/>
        <v>1</v>
      </c>
      <c r="Y404" s="235" t="s">
        <v>480</v>
      </c>
      <c r="Z404" s="340" t="s">
        <v>563</v>
      </c>
      <c r="AA404" s="237" t="s">
        <v>161</v>
      </c>
      <c r="AB404" s="34"/>
      <c r="AC404" s="242"/>
      <c r="AD404" s="35"/>
      <c r="AE404" s="243"/>
      <c r="AF404" s="237"/>
      <c r="AG404" s="237"/>
    </row>
    <row r="405" spans="1:33" s="15" customFormat="1" ht="30" x14ac:dyDescent="0.15">
      <c r="A405" s="237" t="s">
        <v>43</v>
      </c>
      <c r="B405" s="238">
        <v>260</v>
      </c>
      <c r="C405" s="237" t="s">
        <v>44</v>
      </c>
      <c r="D405" s="237" t="s">
        <v>161</v>
      </c>
      <c r="E405" s="237">
        <v>1</v>
      </c>
      <c r="F405" s="237" t="s">
        <v>483</v>
      </c>
      <c r="G405" s="239" t="s">
        <v>564</v>
      </c>
      <c r="H405" s="240">
        <v>44250.860810185186</v>
      </c>
      <c r="I405" s="237" t="s">
        <v>48</v>
      </c>
      <c r="J405" s="237">
        <v>10</v>
      </c>
      <c r="K405" s="100">
        <v>2.4</v>
      </c>
      <c r="L405" s="90" t="s">
        <v>1145</v>
      </c>
      <c r="M405" s="241" t="s">
        <v>49</v>
      </c>
      <c r="N405" s="241" t="s">
        <v>49</v>
      </c>
      <c r="O405" s="241" t="s">
        <v>1163</v>
      </c>
      <c r="P405" s="237">
        <v>1</v>
      </c>
      <c r="Q405" s="88"/>
      <c r="R405" s="103">
        <f t="shared" si="24"/>
        <v>0</v>
      </c>
      <c r="S405" s="32" t="s">
        <v>58</v>
      </c>
      <c r="T405" s="103">
        <f t="shared" si="27"/>
        <v>1</v>
      </c>
      <c r="U405" s="242">
        <v>7</v>
      </c>
      <c r="V405" s="103">
        <f t="shared" si="25"/>
        <v>1</v>
      </c>
      <c r="W405" s="241" t="s">
        <v>58</v>
      </c>
      <c r="X405" s="324">
        <f t="shared" si="26"/>
        <v>1</v>
      </c>
      <c r="Y405" s="235" t="s">
        <v>483</v>
      </c>
      <c r="Z405" s="340" t="s">
        <v>564</v>
      </c>
      <c r="AA405" s="237" t="s">
        <v>161</v>
      </c>
      <c r="AB405" s="34"/>
      <c r="AC405" s="242"/>
      <c r="AD405" s="35"/>
      <c r="AE405" s="243"/>
      <c r="AF405" s="237"/>
      <c r="AG405" s="237"/>
    </row>
    <row r="406" spans="1:33" s="15" customFormat="1" ht="45" x14ac:dyDescent="0.15">
      <c r="A406" s="237" t="s">
        <v>43</v>
      </c>
      <c r="B406" s="238">
        <v>260</v>
      </c>
      <c r="C406" s="237" t="s">
        <v>44</v>
      </c>
      <c r="D406" s="237" t="s">
        <v>161</v>
      </c>
      <c r="E406" s="237">
        <v>1</v>
      </c>
      <c r="F406" s="237" t="s">
        <v>480</v>
      </c>
      <c r="G406" s="239" t="s">
        <v>565</v>
      </c>
      <c r="H406" s="240">
        <v>44250.861006944448</v>
      </c>
      <c r="I406" s="237" t="s">
        <v>48</v>
      </c>
      <c r="J406" s="237">
        <v>9</v>
      </c>
      <c r="K406" s="100">
        <v>2.4</v>
      </c>
      <c r="L406" s="90" t="s">
        <v>108</v>
      </c>
      <c r="M406" s="241" t="s">
        <v>108</v>
      </c>
      <c r="N406" s="241" t="s">
        <v>108</v>
      </c>
      <c r="O406" s="241" t="s">
        <v>108</v>
      </c>
      <c r="P406" s="237">
        <v>1</v>
      </c>
      <c r="Q406" s="88"/>
      <c r="R406" s="103">
        <f t="shared" si="24"/>
        <v>0</v>
      </c>
      <c r="S406" s="32"/>
      <c r="T406" s="103">
        <f t="shared" si="27"/>
        <v>1</v>
      </c>
      <c r="U406" s="242">
        <v>7</v>
      </c>
      <c r="V406" s="103">
        <f t="shared" si="25"/>
        <v>1</v>
      </c>
      <c r="W406" s="241" t="s">
        <v>305</v>
      </c>
      <c r="X406" s="324">
        <f t="shared" si="26"/>
        <v>1</v>
      </c>
      <c r="Y406" s="235" t="s">
        <v>480</v>
      </c>
      <c r="Z406" s="340" t="s">
        <v>565</v>
      </c>
      <c r="AA406" s="237" t="s">
        <v>161</v>
      </c>
      <c r="AB406" s="34" t="s">
        <v>261</v>
      </c>
      <c r="AC406" s="242" t="s">
        <v>261</v>
      </c>
      <c r="AD406" s="35"/>
      <c r="AE406" s="243"/>
      <c r="AF406" s="237"/>
      <c r="AG406" s="237"/>
    </row>
    <row r="407" spans="1:33" s="15" customFormat="1" ht="45" x14ac:dyDescent="0.15">
      <c r="A407" s="237" t="s">
        <v>43</v>
      </c>
      <c r="B407" s="238">
        <v>260</v>
      </c>
      <c r="C407" s="237" t="s">
        <v>44</v>
      </c>
      <c r="D407" s="237" t="s">
        <v>161</v>
      </c>
      <c r="E407" s="237">
        <v>1</v>
      </c>
      <c r="F407" s="237" t="s">
        <v>477</v>
      </c>
      <c r="G407" s="239" t="s">
        <v>566</v>
      </c>
      <c r="H407" s="240">
        <v>44250.86109953704</v>
      </c>
      <c r="I407" s="237" t="s">
        <v>48</v>
      </c>
      <c r="J407" s="237">
        <v>9</v>
      </c>
      <c r="K407" s="100">
        <v>2.4</v>
      </c>
      <c r="L407" s="90" t="s">
        <v>108</v>
      </c>
      <c r="M407" s="241" t="s">
        <v>108</v>
      </c>
      <c r="N407" s="241" t="s">
        <v>108</v>
      </c>
      <c r="O407" s="241" t="s">
        <v>108</v>
      </c>
      <c r="P407" s="237">
        <v>1</v>
      </c>
      <c r="Q407" s="88"/>
      <c r="R407" s="103">
        <f t="shared" si="24"/>
        <v>0</v>
      </c>
      <c r="S407" s="32"/>
      <c r="T407" s="103">
        <f t="shared" si="27"/>
        <v>0</v>
      </c>
      <c r="U407" s="242">
        <v>7</v>
      </c>
      <c r="V407" s="103">
        <f t="shared" si="25"/>
        <v>1</v>
      </c>
      <c r="W407" s="241" t="s">
        <v>305</v>
      </c>
      <c r="X407" s="324">
        <f t="shared" si="26"/>
        <v>1</v>
      </c>
      <c r="Y407" s="235" t="s">
        <v>477</v>
      </c>
      <c r="Z407" s="340" t="s">
        <v>566</v>
      </c>
      <c r="AA407" s="237" t="s">
        <v>161</v>
      </c>
      <c r="AB407" s="34"/>
      <c r="AC407" s="242"/>
      <c r="AD407" s="35"/>
      <c r="AE407" s="243"/>
      <c r="AF407" s="237"/>
      <c r="AG407" s="237"/>
    </row>
    <row r="408" spans="1:33" s="15" customFormat="1" ht="30" x14ac:dyDescent="0.15">
      <c r="A408" s="237" t="s">
        <v>43</v>
      </c>
      <c r="B408" s="238">
        <v>260</v>
      </c>
      <c r="C408" s="237" t="s">
        <v>44</v>
      </c>
      <c r="D408" s="237" t="s">
        <v>161</v>
      </c>
      <c r="E408" s="237">
        <v>1</v>
      </c>
      <c r="F408" s="237" t="s">
        <v>477</v>
      </c>
      <c r="G408" s="239" t="s">
        <v>567</v>
      </c>
      <c r="H408" s="240">
        <v>44250.86146990741</v>
      </c>
      <c r="I408" s="237" t="s">
        <v>48</v>
      </c>
      <c r="J408" s="237">
        <v>9</v>
      </c>
      <c r="K408" s="100">
        <v>2.4</v>
      </c>
      <c r="L408" s="90" t="s">
        <v>108</v>
      </c>
      <c r="M408" s="241" t="s">
        <v>108</v>
      </c>
      <c r="N408" s="241" t="s">
        <v>108</v>
      </c>
      <c r="O408" s="241" t="s">
        <v>108</v>
      </c>
      <c r="P408" s="237">
        <v>1</v>
      </c>
      <c r="Q408" s="88"/>
      <c r="R408" s="103">
        <f t="shared" si="24"/>
        <v>0</v>
      </c>
      <c r="S408" s="32" t="s">
        <v>58</v>
      </c>
      <c r="T408" s="103">
        <f t="shared" si="27"/>
        <v>0</v>
      </c>
      <c r="U408" s="242">
        <v>7</v>
      </c>
      <c r="V408" s="103">
        <f t="shared" si="25"/>
        <v>1</v>
      </c>
      <c r="W408" s="241" t="s">
        <v>58</v>
      </c>
      <c r="X408" s="324">
        <f t="shared" si="26"/>
        <v>1</v>
      </c>
      <c r="Y408" s="235" t="s">
        <v>477</v>
      </c>
      <c r="Z408" s="340" t="s">
        <v>567</v>
      </c>
      <c r="AA408" s="237" t="s">
        <v>161</v>
      </c>
      <c r="AB408" s="34" t="s">
        <v>112</v>
      </c>
      <c r="AC408" s="242" t="s">
        <v>112</v>
      </c>
      <c r="AD408" s="35"/>
      <c r="AE408" s="243"/>
      <c r="AF408" s="237"/>
      <c r="AG408" s="237"/>
    </row>
    <row r="409" spans="1:33" s="15" customFormat="1" ht="45" x14ac:dyDescent="0.15">
      <c r="A409" s="237" t="s">
        <v>43</v>
      </c>
      <c r="B409" s="238">
        <v>260</v>
      </c>
      <c r="C409" s="237" t="s">
        <v>44</v>
      </c>
      <c r="D409" s="237" t="s">
        <v>161</v>
      </c>
      <c r="E409" s="237">
        <v>1</v>
      </c>
      <c r="F409" s="237" t="s">
        <v>483</v>
      </c>
      <c r="G409" s="239" t="s">
        <v>568</v>
      </c>
      <c r="H409" s="240">
        <v>44250.861562500002</v>
      </c>
      <c r="I409" s="237" t="s">
        <v>48</v>
      </c>
      <c r="J409" s="237">
        <v>10</v>
      </c>
      <c r="K409" s="100">
        <v>2.4</v>
      </c>
      <c r="L409" s="90" t="s">
        <v>108</v>
      </c>
      <c r="M409" s="241" t="s">
        <v>108</v>
      </c>
      <c r="N409" s="241" t="s">
        <v>108</v>
      </c>
      <c r="O409" s="241" t="s">
        <v>108</v>
      </c>
      <c r="P409" s="237">
        <v>1</v>
      </c>
      <c r="Q409" s="88"/>
      <c r="R409" s="103">
        <f t="shared" si="24"/>
        <v>0</v>
      </c>
      <c r="S409" s="32"/>
      <c r="T409" s="103">
        <f t="shared" si="27"/>
        <v>1</v>
      </c>
      <c r="U409" s="242">
        <v>7</v>
      </c>
      <c r="V409" s="103">
        <f t="shared" si="25"/>
        <v>1</v>
      </c>
      <c r="W409" s="241" t="s">
        <v>302</v>
      </c>
      <c r="X409" s="324">
        <f t="shared" si="26"/>
        <v>1</v>
      </c>
      <c r="Y409" s="235" t="s">
        <v>483</v>
      </c>
      <c r="Z409" s="340" t="s">
        <v>568</v>
      </c>
      <c r="AA409" s="237" t="s">
        <v>161</v>
      </c>
      <c r="AB409" s="34" t="s">
        <v>112</v>
      </c>
      <c r="AC409" s="242" t="s">
        <v>569</v>
      </c>
      <c r="AD409" s="35"/>
      <c r="AE409" s="243"/>
      <c r="AF409" s="237"/>
      <c r="AG409" s="237"/>
    </row>
    <row r="410" spans="1:33" s="15" customFormat="1" ht="30" x14ac:dyDescent="0.15">
      <c r="A410" s="237" t="s">
        <v>43</v>
      </c>
      <c r="B410" s="238">
        <v>260</v>
      </c>
      <c r="C410" s="237" t="s">
        <v>44</v>
      </c>
      <c r="D410" s="237" t="s">
        <v>161</v>
      </c>
      <c r="E410" s="237">
        <v>1</v>
      </c>
      <c r="F410" s="237" t="s">
        <v>480</v>
      </c>
      <c r="G410" s="239" t="s">
        <v>570</v>
      </c>
      <c r="H410" s="240">
        <v>44250.861655092594</v>
      </c>
      <c r="I410" s="237" t="s">
        <v>48</v>
      </c>
      <c r="J410" s="237">
        <v>9</v>
      </c>
      <c r="K410" s="100">
        <v>2.4</v>
      </c>
      <c r="L410" s="90" t="s">
        <v>108</v>
      </c>
      <c r="M410" s="241" t="s">
        <v>108</v>
      </c>
      <c r="N410" s="241" t="s">
        <v>108</v>
      </c>
      <c r="O410" s="241" t="s">
        <v>108</v>
      </c>
      <c r="P410" s="237">
        <v>1</v>
      </c>
      <c r="Q410" s="88"/>
      <c r="R410" s="103">
        <f t="shared" si="24"/>
        <v>0</v>
      </c>
      <c r="S410" s="32"/>
      <c r="T410" s="103">
        <f t="shared" si="27"/>
        <v>0</v>
      </c>
      <c r="U410" s="242">
        <v>7</v>
      </c>
      <c r="V410" s="103">
        <f t="shared" si="25"/>
        <v>1</v>
      </c>
      <c r="W410" s="241" t="s">
        <v>58</v>
      </c>
      <c r="X410" s="324">
        <f t="shared" si="26"/>
        <v>1</v>
      </c>
      <c r="Y410" s="235" t="s">
        <v>480</v>
      </c>
      <c r="Z410" s="340" t="s">
        <v>570</v>
      </c>
      <c r="AA410" s="237" t="s">
        <v>161</v>
      </c>
      <c r="AB410" s="34"/>
      <c r="AC410" s="242"/>
      <c r="AD410" s="35"/>
      <c r="AE410" s="243"/>
      <c r="AF410" s="237"/>
      <c r="AG410" s="237"/>
    </row>
    <row r="411" spans="1:33" s="15" customFormat="1" ht="15" x14ac:dyDescent="0.15">
      <c r="A411" s="237" t="s">
        <v>43</v>
      </c>
      <c r="B411" s="238">
        <v>260</v>
      </c>
      <c r="C411" s="237" t="s">
        <v>44</v>
      </c>
      <c r="D411" s="237" t="s">
        <v>161</v>
      </c>
      <c r="E411" s="237">
        <v>1</v>
      </c>
      <c r="F411" s="237" t="s">
        <v>483</v>
      </c>
      <c r="G411" s="239" t="s">
        <v>571</v>
      </c>
      <c r="H411" s="240">
        <v>44250.861979166664</v>
      </c>
      <c r="I411" s="237" t="s">
        <v>48</v>
      </c>
      <c r="J411" s="237">
        <v>10</v>
      </c>
      <c r="K411" s="100">
        <v>2.4</v>
      </c>
      <c r="L411" s="90" t="s">
        <v>108</v>
      </c>
      <c r="M411" s="241" t="s">
        <v>108</v>
      </c>
      <c r="N411" s="241" t="s">
        <v>108</v>
      </c>
      <c r="O411" s="241" t="s">
        <v>108</v>
      </c>
      <c r="P411" s="237">
        <v>1</v>
      </c>
      <c r="Q411" s="88"/>
      <c r="R411" s="103">
        <f t="shared" si="24"/>
        <v>0</v>
      </c>
      <c r="S411" s="32"/>
      <c r="T411" s="103">
        <f t="shared" si="27"/>
        <v>0</v>
      </c>
      <c r="U411" s="242">
        <v>7</v>
      </c>
      <c r="V411" s="103">
        <f t="shared" si="25"/>
        <v>1</v>
      </c>
      <c r="W411" s="241"/>
      <c r="X411" s="324">
        <f t="shared" si="26"/>
        <v>0</v>
      </c>
      <c r="Y411" s="235" t="s">
        <v>483</v>
      </c>
      <c r="Z411" s="340" t="s">
        <v>571</v>
      </c>
      <c r="AA411" s="237" t="s">
        <v>161</v>
      </c>
      <c r="AB411" s="34" t="s">
        <v>112</v>
      </c>
      <c r="AC411" s="242" t="s">
        <v>112</v>
      </c>
      <c r="AD411" s="35"/>
      <c r="AE411" s="243"/>
      <c r="AF411" s="237"/>
      <c r="AG411" s="237"/>
    </row>
    <row r="412" spans="1:33" s="15" customFormat="1" ht="45" x14ac:dyDescent="0.15">
      <c r="A412" s="237" t="s">
        <v>43</v>
      </c>
      <c r="B412" s="238">
        <v>260</v>
      </c>
      <c r="C412" s="237" t="s">
        <v>44</v>
      </c>
      <c r="D412" s="237" t="s">
        <v>161</v>
      </c>
      <c r="E412" s="237">
        <v>1</v>
      </c>
      <c r="F412" s="237" t="s">
        <v>477</v>
      </c>
      <c r="G412" s="239" t="s">
        <v>572</v>
      </c>
      <c r="H412" s="240">
        <v>44250.862199074072</v>
      </c>
      <c r="I412" s="237" t="s">
        <v>48</v>
      </c>
      <c r="J412" s="237">
        <v>9</v>
      </c>
      <c r="K412" s="100">
        <v>2.4</v>
      </c>
      <c r="L412" s="90" t="s">
        <v>52</v>
      </c>
      <c r="M412" s="241" t="s">
        <v>52</v>
      </c>
      <c r="N412" s="241" t="s">
        <v>1143</v>
      </c>
      <c r="O412" s="241" t="s">
        <v>1143</v>
      </c>
      <c r="P412" s="237">
        <v>1</v>
      </c>
      <c r="Q412" s="88"/>
      <c r="R412" s="103">
        <f t="shared" si="24"/>
        <v>0</v>
      </c>
      <c r="S412" s="32" t="s">
        <v>58</v>
      </c>
      <c r="T412" s="103">
        <f t="shared" si="27"/>
        <v>0</v>
      </c>
      <c r="U412" s="242">
        <v>7</v>
      </c>
      <c r="V412" s="103">
        <f t="shared" si="25"/>
        <v>1</v>
      </c>
      <c r="W412" s="241" t="s">
        <v>58</v>
      </c>
      <c r="X412" s="324">
        <f t="shared" si="26"/>
        <v>1</v>
      </c>
      <c r="Y412" s="235" t="s">
        <v>477</v>
      </c>
      <c r="Z412" s="340" t="s">
        <v>572</v>
      </c>
      <c r="AA412" s="237" t="s">
        <v>161</v>
      </c>
      <c r="AB412" s="34"/>
      <c r="AC412" s="242"/>
      <c r="AD412" s="35" t="s">
        <v>533</v>
      </c>
      <c r="AE412" s="243" t="s">
        <v>573</v>
      </c>
      <c r="AF412" s="237"/>
      <c r="AG412" s="237"/>
    </row>
    <row r="413" spans="1:33" s="15" customFormat="1" ht="30" x14ac:dyDescent="0.15">
      <c r="A413" s="237" t="s">
        <v>43</v>
      </c>
      <c r="B413" s="238">
        <v>260</v>
      </c>
      <c r="C413" s="237" t="s">
        <v>44</v>
      </c>
      <c r="D413" s="237" t="s">
        <v>161</v>
      </c>
      <c r="E413" s="237">
        <v>1</v>
      </c>
      <c r="F413" s="237" t="s">
        <v>480</v>
      </c>
      <c r="G413" s="239" t="s">
        <v>574</v>
      </c>
      <c r="H413" s="240">
        <v>44250.862361111111</v>
      </c>
      <c r="I413" s="237" t="s">
        <v>48</v>
      </c>
      <c r="J413" s="237">
        <v>9</v>
      </c>
      <c r="K413" s="100">
        <v>2.4</v>
      </c>
      <c r="L413" s="90" t="s">
        <v>52</v>
      </c>
      <c r="M413" s="241" t="s">
        <v>52</v>
      </c>
      <c r="N413" s="241" t="s">
        <v>1143</v>
      </c>
      <c r="O413" s="241" t="s">
        <v>1143</v>
      </c>
      <c r="P413" s="237">
        <v>1</v>
      </c>
      <c r="Q413" s="88"/>
      <c r="R413" s="103">
        <f t="shared" si="24"/>
        <v>0</v>
      </c>
      <c r="S413" s="32" t="s">
        <v>58</v>
      </c>
      <c r="T413" s="103">
        <f t="shared" si="27"/>
        <v>1</v>
      </c>
      <c r="U413" s="242">
        <v>7</v>
      </c>
      <c r="V413" s="103">
        <f t="shared" si="25"/>
        <v>1</v>
      </c>
      <c r="W413" s="241" t="s">
        <v>58</v>
      </c>
      <c r="X413" s="324">
        <f t="shared" si="26"/>
        <v>1</v>
      </c>
      <c r="Y413" s="235" t="s">
        <v>480</v>
      </c>
      <c r="Z413" s="340" t="s">
        <v>574</v>
      </c>
      <c r="AA413" s="237" t="s">
        <v>161</v>
      </c>
      <c r="AB413" s="34"/>
      <c r="AC413" s="242"/>
      <c r="AD413" s="35"/>
      <c r="AE413" s="243"/>
      <c r="AF413" s="237"/>
      <c r="AG413" s="237"/>
    </row>
    <row r="414" spans="1:33" s="15" customFormat="1" ht="30" x14ac:dyDescent="0.15">
      <c r="A414" s="237" t="s">
        <v>43</v>
      </c>
      <c r="B414" s="238">
        <v>260</v>
      </c>
      <c r="C414" s="237" t="s">
        <v>44</v>
      </c>
      <c r="D414" s="237" t="s">
        <v>161</v>
      </c>
      <c r="E414" s="237">
        <v>1</v>
      </c>
      <c r="F414" s="237" t="s">
        <v>483</v>
      </c>
      <c r="G414" s="239" t="s">
        <v>575</v>
      </c>
      <c r="H414" s="240">
        <v>44250.862708333334</v>
      </c>
      <c r="I414" s="237" t="s">
        <v>48</v>
      </c>
      <c r="J414" s="237">
        <v>10</v>
      </c>
      <c r="K414" s="100">
        <v>2.4</v>
      </c>
      <c r="L414" s="90" t="s">
        <v>1145</v>
      </c>
      <c r="M414" s="241" t="s">
        <v>49</v>
      </c>
      <c r="N414" s="241" t="s">
        <v>49</v>
      </c>
      <c r="O414" s="241" t="s">
        <v>1163</v>
      </c>
      <c r="P414" s="237">
        <v>1</v>
      </c>
      <c r="Q414" s="88"/>
      <c r="R414" s="103">
        <f t="shared" si="24"/>
        <v>0</v>
      </c>
      <c r="S414" s="32" t="s">
        <v>58</v>
      </c>
      <c r="T414" s="103">
        <f t="shared" si="27"/>
        <v>1</v>
      </c>
      <c r="U414" s="242">
        <v>7</v>
      </c>
      <c r="V414" s="103">
        <f t="shared" si="25"/>
        <v>1</v>
      </c>
      <c r="W414" s="241" t="s">
        <v>58</v>
      </c>
      <c r="X414" s="324">
        <f t="shared" si="26"/>
        <v>1</v>
      </c>
      <c r="Y414" s="235" t="s">
        <v>483</v>
      </c>
      <c r="Z414" s="340" t="s">
        <v>575</v>
      </c>
      <c r="AA414" s="237" t="s">
        <v>161</v>
      </c>
      <c r="AB414" s="34"/>
      <c r="AC414" s="242"/>
      <c r="AD414" s="35"/>
      <c r="AE414" s="243"/>
      <c r="AF414" s="237"/>
      <c r="AG414" s="237"/>
    </row>
    <row r="415" spans="1:33" s="15" customFormat="1" ht="30" x14ac:dyDescent="0.15">
      <c r="A415" s="237" t="s">
        <v>43</v>
      </c>
      <c r="B415" s="238">
        <v>260</v>
      </c>
      <c r="C415" s="237" t="s">
        <v>44</v>
      </c>
      <c r="D415" s="237" t="s">
        <v>161</v>
      </c>
      <c r="E415" s="237">
        <v>1</v>
      </c>
      <c r="F415" s="237" t="s">
        <v>477</v>
      </c>
      <c r="G415" s="239" t="s">
        <v>576</v>
      </c>
      <c r="H415" s="240">
        <v>44250.862939814811</v>
      </c>
      <c r="I415" s="237" t="s">
        <v>48</v>
      </c>
      <c r="J415" s="237">
        <v>9</v>
      </c>
      <c r="K415" s="100">
        <v>2.4</v>
      </c>
      <c r="L415" s="90" t="s">
        <v>52</v>
      </c>
      <c r="M415" s="241" t="s">
        <v>52</v>
      </c>
      <c r="N415" s="241" t="s">
        <v>1143</v>
      </c>
      <c r="O415" s="241" t="s">
        <v>1143</v>
      </c>
      <c r="P415" s="237">
        <v>1</v>
      </c>
      <c r="Q415" s="88"/>
      <c r="R415" s="103">
        <f t="shared" si="24"/>
        <v>0</v>
      </c>
      <c r="S415" s="32" t="s">
        <v>58</v>
      </c>
      <c r="T415" s="103">
        <f t="shared" si="27"/>
        <v>1</v>
      </c>
      <c r="U415" s="242">
        <v>7</v>
      </c>
      <c r="V415" s="103">
        <f t="shared" si="25"/>
        <v>1</v>
      </c>
      <c r="W415" s="241" t="s">
        <v>58</v>
      </c>
      <c r="X415" s="324">
        <f t="shared" si="26"/>
        <v>1</v>
      </c>
      <c r="Y415" s="235" t="s">
        <v>477</v>
      </c>
      <c r="Z415" s="340" t="s">
        <v>576</v>
      </c>
      <c r="AA415" s="237" t="s">
        <v>161</v>
      </c>
      <c r="AB415" s="34"/>
      <c r="AC415" s="242"/>
      <c r="AD415" s="35"/>
      <c r="AE415" s="243"/>
      <c r="AF415" s="237"/>
      <c r="AG415" s="237"/>
    </row>
    <row r="416" spans="1:33" s="15" customFormat="1" ht="30" x14ac:dyDescent="0.15">
      <c r="A416" s="237" t="s">
        <v>43</v>
      </c>
      <c r="B416" s="238">
        <v>260</v>
      </c>
      <c r="C416" s="237" t="s">
        <v>44</v>
      </c>
      <c r="D416" s="237" t="s">
        <v>161</v>
      </c>
      <c r="E416" s="237">
        <v>1</v>
      </c>
      <c r="F416" s="237" t="s">
        <v>483</v>
      </c>
      <c r="G416" s="239" t="s">
        <v>577</v>
      </c>
      <c r="H416" s="240">
        <v>44250.863344907404</v>
      </c>
      <c r="I416" s="237" t="s">
        <v>48</v>
      </c>
      <c r="J416" s="237">
        <v>10</v>
      </c>
      <c r="K416" s="100">
        <v>2.4</v>
      </c>
      <c r="L416" s="90" t="s">
        <v>52</v>
      </c>
      <c r="M416" s="241" t="s">
        <v>52</v>
      </c>
      <c r="N416" s="241" t="s">
        <v>1143</v>
      </c>
      <c r="O416" s="241" t="s">
        <v>1143</v>
      </c>
      <c r="P416" s="237">
        <v>1</v>
      </c>
      <c r="Q416" s="88"/>
      <c r="R416" s="103">
        <f t="shared" si="24"/>
        <v>0</v>
      </c>
      <c r="S416" s="32"/>
      <c r="T416" s="103">
        <f t="shared" si="27"/>
        <v>1</v>
      </c>
      <c r="U416" s="242">
        <v>7</v>
      </c>
      <c r="V416" s="103">
        <f t="shared" si="25"/>
        <v>1</v>
      </c>
      <c r="W416" s="241"/>
      <c r="X416" s="324">
        <f t="shared" si="26"/>
        <v>0</v>
      </c>
      <c r="Y416" s="235" t="s">
        <v>483</v>
      </c>
      <c r="Z416" s="340" t="s">
        <v>577</v>
      </c>
      <c r="AA416" s="237" t="s">
        <v>161</v>
      </c>
      <c r="AB416" s="34"/>
      <c r="AC416" s="242"/>
      <c r="AD416" s="35"/>
      <c r="AE416" s="243"/>
      <c r="AF416" s="237"/>
      <c r="AG416" s="237"/>
    </row>
    <row r="417" spans="1:33" s="15" customFormat="1" ht="15" x14ac:dyDescent="0.15">
      <c r="A417" s="237" t="s">
        <v>43</v>
      </c>
      <c r="B417" s="238">
        <v>260</v>
      </c>
      <c r="C417" s="237" t="s">
        <v>44</v>
      </c>
      <c r="D417" s="237" t="s">
        <v>161</v>
      </c>
      <c r="E417" s="237">
        <v>1</v>
      </c>
      <c r="F417" s="237" t="s">
        <v>477</v>
      </c>
      <c r="G417" s="239" t="s">
        <v>578</v>
      </c>
      <c r="H417" s="240">
        <v>44250.863738425927</v>
      </c>
      <c r="I417" s="237" t="s">
        <v>48</v>
      </c>
      <c r="J417" s="237">
        <v>9</v>
      </c>
      <c r="K417" s="100">
        <v>2.4</v>
      </c>
      <c r="L417" s="90" t="s">
        <v>52</v>
      </c>
      <c r="M417" s="241" t="s">
        <v>52</v>
      </c>
      <c r="N417" s="241" t="s">
        <v>1143</v>
      </c>
      <c r="O417" s="241" t="s">
        <v>1143</v>
      </c>
      <c r="P417" s="237">
        <v>1</v>
      </c>
      <c r="Q417" s="88"/>
      <c r="R417" s="103">
        <f t="shared" si="24"/>
        <v>0</v>
      </c>
      <c r="S417" s="32" t="s">
        <v>58</v>
      </c>
      <c r="T417" s="103">
        <f t="shared" si="27"/>
        <v>0</v>
      </c>
      <c r="U417" s="242">
        <v>7</v>
      </c>
      <c r="V417" s="103">
        <f t="shared" si="25"/>
        <v>1</v>
      </c>
      <c r="W417" s="241" t="s">
        <v>58</v>
      </c>
      <c r="X417" s="324">
        <f t="shared" si="26"/>
        <v>1</v>
      </c>
      <c r="Y417" s="235" t="s">
        <v>477</v>
      </c>
      <c r="Z417" s="340" t="s">
        <v>578</v>
      </c>
      <c r="AA417" s="237" t="s">
        <v>161</v>
      </c>
      <c r="AB417" s="34"/>
      <c r="AC417" s="242"/>
      <c r="AD417" s="35"/>
      <c r="AE417" s="243"/>
      <c r="AF417" s="237"/>
      <c r="AG417" s="237"/>
    </row>
    <row r="418" spans="1:33" s="15" customFormat="1" ht="75" x14ac:dyDescent="0.15">
      <c r="A418" s="237" t="s">
        <v>43</v>
      </c>
      <c r="B418" s="238">
        <v>260</v>
      </c>
      <c r="C418" s="237" t="s">
        <v>44</v>
      </c>
      <c r="D418" s="237" t="s">
        <v>161</v>
      </c>
      <c r="E418" s="237">
        <v>1</v>
      </c>
      <c r="F418" s="237" t="s">
        <v>477</v>
      </c>
      <c r="G418" s="239" t="s">
        <v>579</v>
      </c>
      <c r="H418" s="240">
        <v>44250.86383101852</v>
      </c>
      <c r="I418" s="237" t="s">
        <v>48</v>
      </c>
      <c r="J418" s="237">
        <v>9</v>
      </c>
      <c r="K418" s="100">
        <v>2.4</v>
      </c>
      <c r="L418" s="90" t="s">
        <v>1145</v>
      </c>
      <c r="M418" s="241" t="s">
        <v>49</v>
      </c>
      <c r="N418" s="241" t="s">
        <v>49</v>
      </c>
      <c r="O418" s="241" t="s">
        <v>1163</v>
      </c>
      <c r="P418" s="237">
        <v>1</v>
      </c>
      <c r="Q418" s="88" t="s">
        <v>312</v>
      </c>
      <c r="R418" s="103">
        <f t="shared" si="24"/>
        <v>1</v>
      </c>
      <c r="S418" s="32"/>
      <c r="T418" s="103">
        <f t="shared" si="27"/>
        <v>1</v>
      </c>
      <c r="U418" s="242">
        <v>7</v>
      </c>
      <c r="V418" s="103">
        <f t="shared" si="25"/>
        <v>1</v>
      </c>
      <c r="W418" s="241" t="s">
        <v>637</v>
      </c>
      <c r="X418" s="324">
        <f t="shared" si="26"/>
        <v>1</v>
      </c>
      <c r="Y418" s="235" t="s">
        <v>477</v>
      </c>
      <c r="Z418" s="340" t="s">
        <v>579</v>
      </c>
      <c r="AA418" s="237" t="s">
        <v>161</v>
      </c>
      <c r="AB418" s="34"/>
      <c r="AC418" s="242"/>
      <c r="AD418" s="35" t="s">
        <v>1147</v>
      </c>
      <c r="AE418" s="243" t="s">
        <v>1147</v>
      </c>
      <c r="AF418" s="237"/>
      <c r="AG418" s="237"/>
    </row>
    <row r="419" spans="1:33" s="15" customFormat="1" ht="30" x14ac:dyDescent="0.15">
      <c r="A419" s="237" t="s">
        <v>43</v>
      </c>
      <c r="B419" s="238">
        <v>260</v>
      </c>
      <c r="C419" s="237" t="s">
        <v>44</v>
      </c>
      <c r="D419" s="237" t="s">
        <v>161</v>
      </c>
      <c r="E419" s="237">
        <v>1</v>
      </c>
      <c r="F419" s="237" t="s">
        <v>480</v>
      </c>
      <c r="G419" s="239" t="s">
        <v>580</v>
      </c>
      <c r="H419" s="240">
        <v>44250.863888888889</v>
      </c>
      <c r="I419" s="237" t="s">
        <v>48</v>
      </c>
      <c r="J419" s="237">
        <v>9</v>
      </c>
      <c r="K419" s="100">
        <v>2.4</v>
      </c>
      <c r="L419" s="90" t="s">
        <v>52</v>
      </c>
      <c r="M419" s="241" t="s">
        <v>52</v>
      </c>
      <c r="N419" s="241" t="s">
        <v>1143</v>
      </c>
      <c r="O419" s="241" t="s">
        <v>1143</v>
      </c>
      <c r="P419" s="237">
        <v>1</v>
      </c>
      <c r="Q419" s="34"/>
      <c r="R419" s="103">
        <f t="shared" si="24"/>
        <v>0</v>
      </c>
      <c r="S419" s="32"/>
      <c r="T419" s="103">
        <f t="shared" si="27"/>
        <v>0</v>
      </c>
      <c r="U419" s="242"/>
      <c r="V419" s="103">
        <v>1</v>
      </c>
      <c r="W419" s="241" t="s">
        <v>637</v>
      </c>
      <c r="X419" s="324">
        <f t="shared" si="26"/>
        <v>1</v>
      </c>
      <c r="Y419" s="235" t="s">
        <v>480</v>
      </c>
      <c r="Z419" s="340" t="s">
        <v>580</v>
      </c>
      <c r="AA419" s="237" t="s">
        <v>161</v>
      </c>
      <c r="AB419" s="34"/>
      <c r="AC419" s="242"/>
      <c r="AD419" s="35"/>
      <c r="AE419" s="243"/>
      <c r="AF419" s="237"/>
      <c r="AG419" s="237"/>
    </row>
    <row r="420" spans="1:33" s="15" customFormat="1" ht="30" x14ac:dyDescent="0.15">
      <c r="A420" s="237" t="s">
        <v>43</v>
      </c>
      <c r="B420" s="238">
        <v>260</v>
      </c>
      <c r="C420" s="237" t="s">
        <v>44</v>
      </c>
      <c r="D420" s="237" t="s">
        <v>161</v>
      </c>
      <c r="E420" s="237">
        <v>1</v>
      </c>
      <c r="F420" s="237" t="s">
        <v>480</v>
      </c>
      <c r="G420" s="239" t="s">
        <v>581</v>
      </c>
      <c r="H420" s="240">
        <v>44250.864120370374</v>
      </c>
      <c r="I420" s="237" t="s">
        <v>48</v>
      </c>
      <c r="J420" s="237">
        <v>9</v>
      </c>
      <c r="K420" s="100">
        <v>2.4</v>
      </c>
      <c r="L420" s="90" t="s">
        <v>1145</v>
      </c>
      <c r="M420" s="241" t="s">
        <v>49</v>
      </c>
      <c r="N420" s="241" t="s">
        <v>49</v>
      </c>
      <c r="O420" s="241" t="s">
        <v>1163</v>
      </c>
      <c r="P420" s="237">
        <v>1</v>
      </c>
      <c r="Q420" s="34"/>
      <c r="R420" s="103">
        <f t="shared" si="24"/>
        <v>0</v>
      </c>
      <c r="S420" s="32"/>
      <c r="T420" s="103">
        <f t="shared" si="27"/>
        <v>0</v>
      </c>
      <c r="U420" s="242"/>
      <c r="V420" s="103">
        <v>1</v>
      </c>
      <c r="W420" s="241" t="s">
        <v>58</v>
      </c>
      <c r="X420" s="324">
        <f t="shared" si="26"/>
        <v>1</v>
      </c>
      <c r="Y420" s="235" t="s">
        <v>480</v>
      </c>
      <c r="Z420" s="340" t="s">
        <v>581</v>
      </c>
      <c r="AA420" s="237" t="s">
        <v>161</v>
      </c>
      <c r="AB420" s="34"/>
      <c r="AC420" s="242"/>
      <c r="AD420" s="35"/>
      <c r="AE420" s="243"/>
      <c r="AF420" s="237"/>
      <c r="AG420" s="237"/>
    </row>
    <row r="421" spans="1:33" s="15" customFormat="1" ht="30" x14ac:dyDescent="0.15">
      <c r="A421" s="237" t="s">
        <v>43</v>
      </c>
      <c r="B421" s="238">
        <v>260</v>
      </c>
      <c r="C421" s="237" t="s">
        <v>44</v>
      </c>
      <c r="D421" s="237" t="s">
        <v>161</v>
      </c>
      <c r="E421" s="237">
        <v>1</v>
      </c>
      <c r="F421" s="237" t="s">
        <v>477</v>
      </c>
      <c r="G421" s="239" t="s">
        <v>582</v>
      </c>
      <c r="H421" s="240">
        <v>44250.86445601852</v>
      </c>
      <c r="I421" s="237" t="s">
        <v>48</v>
      </c>
      <c r="J421" s="237">
        <v>9</v>
      </c>
      <c r="K421" s="100">
        <v>2.4</v>
      </c>
      <c r="L421" s="90" t="s">
        <v>1145</v>
      </c>
      <c r="M421" s="241" t="s">
        <v>49</v>
      </c>
      <c r="N421" s="241" t="s">
        <v>49</v>
      </c>
      <c r="O421" s="241" t="s">
        <v>1163</v>
      </c>
      <c r="P421" s="237">
        <v>1</v>
      </c>
      <c r="Q421" s="34"/>
      <c r="R421" s="103">
        <f t="shared" si="24"/>
        <v>0</v>
      </c>
      <c r="S421" s="32"/>
      <c r="T421" s="103">
        <f t="shared" si="27"/>
        <v>0</v>
      </c>
      <c r="U421" s="242"/>
      <c r="V421" s="103">
        <v>1</v>
      </c>
      <c r="W421" s="241" t="s">
        <v>637</v>
      </c>
      <c r="X421" s="324">
        <f t="shared" si="26"/>
        <v>1</v>
      </c>
      <c r="Y421" s="235" t="s">
        <v>477</v>
      </c>
      <c r="Z421" s="340" t="s">
        <v>582</v>
      </c>
      <c r="AA421" s="237" t="s">
        <v>161</v>
      </c>
      <c r="AB421" s="34"/>
      <c r="AC421" s="242"/>
      <c r="AD421" s="35"/>
      <c r="AE421" s="243"/>
      <c r="AF421" s="237"/>
      <c r="AG421" s="237"/>
    </row>
    <row r="422" spans="1:33" s="15" customFormat="1" ht="30" x14ac:dyDescent="0.15">
      <c r="A422" s="237" t="s">
        <v>43</v>
      </c>
      <c r="B422" s="238">
        <v>260</v>
      </c>
      <c r="C422" s="237" t="s">
        <v>44</v>
      </c>
      <c r="D422" s="237" t="s">
        <v>161</v>
      </c>
      <c r="E422" s="237">
        <v>1</v>
      </c>
      <c r="F422" s="237" t="s">
        <v>483</v>
      </c>
      <c r="G422" s="239" t="s">
        <v>583</v>
      </c>
      <c r="H422" s="240">
        <v>44250.864930555559</v>
      </c>
      <c r="I422" s="237" t="s">
        <v>48</v>
      </c>
      <c r="J422" s="237">
        <v>10</v>
      </c>
      <c r="K422" s="100">
        <v>2.4</v>
      </c>
      <c r="L422" s="90" t="s">
        <v>1145</v>
      </c>
      <c r="M422" s="241" t="s">
        <v>49</v>
      </c>
      <c r="N422" s="241" t="s">
        <v>49</v>
      </c>
      <c r="O422" s="241" t="s">
        <v>1163</v>
      </c>
      <c r="P422" s="237">
        <v>1</v>
      </c>
      <c r="Q422" s="34"/>
      <c r="R422" s="103">
        <f t="shared" si="24"/>
        <v>0</v>
      </c>
      <c r="S422" s="32"/>
      <c r="T422" s="103">
        <f t="shared" si="27"/>
        <v>0</v>
      </c>
      <c r="U422" s="242"/>
      <c r="V422" s="103">
        <v>1</v>
      </c>
      <c r="W422" s="241" t="s">
        <v>637</v>
      </c>
      <c r="X422" s="324">
        <f t="shared" si="26"/>
        <v>1</v>
      </c>
      <c r="Y422" s="235" t="s">
        <v>483</v>
      </c>
      <c r="Z422" s="340" t="s">
        <v>583</v>
      </c>
      <c r="AA422" s="237" t="s">
        <v>161</v>
      </c>
      <c r="AB422" s="34"/>
      <c r="AC422" s="242"/>
      <c r="AD422" s="35"/>
      <c r="AE422" s="243"/>
      <c r="AF422" s="237"/>
      <c r="AG422" s="237"/>
    </row>
    <row r="423" spans="1:33" ht="32" x14ac:dyDescent="0.2">
      <c r="A423" s="158" t="s">
        <v>43</v>
      </c>
      <c r="B423" s="159">
        <v>261</v>
      </c>
      <c r="C423" s="160" t="s">
        <v>586</v>
      </c>
      <c r="D423" s="158" t="s">
        <v>45</v>
      </c>
      <c r="E423" s="68">
        <v>0</v>
      </c>
      <c r="F423" s="163" t="s">
        <v>587</v>
      </c>
      <c r="G423" s="158" t="s">
        <v>588</v>
      </c>
      <c r="H423" s="170">
        <v>44123.98541666667</v>
      </c>
      <c r="I423" s="158" t="s">
        <v>48</v>
      </c>
      <c r="J423" s="158">
        <v>10</v>
      </c>
      <c r="K423" s="158" t="s">
        <v>1132</v>
      </c>
      <c r="L423" s="178" t="s">
        <v>52</v>
      </c>
      <c r="M423" s="178" t="s">
        <v>52</v>
      </c>
      <c r="N423" s="178" t="s">
        <v>1143</v>
      </c>
      <c r="O423" s="178" t="s">
        <v>1143</v>
      </c>
      <c r="P423" s="68">
        <v>0</v>
      </c>
      <c r="Q423" s="177">
        <v>1</v>
      </c>
      <c r="R423" s="103">
        <f t="shared" si="24"/>
        <v>1</v>
      </c>
      <c r="S423" s="177"/>
      <c r="T423" s="103" t="e">
        <f>IF(#REF!&lt;&gt;"",1,0)</f>
        <v>#REF!</v>
      </c>
      <c r="U423" s="177">
        <v>1</v>
      </c>
      <c r="V423" s="103">
        <f t="shared" si="25"/>
        <v>1</v>
      </c>
      <c r="W423" s="177"/>
      <c r="X423" s="324">
        <f t="shared" ref="X423:X486" si="28">IF(W423&lt;&gt;"",1,0)</f>
        <v>0</v>
      </c>
      <c r="Y423" s="336" t="s">
        <v>587</v>
      </c>
      <c r="Z423" s="178" t="s">
        <v>588</v>
      </c>
      <c r="AA423" s="158" t="s">
        <v>45</v>
      </c>
      <c r="AB423" s="177"/>
      <c r="AC423" s="177"/>
      <c r="AD423" s="177"/>
      <c r="AE423" s="15"/>
      <c r="AF423" s="15"/>
      <c r="AG423" s="158" t="s">
        <v>54</v>
      </c>
    </row>
    <row r="424" spans="1:33" ht="16" x14ac:dyDescent="0.2">
      <c r="A424" s="158" t="s">
        <v>43</v>
      </c>
      <c r="B424" s="159">
        <v>261</v>
      </c>
      <c r="C424" s="160" t="s">
        <v>586</v>
      </c>
      <c r="D424" s="158" t="s">
        <v>45</v>
      </c>
      <c r="E424" s="68">
        <v>0</v>
      </c>
      <c r="F424" s="163" t="s">
        <v>589</v>
      </c>
      <c r="G424" s="158" t="s">
        <v>590</v>
      </c>
      <c r="H424" s="170">
        <v>44124.439583333333</v>
      </c>
      <c r="I424" s="158" t="s">
        <v>48</v>
      </c>
      <c r="J424" s="158">
        <v>10</v>
      </c>
      <c r="K424" s="158" t="s">
        <v>1132</v>
      </c>
      <c r="L424" s="178" t="s">
        <v>52</v>
      </c>
      <c r="M424" s="178" t="s">
        <v>52</v>
      </c>
      <c r="N424" s="178" t="s">
        <v>1143</v>
      </c>
      <c r="O424" s="178" t="s">
        <v>1143</v>
      </c>
      <c r="P424" s="68">
        <v>0</v>
      </c>
      <c r="Q424" s="177">
        <v>1</v>
      </c>
      <c r="R424" s="103">
        <f t="shared" si="24"/>
        <v>1</v>
      </c>
      <c r="S424" s="177" t="s">
        <v>58</v>
      </c>
      <c r="T424" s="103">
        <f t="shared" si="27"/>
        <v>0</v>
      </c>
      <c r="U424" s="177">
        <v>1</v>
      </c>
      <c r="V424" s="103">
        <f t="shared" si="25"/>
        <v>1</v>
      </c>
      <c r="W424" s="177" t="s">
        <v>58</v>
      </c>
      <c r="X424" s="324">
        <f t="shared" si="28"/>
        <v>1</v>
      </c>
      <c r="Y424" s="336" t="s">
        <v>589</v>
      </c>
      <c r="Z424" s="178" t="s">
        <v>590</v>
      </c>
      <c r="AA424" s="158" t="s">
        <v>45</v>
      </c>
      <c r="AB424" s="177"/>
      <c r="AC424" s="177"/>
      <c r="AD424" s="177"/>
      <c r="AE424" s="15"/>
      <c r="AF424" s="15"/>
      <c r="AG424" s="158" t="s">
        <v>59</v>
      </c>
    </row>
    <row r="425" spans="1:33" ht="64" x14ac:dyDescent="0.2">
      <c r="A425" s="158" t="s">
        <v>43</v>
      </c>
      <c r="B425" s="159">
        <v>261</v>
      </c>
      <c r="C425" s="160" t="s">
        <v>586</v>
      </c>
      <c r="D425" s="158" t="s">
        <v>45</v>
      </c>
      <c r="E425" s="68">
        <v>0</v>
      </c>
      <c r="F425" s="163" t="s">
        <v>589</v>
      </c>
      <c r="G425" s="158" t="s">
        <v>591</v>
      </c>
      <c r="H425" s="170">
        <v>44124.439583333333</v>
      </c>
      <c r="I425" s="158" t="s">
        <v>48</v>
      </c>
      <c r="J425" s="158">
        <v>10</v>
      </c>
      <c r="K425" s="158" t="s">
        <v>1132</v>
      </c>
      <c r="L425" s="178" t="s">
        <v>52</v>
      </c>
      <c r="M425" s="178" t="s">
        <v>52</v>
      </c>
      <c r="N425" s="178" t="s">
        <v>1143</v>
      </c>
      <c r="O425" s="178" t="s">
        <v>1143</v>
      </c>
      <c r="P425" s="68">
        <v>0</v>
      </c>
      <c r="Q425" s="177">
        <v>1</v>
      </c>
      <c r="R425" s="103">
        <f t="shared" si="24"/>
        <v>1</v>
      </c>
      <c r="S425" s="177" t="s">
        <v>305</v>
      </c>
      <c r="T425" s="103">
        <f t="shared" si="27"/>
        <v>1</v>
      </c>
      <c r="U425" s="177">
        <v>1</v>
      </c>
      <c r="V425" s="103">
        <f t="shared" si="25"/>
        <v>1</v>
      </c>
      <c r="W425" s="177" t="s">
        <v>305</v>
      </c>
      <c r="X425" s="324">
        <f t="shared" si="28"/>
        <v>1</v>
      </c>
      <c r="Y425" s="336" t="s">
        <v>589</v>
      </c>
      <c r="Z425" s="178" t="s">
        <v>591</v>
      </c>
      <c r="AA425" s="158" t="s">
        <v>45</v>
      </c>
      <c r="AB425" s="177"/>
      <c r="AC425" s="177"/>
      <c r="AD425" s="177"/>
      <c r="AE425" s="15"/>
      <c r="AF425" s="15"/>
      <c r="AG425" s="158" t="s">
        <v>54</v>
      </c>
    </row>
    <row r="426" spans="1:33" ht="112" x14ac:dyDescent="0.2">
      <c r="A426" s="158" t="s">
        <v>43</v>
      </c>
      <c r="B426" s="159">
        <v>261</v>
      </c>
      <c r="C426" s="160" t="s">
        <v>586</v>
      </c>
      <c r="D426" s="158" t="s">
        <v>45</v>
      </c>
      <c r="E426" s="68">
        <v>0</v>
      </c>
      <c r="F426" s="163" t="s">
        <v>589</v>
      </c>
      <c r="G426" s="158" t="s">
        <v>592</v>
      </c>
      <c r="H426" s="170">
        <v>44124.441666666666</v>
      </c>
      <c r="I426" s="158" t="s">
        <v>48</v>
      </c>
      <c r="J426" s="158">
        <v>10</v>
      </c>
      <c r="K426" s="158" t="s">
        <v>1132</v>
      </c>
      <c r="L426" s="178" t="s">
        <v>52</v>
      </c>
      <c r="M426" s="178" t="s">
        <v>52</v>
      </c>
      <c r="N426" s="178" t="s">
        <v>1143</v>
      </c>
      <c r="O426" s="178" t="s">
        <v>1143</v>
      </c>
      <c r="P426" s="68">
        <v>0</v>
      </c>
      <c r="Q426" s="177">
        <v>2</v>
      </c>
      <c r="R426" s="103">
        <f t="shared" si="24"/>
        <v>1</v>
      </c>
      <c r="S426" s="177"/>
      <c r="T426" s="103">
        <f t="shared" si="27"/>
        <v>1</v>
      </c>
      <c r="U426" s="177">
        <v>2</v>
      </c>
      <c r="V426" s="103">
        <f t="shared" si="25"/>
        <v>1</v>
      </c>
      <c r="W426" s="177"/>
      <c r="X426" s="324">
        <f t="shared" si="28"/>
        <v>0</v>
      </c>
      <c r="Y426" s="336" t="s">
        <v>589</v>
      </c>
      <c r="Z426" s="178" t="s">
        <v>592</v>
      </c>
      <c r="AA426" s="158" t="s">
        <v>45</v>
      </c>
      <c r="AB426" s="177"/>
      <c r="AC426" s="177"/>
      <c r="AD426" s="177"/>
      <c r="AE426" s="15"/>
      <c r="AF426" s="15"/>
      <c r="AG426" s="158" t="s">
        <v>54</v>
      </c>
    </row>
    <row r="427" spans="1:33" ht="16" x14ac:dyDescent="0.2">
      <c r="A427" s="158" t="s">
        <v>43</v>
      </c>
      <c r="B427" s="159">
        <v>261</v>
      </c>
      <c r="C427" s="160" t="s">
        <v>586</v>
      </c>
      <c r="D427" s="158" t="s">
        <v>45</v>
      </c>
      <c r="E427" s="68">
        <v>0</v>
      </c>
      <c r="F427" s="163" t="s">
        <v>587</v>
      </c>
      <c r="G427" s="158" t="s">
        <v>593</v>
      </c>
      <c r="H427" s="170">
        <v>44125.12222222222</v>
      </c>
      <c r="I427" s="158" t="s">
        <v>48</v>
      </c>
      <c r="J427" s="158">
        <v>10</v>
      </c>
      <c r="K427" s="158" t="s">
        <v>1132</v>
      </c>
      <c r="L427" s="178" t="s">
        <v>52</v>
      </c>
      <c r="M427" s="178" t="s">
        <v>52</v>
      </c>
      <c r="N427" s="178" t="s">
        <v>1143</v>
      </c>
      <c r="O427" s="178" t="s">
        <v>1143</v>
      </c>
      <c r="P427" s="68">
        <v>0</v>
      </c>
      <c r="Q427" s="177">
        <v>2</v>
      </c>
      <c r="R427" s="103">
        <f t="shared" si="24"/>
        <v>1</v>
      </c>
      <c r="S427" s="177" t="s">
        <v>58</v>
      </c>
      <c r="T427" s="103">
        <f t="shared" si="27"/>
        <v>0</v>
      </c>
      <c r="U427" s="177">
        <v>2</v>
      </c>
      <c r="V427" s="103">
        <f t="shared" si="25"/>
        <v>1</v>
      </c>
      <c r="W427" s="177" t="s">
        <v>58</v>
      </c>
      <c r="X427" s="324">
        <f t="shared" si="28"/>
        <v>1</v>
      </c>
      <c r="Y427" s="336" t="s">
        <v>587</v>
      </c>
      <c r="Z427" s="178" t="s">
        <v>593</v>
      </c>
      <c r="AA427" s="158" t="s">
        <v>45</v>
      </c>
      <c r="AB427" s="177"/>
      <c r="AC427" s="177"/>
      <c r="AD427" s="177"/>
      <c r="AE427" s="15"/>
      <c r="AF427" s="15"/>
      <c r="AG427" s="158" t="s">
        <v>59</v>
      </c>
    </row>
    <row r="428" spans="1:33" ht="80" x14ac:dyDescent="0.2">
      <c r="A428" s="158" t="s">
        <v>43</v>
      </c>
      <c r="B428" s="159">
        <v>261</v>
      </c>
      <c r="C428" s="160" t="s">
        <v>586</v>
      </c>
      <c r="D428" s="158" t="s">
        <v>45</v>
      </c>
      <c r="E428" s="68">
        <v>0</v>
      </c>
      <c r="F428" s="163" t="s">
        <v>587</v>
      </c>
      <c r="G428" s="158" t="s">
        <v>594</v>
      </c>
      <c r="H428" s="170">
        <v>44125.12222222222</v>
      </c>
      <c r="I428" s="158" t="s">
        <v>48</v>
      </c>
      <c r="J428" s="158">
        <v>10</v>
      </c>
      <c r="K428" s="158" t="s">
        <v>1132</v>
      </c>
      <c r="L428" s="178" t="s">
        <v>52</v>
      </c>
      <c r="M428" s="178" t="s">
        <v>52</v>
      </c>
      <c r="N428" s="178" t="s">
        <v>1143</v>
      </c>
      <c r="O428" s="178" t="s">
        <v>1143</v>
      </c>
      <c r="P428" s="68">
        <v>0</v>
      </c>
      <c r="Q428" s="177">
        <v>2</v>
      </c>
      <c r="R428" s="103">
        <f t="shared" si="24"/>
        <v>1</v>
      </c>
      <c r="S428" s="177" t="s">
        <v>305</v>
      </c>
      <c r="T428" s="103">
        <f t="shared" si="27"/>
        <v>1</v>
      </c>
      <c r="U428" s="177">
        <v>2</v>
      </c>
      <c r="V428" s="103">
        <f t="shared" si="25"/>
        <v>1</v>
      </c>
      <c r="W428" s="177" t="s">
        <v>305</v>
      </c>
      <c r="X428" s="324">
        <f t="shared" si="28"/>
        <v>1</v>
      </c>
      <c r="Y428" s="336" t="s">
        <v>587</v>
      </c>
      <c r="Z428" s="178" t="s">
        <v>594</v>
      </c>
      <c r="AA428" s="158" t="s">
        <v>45</v>
      </c>
      <c r="AB428" s="177"/>
      <c r="AC428" s="177"/>
      <c r="AD428" s="177"/>
      <c r="AE428" s="15"/>
      <c r="AF428" s="15"/>
      <c r="AG428" s="158" t="s">
        <v>54</v>
      </c>
    </row>
    <row r="429" spans="1:33" ht="80" x14ac:dyDescent="0.2">
      <c r="A429" s="158" t="s">
        <v>43</v>
      </c>
      <c r="B429" s="159">
        <v>261</v>
      </c>
      <c r="C429" s="160" t="s">
        <v>586</v>
      </c>
      <c r="D429" s="158" t="s">
        <v>45</v>
      </c>
      <c r="E429" s="68">
        <v>0</v>
      </c>
      <c r="F429" s="163" t="s">
        <v>589</v>
      </c>
      <c r="G429" s="158" t="s">
        <v>595</v>
      </c>
      <c r="H429" s="170">
        <v>44125.325694444444</v>
      </c>
      <c r="I429" s="158" t="s">
        <v>48</v>
      </c>
      <c r="J429" s="158">
        <v>10</v>
      </c>
      <c r="K429" s="158" t="s">
        <v>1132</v>
      </c>
      <c r="L429" s="178" t="s">
        <v>52</v>
      </c>
      <c r="M429" s="178" t="s">
        <v>52</v>
      </c>
      <c r="N429" s="178" t="s">
        <v>1143</v>
      </c>
      <c r="O429" s="178" t="s">
        <v>1143</v>
      </c>
      <c r="P429" s="68">
        <v>0</v>
      </c>
      <c r="Q429" s="177">
        <v>2</v>
      </c>
      <c r="R429" s="103">
        <f t="shared" si="24"/>
        <v>1</v>
      </c>
      <c r="S429" s="177"/>
      <c r="T429" s="103">
        <f t="shared" si="27"/>
        <v>1</v>
      </c>
      <c r="U429" s="177">
        <v>2</v>
      </c>
      <c r="V429" s="103">
        <f t="shared" si="25"/>
        <v>1</v>
      </c>
      <c r="W429" s="177"/>
      <c r="X429" s="324">
        <f t="shared" si="28"/>
        <v>0</v>
      </c>
      <c r="Y429" s="336" t="s">
        <v>589</v>
      </c>
      <c r="Z429" s="178" t="s">
        <v>595</v>
      </c>
      <c r="AA429" s="158" t="s">
        <v>45</v>
      </c>
      <c r="AB429" s="177"/>
      <c r="AC429" s="177"/>
      <c r="AD429" s="177"/>
      <c r="AE429" s="15"/>
      <c r="AF429" s="15"/>
      <c r="AG429" s="158" t="s">
        <v>54</v>
      </c>
    </row>
    <row r="430" spans="1:33" ht="16" x14ac:dyDescent="0.2">
      <c r="A430" s="158" t="s">
        <v>43</v>
      </c>
      <c r="B430" s="159">
        <v>261</v>
      </c>
      <c r="C430" s="160" t="s">
        <v>586</v>
      </c>
      <c r="D430" s="158" t="s">
        <v>45</v>
      </c>
      <c r="E430" s="68">
        <v>0</v>
      </c>
      <c r="F430" s="163" t="s">
        <v>587</v>
      </c>
      <c r="G430" s="158" t="s">
        <v>596</v>
      </c>
      <c r="H430" s="170">
        <v>44125.339583333334</v>
      </c>
      <c r="I430" s="158" t="s">
        <v>48</v>
      </c>
      <c r="J430" s="158">
        <v>10</v>
      </c>
      <c r="K430" s="158" t="s">
        <v>1132</v>
      </c>
      <c r="L430" s="178" t="s">
        <v>52</v>
      </c>
      <c r="M430" s="178" t="s">
        <v>52</v>
      </c>
      <c r="N430" s="178" t="s">
        <v>1143</v>
      </c>
      <c r="O430" s="178" t="s">
        <v>1143</v>
      </c>
      <c r="P430" s="68">
        <v>0</v>
      </c>
      <c r="Q430" s="177">
        <v>2</v>
      </c>
      <c r="R430" s="103">
        <f t="shared" si="24"/>
        <v>1</v>
      </c>
      <c r="S430" s="177" t="s">
        <v>58</v>
      </c>
      <c r="T430" s="103">
        <f t="shared" si="27"/>
        <v>0</v>
      </c>
      <c r="U430" s="177">
        <v>2</v>
      </c>
      <c r="V430" s="103">
        <f t="shared" si="25"/>
        <v>1</v>
      </c>
      <c r="W430" s="177" t="s">
        <v>58</v>
      </c>
      <c r="X430" s="324">
        <f t="shared" si="28"/>
        <v>1</v>
      </c>
      <c r="Y430" s="336" t="s">
        <v>587</v>
      </c>
      <c r="Z430" s="178" t="s">
        <v>596</v>
      </c>
      <c r="AA430" s="158" t="s">
        <v>45</v>
      </c>
      <c r="AB430" s="177"/>
      <c r="AC430" s="177"/>
      <c r="AD430" s="177"/>
      <c r="AE430" s="15"/>
      <c r="AF430" s="15"/>
      <c r="AG430" s="158" t="s">
        <v>59</v>
      </c>
    </row>
    <row r="431" spans="1:33" ht="16" x14ac:dyDescent="0.2">
      <c r="A431" s="158" t="s">
        <v>43</v>
      </c>
      <c r="B431" s="159">
        <v>261</v>
      </c>
      <c r="C431" s="160" t="s">
        <v>586</v>
      </c>
      <c r="D431" s="158" t="s">
        <v>45</v>
      </c>
      <c r="E431" s="68">
        <v>0</v>
      </c>
      <c r="F431" s="163" t="s">
        <v>587</v>
      </c>
      <c r="G431" s="158" t="s">
        <v>597</v>
      </c>
      <c r="H431" s="170">
        <v>44125.339583333334</v>
      </c>
      <c r="I431" s="158" t="s">
        <v>48</v>
      </c>
      <c r="J431" s="158">
        <v>10</v>
      </c>
      <c r="K431" s="158" t="s">
        <v>1132</v>
      </c>
      <c r="L431" s="178" t="s">
        <v>52</v>
      </c>
      <c r="M431" s="178" t="s">
        <v>52</v>
      </c>
      <c r="N431" s="178" t="s">
        <v>1143</v>
      </c>
      <c r="O431" s="178" t="s">
        <v>1143</v>
      </c>
      <c r="P431" s="68">
        <v>0</v>
      </c>
      <c r="Q431" s="177">
        <v>2</v>
      </c>
      <c r="R431" s="103">
        <f t="shared" si="24"/>
        <v>1</v>
      </c>
      <c r="S431" s="177"/>
      <c r="T431" s="103">
        <f t="shared" si="27"/>
        <v>1</v>
      </c>
      <c r="U431" s="177">
        <v>2</v>
      </c>
      <c r="V431" s="103">
        <f t="shared" si="25"/>
        <v>1</v>
      </c>
      <c r="W431" s="235" t="s">
        <v>637</v>
      </c>
      <c r="X431" s="324">
        <f t="shared" si="28"/>
        <v>1</v>
      </c>
      <c r="Y431" s="336" t="s">
        <v>587</v>
      </c>
      <c r="Z431" s="178" t="s">
        <v>597</v>
      </c>
      <c r="AA431" s="158" t="s">
        <v>45</v>
      </c>
      <c r="AB431" s="177"/>
      <c r="AC431" s="177"/>
      <c r="AD431" s="177"/>
      <c r="AE431" s="15"/>
      <c r="AF431" s="15"/>
      <c r="AG431" s="158" t="s">
        <v>148</v>
      </c>
    </row>
    <row r="432" spans="1:33" ht="80" x14ac:dyDescent="0.2">
      <c r="A432" s="158" t="s">
        <v>43</v>
      </c>
      <c r="B432" s="159">
        <v>261</v>
      </c>
      <c r="C432" s="160" t="s">
        <v>586</v>
      </c>
      <c r="D432" s="158" t="s">
        <v>45</v>
      </c>
      <c r="E432" s="68">
        <v>0</v>
      </c>
      <c r="F432" s="163" t="s">
        <v>598</v>
      </c>
      <c r="G432" s="158" t="s">
        <v>599</v>
      </c>
      <c r="H432" s="170">
        <v>44125.859722222223</v>
      </c>
      <c r="I432" s="158" t="s">
        <v>48</v>
      </c>
      <c r="J432" s="158">
        <v>10</v>
      </c>
      <c r="K432" s="158" t="s">
        <v>1132</v>
      </c>
      <c r="L432" s="178" t="s">
        <v>52</v>
      </c>
      <c r="M432" s="178" t="s">
        <v>52</v>
      </c>
      <c r="N432" s="178" t="s">
        <v>1143</v>
      </c>
      <c r="O432" s="178" t="s">
        <v>1143</v>
      </c>
      <c r="P432" s="68">
        <v>0</v>
      </c>
      <c r="Q432" s="177"/>
      <c r="R432" s="103">
        <f t="shared" si="24"/>
        <v>0</v>
      </c>
      <c r="S432" s="177"/>
      <c r="T432" s="103">
        <f t="shared" si="27"/>
        <v>0</v>
      </c>
      <c r="U432" s="177"/>
      <c r="V432" s="103">
        <f t="shared" si="25"/>
        <v>0</v>
      </c>
      <c r="W432" s="177"/>
      <c r="X432" s="324">
        <f t="shared" si="28"/>
        <v>0</v>
      </c>
      <c r="Y432" s="336" t="s">
        <v>598</v>
      </c>
      <c r="Z432" s="178" t="s">
        <v>599</v>
      </c>
      <c r="AA432" s="158" t="s">
        <v>45</v>
      </c>
      <c r="AB432" s="177"/>
      <c r="AC432" s="177"/>
      <c r="AD432" s="177"/>
      <c r="AE432" s="15"/>
      <c r="AF432" s="15"/>
      <c r="AG432" s="158" t="s">
        <v>54</v>
      </c>
    </row>
    <row r="433" spans="1:33" ht="16" x14ac:dyDescent="0.2">
      <c r="A433" s="158" t="s">
        <v>43</v>
      </c>
      <c r="B433" s="159">
        <v>261</v>
      </c>
      <c r="C433" s="160" t="s">
        <v>586</v>
      </c>
      <c r="D433" s="158" t="s">
        <v>45</v>
      </c>
      <c r="E433" s="68">
        <v>0</v>
      </c>
      <c r="F433" s="163" t="s">
        <v>598</v>
      </c>
      <c r="G433" s="158" t="s">
        <v>600</v>
      </c>
      <c r="H433" s="170">
        <v>44125.861805555556</v>
      </c>
      <c r="I433" s="158" t="s">
        <v>48</v>
      </c>
      <c r="J433" s="158">
        <v>10</v>
      </c>
      <c r="K433" s="158" t="s">
        <v>1132</v>
      </c>
      <c r="L433" s="178" t="s">
        <v>52</v>
      </c>
      <c r="M433" s="178" t="s">
        <v>52</v>
      </c>
      <c r="N433" s="178" t="s">
        <v>1143</v>
      </c>
      <c r="O433" s="178" t="s">
        <v>1143</v>
      </c>
      <c r="P433" s="68">
        <v>0</v>
      </c>
      <c r="Q433" s="177"/>
      <c r="R433" s="103">
        <f t="shared" si="24"/>
        <v>0</v>
      </c>
      <c r="S433" s="177" t="s">
        <v>58</v>
      </c>
      <c r="T433" s="103">
        <f t="shared" si="27"/>
        <v>0</v>
      </c>
      <c r="U433" s="177"/>
      <c r="V433" s="103">
        <f t="shared" si="25"/>
        <v>0</v>
      </c>
      <c r="W433" s="177" t="s">
        <v>58</v>
      </c>
      <c r="X433" s="324">
        <f t="shared" si="28"/>
        <v>1</v>
      </c>
      <c r="Y433" s="336" t="s">
        <v>598</v>
      </c>
      <c r="Z433" s="178" t="s">
        <v>600</v>
      </c>
      <c r="AA433" s="158" t="s">
        <v>45</v>
      </c>
      <c r="AB433" s="177"/>
      <c r="AC433" s="177"/>
      <c r="AD433" s="177"/>
      <c r="AE433" s="15"/>
      <c r="AF433" s="15"/>
      <c r="AG433" s="158" t="s">
        <v>59</v>
      </c>
    </row>
    <row r="434" spans="1:33" ht="128" x14ac:dyDescent="0.2">
      <c r="A434" s="158" t="s">
        <v>43</v>
      </c>
      <c r="B434" s="159">
        <v>261</v>
      </c>
      <c r="C434" s="160" t="s">
        <v>586</v>
      </c>
      <c r="D434" s="158" t="s">
        <v>45</v>
      </c>
      <c r="E434" s="68">
        <v>0</v>
      </c>
      <c r="F434" s="163" t="s">
        <v>598</v>
      </c>
      <c r="G434" s="158" t="s">
        <v>601</v>
      </c>
      <c r="H434" s="170">
        <v>44125.861805555556</v>
      </c>
      <c r="I434" s="158" t="s">
        <v>48</v>
      </c>
      <c r="J434" s="158">
        <v>10</v>
      </c>
      <c r="K434" s="158" t="s">
        <v>1132</v>
      </c>
      <c r="L434" s="178" t="s">
        <v>52</v>
      </c>
      <c r="M434" s="178" t="s">
        <v>52</v>
      </c>
      <c r="N434" s="178" t="s">
        <v>1143</v>
      </c>
      <c r="O434" s="178" t="s">
        <v>1143</v>
      </c>
      <c r="P434" s="68">
        <v>0</v>
      </c>
      <c r="Q434" s="177"/>
      <c r="R434" s="103">
        <f t="shared" si="24"/>
        <v>0</v>
      </c>
      <c r="S434" s="177" t="s">
        <v>305</v>
      </c>
      <c r="T434" s="103">
        <f t="shared" si="27"/>
        <v>1</v>
      </c>
      <c r="U434" s="177"/>
      <c r="V434" s="103">
        <f t="shared" si="25"/>
        <v>0</v>
      </c>
      <c r="W434" s="177" t="s">
        <v>305</v>
      </c>
      <c r="X434" s="324">
        <f t="shared" si="28"/>
        <v>1</v>
      </c>
      <c r="Y434" s="336" t="s">
        <v>598</v>
      </c>
      <c r="Z434" s="178" t="s">
        <v>601</v>
      </c>
      <c r="AA434" s="158" t="s">
        <v>45</v>
      </c>
      <c r="AB434" s="177"/>
      <c r="AC434" s="177"/>
      <c r="AD434" s="177"/>
      <c r="AE434" s="15"/>
      <c r="AF434" s="15"/>
      <c r="AG434" s="158" t="s">
        <v>54</v>
      </c>
    </row>
    <row r="435" spans="1:33" ht="128" x14ac:dyDescent="0.2">
      <c r="A435" s="158" t="s">
        <v>43</v>
      </c>
      <c r="B435" s="159">
        <v>261</v>
      </c>
      <c r="C435" s="160" t="s">
        <v>586</v>
      </c>
      <c r="D435" s="158" t="s">
        <v>45</v>
      </c>
      <c r="E435" s="68">
        <v>0</v>
      </c>
      <c r="F435" s="163" t="s">
        <v>602</v>
      </c>
      <c r="G435" s="158" t="s">
        <v>603</v>
      </c>
      <c r="H435" s="170">
        <v>44126.343055555553</v>
      </c>
      <c r="I435" s="158" t="s">
        <v>48</v>
      </c>
      <c r="J435" s="158">
        <v>10</v>
      </c>
      <c r="K435" s="158" t="s">
        <v>1132</v>
      </c>
      <c r="L435" s="178" t="s">
        <v>52</v>
      </c>
      <c r="M435" s="178" t="s">
        <v>52</v>
      </c>
      <c r="N435" s="178" t="s">
        <v>1143</v>
      </c>
      <c r="O435" s="178" t="s">
        <v>1143</v>
      </c>
      <c r="P435" s="68">
        <v>0</v>
      </c>
      <c r="Q435" s="177"/>
      <c r="R435" s="103">
        <f t="shared" si="24"/>
        <v>0</v>
      </c>
      <c r="S435" s="177"/>
      <c r="T435" s="103">
        <f t="shared" si="27"/>
        <v>1</v>
      </c>
      <c r="U435" s="177"/>
      <c r="V435" s="103">
        <f t="shared" si="25"/>
        <v>0</v>
      </c>
      <c r="W435" s="177"/>
      <c r="X435" s="324">
        <f t="shared" si="28"/>
        <v>0</v>
      </c>
      <c r="Y435" s="336" t="s">
        <v>602</v>
      </c>
      <c r="Z435" s="178" t="s">
        <v>603</v>
      </c>
      <c r="AA435" s="158" t="s">
        <v>45</v>
      </c>
      <c r="AB435" s="177"/>
      <c r="AC435" s="177"/>
      <c r="AD435" s="177"/>
      <c r="AE435" s="15"/>
      <c r="AF435" s="15"/>
      <c r="AG435" s="158" t="s">
        <v>54</v>
      </c>
    </row>
    <row r="436" spans="1:33" ht="16" x14ac:dyDescent="0.2">
      <c r="A436" s="158" t="s">
        <v>43</v>
      </c>
      <c r="B436" s="159">
        <v>261</v>
      </c>
      <c r="C436" s="160" t="s">
        <v>586</v>
      </c>
      <c r="D436" s="158" t="s">
        <v>45</v>
      </c>
      <c r="E436" s="68">
        <v>0</v>
      </c>
      <c r="F436" s="163" t="s">
        <v>602</v>
      </c>
      <c r="G436" s="158" t="s">
        <v>604</v>
      </c>
      <c r="H436" s="170">
        <v>44126.343055555553</v>
      </c>
      <c r="I436" s="158" t="s">
        <v>48</v>
      </c>
      <c r="J436" s="158">
        <v>10</v>
      </c>
      <c r="K436" s="158" t="s">
        <v>1132</v>
      </c>
      <c r="L436" s="178" t="s">
        <v>52</v>
      </c>
      <c r="M436" s="178" t="s">
        <v>52</v>
      </c>
      <c r="N436" s="178" t="s">
        <v>1143</v>
      </c>
      <c r="O436" s="178" t="s">
        <v>1143</v>
      </c>
      <c r="P436" s="68">
        <v>0</v>
      </c>
      <c r="Q436" s="177"/>
      <c r="R436" s="103">
        <f t="shared" si="24"/>
        <v>0</v>
      </c>
      <c r="S436" s="177"/>
      <c r="T436" s="103">
        <f t="shared" si="27"/>
        <v>0</v>
      </c>
      <c r="U436" s="177"/>
      <c r="V436" s="103">
        <f t="shared" si="25"/>
        <v>0</v>
      </c>
      <c r="W436" s="177"/>
      <c r="X436" s="324">
        <f t="shared" si="28"/>
        <v>0</v>
      </c>
      <c r="Y436" s="336" t="s">
        <v>602</v>
      </c>
      <c r="Z436" s="178" t="s">
        <v>604</v>
      </c>
      <c r="AA436" s="158" t="s">
        <v>45</v>
      </c>
      <c r="AB436" s="177"/>
      <c r="AC436" s="177"/>
      <c r="AD436" s="177"/>
      <c r="AE436" s="15"/>
      <c r="AF436" s="15"/>
      <c r="AG436" s="158" t="s">
        <v>78</v>
      </c>
    </row>
    <row r="437" spans="1:33" ht="144" x14ac:dyDescent="0.2">
      <c r="A437" s="158" t="s">
        <v>43</v>
      </c>
      <c r="B437" s="159">
        <v>261</v>
      </c>
      <c r="C437" s="160" t="s">
        <v>586</v>
      </c>
      <c r="D437" s="158" t="s">
        <v>45</v>
      </c>
      <c r="E437" s="68">
        <v>0</v>
      </c>
      <c r="F437" s="163" t="s">
        <v>605</v>
      </c>
      <c r="G437" s="158" t="s">
        <v>606</v>
      </c>
      <c r="H437" s="170">
        <v>44126.468055555553</v>
      </c>
      <c r="I437" s="158" t="s">
        <v>48</v>
      </c>
      <c r="J437" s="158">
        <v>9</v>
      </c>
      <c r="K437" s="158" t="s">
        <v>1132</v>
      </c>
      <c r="L437" s="178" t="s">
        <v>52</v>
      </c>
      <c r="M437" s="178" t="s">
        <v>52</v>
      </c>
      <c r="N437" s="178" t="s">
        <v>1143</v>
      </c>
      <c r="O437" s="178" t="s">
        <v>1143</v>
      </c>
      <c r="P437" s="68">
        <v>0</v>
      </c>
      <c r="Q437" s="177"/>
      <c r="R437" s="103">
        <f t="shared" si="24"/>
        <v>0</v>
      </c>
      <c r="S437" s="177"/>
      <c r="T437" s="103">
        <f t="shared" si="27"/>
        <v>0</v>
      </c>
      <c r="U437" s="177"/>
      <c r="V437" s="103">
        <f t="shared" si="25"/>
        <v>0</v>
      </c>
      <c r="W437" s="177"/>
      <c r="X437" s="324">
        <f t="shared" si="28"/>
        <v>0</v>
      </c>
      <c r="Y437" s="336" t="s">
        <v>605</v>
      </c>
      <c r="Z437" s="178" t="s">
        <v>606</v>
      </c>
      <c r="AA437" s="158" t="s">
        <v>45</v>
      </c>
      <c r="AB437" s="177"/>
      <c r="AC437" s="177"/>
      <c r="AD437" s="177"/>
      <c r="AE437" s="15"/>
      <c r="AF437" s="15"/>
      <c r="AG437" s="158" t="s">
        <v>54</v>
      </c>
    </row>
    <row r="438" spans="1:33" ht="16" x14ac:dyDescent="0.2">
      <c r="A438" s="158" t="s">
        <v>43</v>
      </c>
      <c r="B438" s="159">
        <v>261</v>
      </c>
      <c r="C438" s="160" t="s">
        <v>586</v>
      </c>
      <c r="D438" s="158" t="s">
        <v>45</v>
      </c>
      <c r="E438" s="68">
        <v>0</v>
      </c>
      <c r="F438" s="163" t="s">
        <v>605</v>
      </c>
      <c r="G438" s="158" t="s">
        <v>173</v>
      </c>
      <c r="H438" s="170">
        <v>44126.468055555553</v>
      </c>
      <c r="I438" s="158" t="s">
        <v>48</v>
      </c>
      <c r="J438" s="158">
        <v>9</v>
      </c>
      <c r="K438" s="158" t="s">
        <v>1132</v>
      </c>
      <c r="L438" s="178" t="s">
        <v>52</v>
      </c>
      <c r="M438" s="178" t="s">
        <v>52</v>
      </c>
      <c r="N438" s="178" t="s">
        <v>1143</v>
      </c>
      <c r="O438" s="178" t="s">
        <v>1143</v>
      </c>
      <c r="P438" s="68">
        <v>0</v>
      </c>
      <c r="Q438" s="177"/>
      <c r="R438" s="103">
        <f t="shared" si="24"/>
        <v>0</v>
      </c>
      <c r="S438" s="177"/>
      <c r="T438" s="103">
        <f t="shared" si="27"/>
        <v>0</v>
      </c>
      <c r="U438" s="177"/>
      <c r="V438" s="103">
        <f t="shared" si="25"/>
        <v>0</v>
      </c>
      <c r="W438" s="177"/>
      <c r="X438" s="324">
        <f t="shared" si="28"/>
        <v>0</v>
      </c>
      <c r="Y438" s="336" t="s">
        <v>605</v>
      </c>
      <c r="Z438" s="178" t="s">
        <v>173</v>
      </c>
      <c r="AA438" s="158" t="s">
        <v>45</v>
      </c>
      <c r="AB438" s="177"/>
      <c r="AC438" s="177"/>
      <c r="AD438" s="177"/>
      <c r="AE438" s="15"/>
      <c r="AF438" s="15"/>
      <c r="AG438" s="158" t="s">
        <v>78</v>
      </c>
    </row>
    <row r="439" spans="1:33" ht="96" x14ac:dyDescent="0.2">
      <c r="A439" s="158" t="s">
        <v>43</v>
      </c>
      <c r="B439" s="159">
        <v>261</v>
      </c>
      <c r="C439" s="160" t="s">
        <v>586</v>
      </c>
      <c r="D439" s="158" t="s">
        <v>45</v>
      </c>
      <c r="E439" s="68">
        <v>0</v>
      </c>
      <c r="F439" s="163" t="s">
        <v>587</v>
      </c>
      <c r="G439" s="158" t="s">
        <v>607</v>
      </c>
      <c r="H439" s="170">
        <v>44126.99722222222</v>
      </c>
      <c r="I439" s="158" t="s">
        <v>48</v>
      </c>
      <c r="J439" s="158">
        <v>10</v>
      </c>
      <c r="K439" s="158" t="s">
        <v>1132</v>
      </c>
      <c r="L439" s="178" t="s">
        <v>52</v>
      </c>
      <c r="M439" s="178" t="s">
        <v>52</v>
      </c>
      <c r="N439" s="178" t="s">
        <v>1143</v>
      </c>
      <c r="O439" s="178" t="s">
        <v>1143</v>
      </c>
      <c r="P439" s="68">
        <v>0</v>
      </c>
      <c r="Q439" s="177"/>
      <c r="R439" s="103">
        <f t="shared" si="24"/>
        <v>0</v>
      </c>
      <c r="S439" s="177"/>
      <c r="T439" s="103">
        <f t="shared" si="27"/>
        <v>0</v>
      </c>
      <c r="U439" s="177"/>
      <c r="V439" s="103">
        <f t="shared" si="25"/>
        <v>0</v>
      </c>
      <c r="W439" s="177"/>
      <c r="X439" s="324">
        <f t="shared" si="28"/>
        <v>0</v>
      </c>
      <c r="Y439" s="336" t="s">
        <v>587</v>
      </c>
      <c r="Z439" s="178" t="s">
        <v>607</v>
      </c>
      <c r="AA439" s="158" t="s">
        <v>45</v>
      </c>
      <c r="AB439" s="177"/>
      <c r="AC439" s="177"/>
      <c r="AD439" s="177"/>
      <c r="AE439" s="15"/>
      <c r="AF439" s="15"/>
      <c r="AG439" s="158" t="s">
        <v>54</v>
      </c>
    </row>
    <row r="440" spans="1:33" ht="16" x14ac:dyDescent="0.2">
      <c r="A440" s="158" t="s">
        <v>43</v>
      </c>
      <c r="B440" s="159">
        <v>261</v>
      </c>
      <c r="C440" s="160" t="s">
        <v>586</v>
      </c>
      <c r="D440" s="158" t="s">
        <v>45</v>
      </c>
      <c r="E440" s="68">
        <v>0</v>
      </c>
      <c r="F440" s="163" t="s">
        <v>587</v>
      </c>
      <c r="G440" s="158" t="s">
        <v>608</v>
      </c>
      <c r="H440" s="170">
        <v>44126.99722222222</v>
      </c>
      <c r="I440" s="158" t="s">
        <v>48</v>
      </c>
      <c r="J440" s="158">
        <v>10</v>
      </c>
      <c r="K440" s="158" t="s">
        <v>1132</v>
      </c>
      <c r="L440" s="178" t="s">
        <v>52</v>
      </c>
      <c r="M440" s="178" t="s">
        <v>52</v>
      </c>
      <c r="N440" s="178" t="s">
        <v>1143</v>
      </c>
      <c r="O440" s="178" t="s">
        <v>1143</v>
      </c>
      <c r="P440" s="68">
        <v>0</v>
      </c>
      <c r="Q440" s="177"/>
      <c r="R440" s="103">
        <f t="shared" si="24"/>
        <v>0</v>
      </c>
      <c r="S440" s="177"/>
      <c r="T440" s="103">
        <f t="shared" si="27"/>
        <v>0</v>
      </c>
      <c r="U440" s="177"/>
      <c r="V440" s="103">
        <f t="shared" si="25"/>
        <v>0</v>
      </c>
      <c r="W440" s="235" t="s">
        <v>302</v>
      </c>
      <c r="X440" s="324">
        <f t="shared" si="28"/>
        <v>1</v>
      </c>
      <c r="Y440" s="336" t="s">
        <v>587</v>
      </c>
      <c r="Z440" s="178" t="s">
        <v>608</v>
      </c>
      <c r="AA440" s="158" t="s">
        <v>45</v>
      </c>
      <c r="AB440" s="177"/>
      <c r="AC440" s="177"/>
      <c r="AD440" s="177"/>
      <c r="AE440" s="15"/>
      <c r="AF440" s="15"/>
      <c r="AG440" s="158" t="s">
        <v>54</v>
      </c>
    </row>
    <row r="441" spans="1:33" ht="16" x14ac:dyDescent="0.2">
      <c r="A441" s="158" t="s">
        <v>43</v>
      </c>
      <c r="B441" s="159">
        <v>261</v>
      </c>
      <c r="C441" s="160" t="s">
        <v>586</v>
      </c>
      <c r="D441" s="158" t="s">
        <v>45</v>
      </c>
      <c r="E441" s="68">
        <v>0</v>
      </c>
      <c r="F441" s="163" t="s">
        <v>587</v>
      </c>
      <c r="G441" s="158" t="s">
        <v>609</v>
      </c>
      <c r="H441" s="170">
        <v>44127.451388888891</v>
      </c>
      <c r="I441" s="158" t="s">
        <v>48</v>
      </c>
      <c r="J441" s="158">
        <v>10</v>
      </c>
      <c r="K441" s="158" t="s">
        <v>1132</v>
      </c>
      <c r="L441" s="178" t="s">
        <v>52</v>
      </c>
      <c r="M441" s="178" t="s">
        <v>52</v>
      </c>
      <c r="N441" s="178" t="s">
        <v>1143</v>
      </c>
      <c r="O441" s="178" t="s">
        <v>1143</v>
      </c>
      <c r="P441" s="68">
        <v>0</v>
      </c>
      <c r="Q441" s="177"/>
      <c r="R441" s="103">
        <f t="shared" si="24"/>
        <v>0</v>
      </c>
      <c r="S441" s="177"/>
      <c r="T441" s="103">
        <f t="shared" si="27"/>
        <v>0</v>
      </c>
      <c r="U441" s="177"/>
      <c r="V441" s="103">
        <f t="shared" si="25"/>
        <v>0</v>
      </c>
      <c r="W441" s="177"/>
      <c r="X441" s="324">
        <f t="shared" si="28"/>
        <v>0</v>
      </c>
      <c r="Y441" s="336" t="s">
        <v>587</v>
      </c>
      <c r="Z441" s="178" t="s">
        <v>609</v>
      </c>
      <c r="AA441" s="158" t="s">
        <v>45</v>
      </c>
      <c r="AB441" s="177"/>
      <c r="AC441" s="177"/>
      <c r="AD441" s="177"/>
      <c r="AE441" s="15"/>
      <c r="AF441" s="15"/>
      <c r="AG441" s="158" t="s">
        <v>128</v>
      </c>
    </row>
    <row r="442" spans="1:33" ht="16" x14ac:dyDescent="0.2">
      <c r="A442" s="158" t="s">
        <v>43</v>
      </c>
      <c r="B442" s="159">
        <v>261</v>
      </c>
      <c r="C442" s="160" t="s">
        <v>586</v>
      </c>
      <c r="D442" s="158" t="s">
        <v>45</v>
      </c>
      <c r="E442" s="68">
        <v>0</v>
      </c>
      <c r="F442" s="163" t="s">
        <v>587</v>
      </c>
      <c r="G442" s="158" t="s">
        <v>609</v>
      </c>
      <c r="H442" s="170">
        <v>44127.451388888891</v>
      </c>
      <c r="I442" s="158" t="s">
        <v>48</v>
      </c>
      <c r="J442" s="158">
        <v>10</v>
      </c>
      <c r="K442" s="158" t="s">
        <v>1132</v>
      </c>
      <c r="L442" s="178" t="s">
        <v>52</v>
      </c>
      <c r="M442" s="178" t="s">
        <v>52</v>
      </c>
      <c r="N442" s="178" t="s">
        <v>1143</v>
      </c>
      <c r="O442" s="178" t="s">
        <v>1143</v>
      </c>
      <c r="P442" s="68">
        <v>0</v>
      </c>
      <c r="Q442" s="177"/>
      <c r="R442" s="103">
        <f t="shared" si="24"/>
        <v>0</v>
      </c>
      <c r="S442" s="177"/>
      <c r="T442" s="103">
        <f t="shared" si="27"/>
        <v>0</v>
      </c>
      <c r="U442" s="177"/>
      <c r="V442" s="103">
        <f t="shared" si="25"/>
        <v>0</v>
      </c>
      <c r="W442" s="177"/>
      <c r="X442" s="324">
        <f t="shared" si="28"/>
        <v>0</v>
      </c>
      <c r="Y442" s="336" t="s">
        <v>587</v>
      </c>
      <c r="Z442" s="178" t="s">
        <v>609</v>
      </c>
      <c r="AA442" s="158" t="s">
        <v>45</v>
      </c>
      <c r="AB442" s="177"/>
      <c r="AC442" s="177"/>
      <c r="AD442" s="177"/>
      <c r="AE442" s="15"/>
      <c r="AF442" s="15"/>
      <c r="AG442" s="158" t="s">
        <v>128</v>
      </c>
    </row>
    <row r="443" spans="1:33" ht="16" x14ac:dyDescent="0.2">
      <c r="A443" s="158" t="s">
        <v>43</v>
      </c>
      <c r="B443" s="159">
        <v>261</v>
      </c>
      <c r="C443" s="160" t="s">
        <v>586</v>
      </c>
      <c r="D443" s="158" t="s">
        <v>45</v>
      </c>
      <c r="E443" s="68">
        <v>0</v>
      </c>
      <c r="F443" s="163" t="s">
        <v>587</v>
      </c>
      <c r="G443" s="158" t="s">
        <v>609</v>
      </c>
      <c r="H443" s="170">
        <v>44127.451388888891</v>
      </c>
      <c r="I443" s="158" t="s">
        <v>48</v>
      </c>
      <c r="J443" s="158">
        <v>10</v>
      </c>
      <c r="K443" s="158" t="s">
        <v>1132</v>
      </c>
      <c r="L443" s="178" t="s">
        <v>52</v>
      </c>
      <c r="M443" s="178" t="s">
        <v>52</v>
      </c>
      <c r="N443" s="178" t="s">
        <v>1143</v>
      </c>
      <c r="O443" s="178" t="s">
        <v>1143</v>
      </c>
      <c r="P443" s="68">
        <v>0</v>
      </c>
      <c r="Q443" s="177"/>
      <c r="R443" s="103">
        <f t="shared" si="24"/>
        <v>0</v>
      </c>
      <c r="S443" s="177"/>
      <c r="T443" s="103">
        <f t="shared" si="27"/>
        <v>0</v>
      </c>
      <c r="U443" s="177"/>
      <c r="V443" s="103">
        <f t="shared" si="25"/>
        <v>0</v>
      </c>
      <c r="W443" s="177"/>
      <c r="X443" s="324">
        <f t="shared" si="28"/>
        <v>0</v>
      </c>
      <c r="Y443" s="336" t="s">
        <v>587</v>
      </c>
      <c r="Z443" s="178" t="s">
        <v>609</v>
      </c>
      <c r="AA443" s="158" t="s">
        <v>45</v>
      </c>
      <c r="AB443" s="177"/>
      <c r="AC443" s="177"/>
      <c r="AD443" s="177"/>
      <c r="AE443" s="15"/>
      <c r="AF443" s="15"/>
      <c r="AG443" s="158" t="s">
        <v>128</v>
      </c>
    </row>
    <row r="444" spans="1:33" ht="192" x14ac:dyDescent="0.2">
      <c r="A444" s="158" t="s">
        <v>43</v>
      </c>
      <c r="B444" s="159">
        <v>261</v>
      </c>
      <c r="C444" s="160" t="s">
        <v>586</v>
      </c>
      <c r="D444" s="158" t="s">
        <v>45</v>
      </c>
      <c r="E444" s="68">
        <v>0</v>
      </c>
      <c r="F444" s="163" t="s">
        <v>610</v>
      </c>
      <c r="G444" s="158" t="s">
        <v>611</v>
      </c>
      <c r="H444" s="170">
        <v>44132.925694444442</v>
      </c>
      <c r="I444" s="158" t="s">
        <v>48</v>
      </c>
      <c r="J444" s="158">
        <v>10</v>
      </c>
      <c r="K444" s="158" t="s">
        <v>1132</v>
      </c>
      <c r="L444" s="178" t="s">
        <v>52</v>
      </c>
      <c r="M444" s="178" t="s">
        <v>52</v>
      </c>
      <c r="N444" s="178" t="s">
        <v>1143</v>
      </c>
      <c r="O444" s="178" t="s">
        <v>1143</v>
      </c>
      <c r="P444" s="68">
        <v>0</v>
      </c>
      <c r="Q444" s="177"/>
      <c r="R444" s="103">
        <f t="shared" si="24"/>
        <v>0</v>
      </c>
      <c r="S444" s="177"/>
      <c r="T444" s="103">
        <f t="shared" si="27"/>
        <v>0</v>
      </c>
      <c r="U444" s="177"/>
      <c r="V444" s="103">
        <f t="shared" si="25"/>
        <v>0</v>
      </c>
      <c r="W444" s="177"/>
      <c r="X444" s="324">
        <f t="shared" si="28"/>
        <v>0</v>
      </c>
      <c r="Y444" s="336" t="s">
        <v>610</v>
      </c>
      <c r="Z444" s="178" t="s">
        <v>611</v>
      </c>
      <c r="AA444" s="158" t="s">
        <v>45</v>
      </c>
      <c r="AB444" s="177"/>
      <c r="AC444" s="177"/>
      <c r="AD444" s="177"/>
      <c r="AE444" s="15"/>
      <c r="AF444" s="15"/>
      <c r="AG444" s="158" t="s">
        <v>54</v>
      </c>
    </row>
    <row r="445" spans="1:33" ht="144" x14ac:dyDescent="0.2">
      <c r="A445" s="158" t="s">
        <v>43</v>
      </c>
      <c r="B445" s="159">
        <v>261</v>
      </c>
      <c r="C445" s="160" t="s">
        <v>586</v>
      </c>
      <c r="D445" s="158" t="s">
        <v>45</v>
      </c>
      <c r="E445" s="68">
        <v>0</v>
      </c>
      <c r="F445" s="163" t="s">
        <v>610</v>
      </c>
      <c r="G445" s="158" t="s">
        <v>612</v>
      </c>
      <c r="H445" s="170">
        <v>44132.927083333336</v>
      </c>
      <c r="I445" s="158" t="s">
        <v>48</v>
      </c>
      <c r="J445" s="158">
        <v>10</v>
      </c>
      <c r="K445" s="158" t="s">
        <v>1132</v>
      </c>
      <c r="L445" s="178" t="s">
        <v>52</v>
      </c>
      <c r="M445" s="178" t="s">
        <v>52</v>
      </c>
      <c r="N445" s="178" t="s">
        <v>1143</v>
      </c>
      <c r="O445" s="178" t="s">
        <v>1143</v>
      </c>
      <c r="P445" s="68">
        <v>0</v>
      </c>
      <c r="Q445" s="177"/>
      <c r="R445" s="103">
        <f t="shared" si="24"/>
        <v>0</v>
      </c>
      <c r="S445" s="177"/>
      <c r="T445" s="103">
        <f t="shared" si="27"/>
        <v>0</v>
      </c>
      <c r="U445" s="177"/>
      <c r="V445" s="103">
        <f t="shared" si="25"/>
        <v>0</v>
      </c>
      <c r="W445" s="177"/>
      <c r="X445" s="324">
        <f t="shared" si="28"/>
        <v>0</v>
      </c>
      <c r="Y445" s="336" t="s">
        <v>610</v>
      </c>
      <c r="Z445" s="178" t="s">
        <v>612</v>
      </c>
      <c r="AA445" s="158" t="s">
        <v>45</v>
      </c>
      <c r="AB445" s="177"/>
      <c r="AC445" s="177"/>
      <c r="AD445" s="177"/>
      <c r="AE445" s="15"/>
      <c r="AF445" s="15"/>
      <c r="AG445" s="158" t="s">
        <v>54</v>
      </c>
    </row>
    <row r="446" spans="1:33" ht="16" x14ac:dyDescent="0.2">
      <c r="A446" s="158" t="s">
        <v>43</v>
      </c>
      <c r="B446" s="159">
        <v>261</v>
      </c>
      <c r="C446" s="160" t="s">
        <v>586</v>
      </c>
      <c r="D446" s="158" t="s">
        <v>45</v>
      </c>
      <c r="E446" s="68">
        <v>0</v>
      </c>
      <c r="F446" s="163" t="s">
        <v>610</v>
      </c>
      <c r="G446" s="158" t="s">
        <v>613</v>
      </c>
      <c r="H446" s="170">
        <v>44132.927083333336</v>
      </c>
      <c r="I446" s="158" t="s">
        <v>48</v>
      </c>
      <c r="J446" s="158">
        <v>10</v>
      </c>
      <c r="K446" s="158" t="s">
        <v>1132</v>
      </c>
      <c r="L446" s="178" t="s">
        <v>52</v>
      </c>
      <c r="M446" s="178" t="s">
        <v>52</v>
      </c>
      <c r="N446" s="178" t="s">
        <v>1143</v>
      </c>
      <c r="O446" s="178" t="s">
        <v>1143</v>
      </c>
      <c r="P446" s="68">
        <v>0</v>
      </c>
      <c r="Q446" s="177"/>
      <c r="R446" s="103">
        <f t="shared" si="24"/>
        <v>0</v>
      </c>
      <c r="S446" s="177"/>
      <c r="T446" s="103">
        <f t="shared" si="27"/>
        <v>0</v>
      </c>
      <c r="U446" s="177"/>
      <c r="V446" s="103">
        <f t="shared" si="25"/>
        <v>0</v>
      </c>
      <c r="W446" s="177"/>
      <c r="X446" s="324">
        <f t="shared" si="28"/>
        <v>0</v>
      </c>
      <c r="Y446" s="336" t="s">
        <v>610</v>
      </c>
      <c r="Z446" s="178" t="s">
        <v>613</v>
      </c>
      <c r="AA446" s="158" t="s">
        <v>45</v>
      </c>
      <c r="AB446" s="177"/>
      <c r="AC446" s="177"/>
      <c r="AD446" s="177"/>
      <c r="AE446" s="15"/>
      <c r="AF446" s="15"/>
      <c r="AG446" s="158" t="s">
        <v>78</v>
      </c>
    </row>
    <row r="447" spans="1:33" ht="48" x14ac:dyDescent="0.2">
      <c r="A447" s="158" t="s">
        <v>43</v>
      </c>
      <c r="B447" s="159">
        <v>261</v>
      </c>
      <c r="C447" s="160" t="s">
        <v>586</v>
      </c>
      <c r="D447" s="158" t="s">
        <v>45</v>
      </c>
      <c r="E447" s="68">
        <v>0</v>
      </c>
      <c r="F447" s="163" t="s">
        <v>614</v>
      </c>
      <c r="G447" s="158" t="s">
        <v>615</v>
      </c>
      <c r="H447" s="170">
        <v>44135.525694444441</v>
      </c>
      <c r="I447" s="158" t="s">
        <v>48</v>
      </c>
      <c r="J447" s="158">
        <v>9</v>
      </c>
      <c r="K447" s="158" t="s">
        <v>1132</v>
      </c>
      <c r="L447" s="178" t="s">
        <v>52</v>
      </c>
      <c r="M447" s="178" t="s">
        <v>52</v>
      </c>
      <c r="N447" s="178" t="s">
        <v>1143</v>
      </c>
      <c r="O447" s="178" t="s">
        <v>1143</v>
      </c>
      <c r="P447" s="68">
        <v>0</v>
      </c>
      <c r="Q447" s="177"/>
      <c r="R447" s="103">
        <f t="shared" si="24"/>
        <v>0</v>
      </c>
      <c r="S447" s="177"/>
      <c r="T447" s="103">
        <f t="shared" si="27"/>
        <v>0</v>
      </c>
      <c r="U447" s="177"/>
      <c r="V447" s="103">
        <f t="shared" ref="V447:V510" si="29">IF(U447&lt;&gt;"",1,0)</f>
        <v>0</v>
      </c>
      <c r="W447" s="177"/>
      <c r="X447" s="324">
        <f t="shared" si="28"/>
        <v>0</v>
      </c>
      <c r="Y447" s="336" t="s">
        <v>614</v>
      </c>
      <c r="Z447" s="178" t="s">
        <v>615</v>
      </c>
      <c r="AA447" s="158" t="s">
        <v>45</v>
      </c>
      <c r="AB447" s="177"/>
      <c r="AC447" s="177"/>
      <c r="AD447" s="177"/>
      <c r="AE447" s="15"/>
      <c r="AF447" s="15"/>
      <c r="AG447" s="158" t="s">
        <v>54</v>
      </c>
    </row>
    <row r="448" spans="1:33" ht="48" x14ac:dyDescent="0.2">
      <c r="A448" s="158" t="s">
        <v>43</v>
      </c>
      <c r="B448" s="159">
        <v>261</v>
      </c>
      <c r="C448" s="160" t="s">
        <v>586</v>
      </c>
      <c r="D448" s="158" t="s">
        <v>45</v>
      </c>
      <c r="E448" s="68">
        <v>0</v>
      </c>
      <c r="F448" s="163" t="s">
        <v>614</v>
      </c>
      <c r="G448" s="158" t="s">
        <v>616</v>
      </c>
      <c r="H448" s="170">
        <v>44135.526388888888</v>
      </c>
      <c r="I448" s="158" t="s">
        <v>48</v>
      </c>
      <c r="J448" s="158">
        <v>9</v>
      </c>
      <c r="K448" s="158" t="s">
        <v>1132</v>
      </c>
      <c r="L448" s="178" t="s">
        <v>52</v>
      </c>
      <c r="M448" s="178" t="s">
        <v>52</v>
      </c>
      <c r="N448" s="178" t="s">
        <v>1143</v>
      </c>
      <c r="O448" s="178" t="s">
        <v>1143</v>
      </c>
      <c r="P448" s="68">
        <v>0</v>
      </c>
      <c r="Q448" s="177"/>
      <c r="R448" s="103">
        <f t="shared" si="24"/>
        <v>0</v>
      </c>
      <c r="S448" s="177"/>
      <c r="T448" s="103">
        <f t="shared" ref="T448:T511" si="30">IF(S447&lt;&gt;"",1,0)</f>
        <v>0</v>
      </c>
      <c r="U448" s="177"/>
      <c r="V448" s="103">
        <f t="shared" si="29"/>
        <v>0</v>
      </c>
      <c r="W448" s="177"/>
      <c r="X448" s="324">
        <f t="shared" si="28"/>
        <v>0</v>
      </c>
      <c r="Y448" s="336" t="s">
        <v>614</v>
      </c>
      <c r="Z448" s="178" t="s">
        <v>616</v>
      </c>
      <c r="AA448" s="158" t="s">
        <v>45</v>
      </c>
      <c r="AB448" s="177"/>
      <c r="AC448" s="177"/>
      <c r="AD448" s="177"/>
      <c r="AE448" s="15"/>
      <c r="AF448" s="15"/>
      <c r="AG448" s="158" t="s">
        <v>54</v>
      </c>
    </row>
    <row r="449" spans="1:33" ht="64" x14ac:dyDescent="0.2">
      <c r="A449" s="158" t="s">
        <v>43</v>
      </c>
      <c r="B449" s="159">
        <v>261</v>
      </c>
      <c r="C449" s="160" t="s">
        <v>586</v>
      </c>
      <c r="D449" s="158" t="s">
        <v>45</v>
      </c>
      <c r="E449" s="68">
        <v>0</v>
      </c>
      <c r="F449" s="163" t="s">
        <v>614</v>
      </c>
      <c r="G449" s="158" t="s">
        <v>617</v>
      </c>
      <c r="H449" s="170">
        <v>44135.527083333334</v>
      </c>
      <c r="I449" s="158" t="s">
        <v>48</v>
      </c>
      <c r="J449" s="158">
        <v>9</v>
      </c>
      <c r="K449" s="158" t="s">
        <v>1132</v>
      </c>
      <c r="L449" s="178" t="s">
        <v>52</v>
      </c>
      <c r="M449" s="178" t="s">
        <v>52</v>
      </c>
      <c r="N449" s="178" t="s">
        <v>1143</v>
      </c>
      <c r="O449" s="178" t="s">
        <v>1143</v>
      </c>
      <c r="P449" s="68">
        <v>0</v>
      </c>
      <c r="Q449" s="177"/>
      <c r="R449" s="103">
        <f t="shared" si="24"/>
        <v>0</v>
      </c>
      <c r="S449" s="177"/>
      <c r="T449" s="103">
        <f t="shared" si="30"/>
        <v>0</v>
      </c>
      <c r="U449" s="177"/>
      <c r="V449" s="103">
        <f t="shared" si="29"/>
        <v>0</v>
      </c>
      <c r="W449" s="177"/>
      <c r="X449" s="324">
        <f t="shared" si="28"/>
        <v>0</v>
      </c>
      <c r="Y449" s="336" t="s">
        <v>614</v>
      </c>
      <c r="Z449" s="178" t="s">
        <v>617</v>
      </c>
      <c r="AA449" s="158" t="s">
        <v>45</v>
      </c>
      <c r="AB449" s="177"/>
      <c r="AC449" s="177"/>
      <c r="AD449" s="177"/>
      <c r="AE449" s="15"/>
      <c r="AF449" s="15"/>
      <c r="AG449" s="158" t="s">
        <v>54</v>
      </c>
    </row>
    <row r="450" spans="1:33" ht="32" x14ac:dyDescent="0.2">
      <c r="A450" s="158" t="s">
        <v>43</v>
      </c>
      <c r="B450" s="159">
        <v>261</v>
      </c>
      <c r="C450" s="160" t="s">
        <v>586</v>
      </c>
      <c r="D450" s="158" t="s">
        <v>45</v>
      </c>
      <c r="E450" s="68">
        <v>0</v>
      </c>
      <c r="F450" s="163" t="s">
        <v>618</v>
      </c>
      <c r="G450" s="158" t="s">
        <v>619</v>
      </c>
      <c r="H450" s="170">
        <v>44135.675000000003</v>
      </c>
      <c r="I450" s="158" t="s">
        <v>48</v>
      </c>
      <c r="J450" s="158">
        <v>10</v>
      </c>
      <c r="K450" s="158" t="s">
        <v>1132</v>
      </c>
      <c r="L450" s="178" t="s">
        <v>52</v>
      </c>
      <c r="M450" s="178" t="s">
        <v>52</v>
      </c>
      <c r="N450" s="178" t="s">
        <v>1143</v>
      </c>
      <c r="O450" s="178" t="s">
        <v>1143</v>
      </c>
      <c r="P450" s="68">
        <v>0</v>
      </c>
      <c r="Q450" s="177"/>
      <c r="R450" s="103">
        <f t="shared" ref="R450:R513" si="31">IF(Q450&lt;&gt;"",1,0)</f>
        <v>0</v>
      </c>
      <c r="S450" s="177"/>
      <c r="T450" s="103">
        <f t="shared" si="30"/>
        <v>0</v>
      </c>
      <c r="U450" s="177"/>
      <c r="V450" s="103">
        <f t="shared" si="29"/>
        <v>0</v>
      </c>
      <c r="W450" s="177"/>
      <c r="X450" s="324">
        <f t="shared" si="28"/>
        <v>0</v>
      </c>
      <c r="Y450" s="336" t="s">
        <v>618</v>
      </c>
      <c r="Z450" s="178" t="s">
        <v>619</v>
      </c>
      <c r="AA450" s="158" t="s">
        <v>45</v>
      </c>
      <c r="AB450" s="177"/>
      <c r="AC450" s="177"/>
      <c r="AD450" s="177"/>
      <c r="AE450" s="15"/>
      <c r="AF450" s="15"/>
      <c r="AG450" s="158" t="s">
        <v>54</v>
      </c>
    </row>
    <row r="451" spans="1:33" ht="48" x14ac:dyDescent="0.2">
      <c r="A451" s="158" t="s">
        <v>43</v>
      </c>
      <c r="B451" s="159">
        <v>261</v>
      </c>
      <c r="C451" s="160" t="s">
        <v>586</v>
      </c>
      <c r="D451" s="158" t="s">
        <v>45</v>
      </c>
      <c r="E451" s="68">
        <v>0</v>
      </c>
      <c r="F451" s="163" t="s">
        <v>618</v>
      </c>
      <c r="G451" s="158" t="s">
        <v>620</v>
      </c>
      <c r="H451" s="170">
        <v>44135.676388888889</v>
      </c>
      <c r="I451" s="158" t="s">
        <v>48</v>
      </c>
      <c r="J451" s="158">
        <v>10</v>
      </c>
      <c r="K451" s="158" t="s">
        <v>1132</v>
      </c>
      <c r="L451" s="178" t="s">
        <v>52</v>
      </c>
      <c r="M451" s="178" t="s">
        <v>52</v>
      </c>
      <c r="N451" s="178" t="s">
        <v>1143</v>
      </c>
      <c r="O451" s="178" t="s">
        <v>1143</v>
      </c>
      <c r="P451" s="68">
        <v>0</v>
      </c>
      <c r="Q451" s="177"/>
      <c r="R451" s="103">
        <f t="shared" si="31"/>
        <v>0</v>
      </c>
      <c r="S451" s="177"/>
      <c r="T451" s="103">
        <f t="shared" si="30"/>
        <v>0</v>
      </c>
      <c r="U451" s="177"/>
      <c r="V451" s="103">
        <f t="shared" si="29"/>
        <v>0</v>
      </c>
      <c r="W451" s="177"/>
      <c r="X451" s="324">
        <f t="shared" si="28"/>
        <v>0</v>
      </c>
      <c r="Y451" s="336" t="s">
        <v>618</v>
      </c>
      <c r="Z451" s="178" t="s">
        <v>620</v>
      </c>
      <c r="AA451" s="158" t="s">
        <v>45</v>
      </c>
      <c r="AB451" s="177"/>
      <c r="AC451" s="177"/>
      <c r="AD451" s="177"/>
      <c r="AE451" s="15"/>
      <c r="AF451" s="15"/>
      <c r="AG451" s="158" t="s">
        <v>54</v>
      </c>
    </row>
    <row r="452" spans="1:33" ht="96" x14ac:dyDescent="0.2">
      <c r="A452" s="158" t="s">
        <v>43</v>
      </c>
      <c r="B452" s="159">
        <v>261</v>
      </c>
      <c r="C452" s="160" t="s">
        <v>586</v>
      </c>
      <c r="D452" s="158" t="s">
        <v>45</v>
      </c>
      <c r="E452" s="68">
        <v>0</v>
      </c>
      <c r="F452" s="163" t="s">
        <v>618</v>
      </c>
      <c r="G452" s="158" t="s">
        <v>621</v>
      </c>
      <c r="H452" s="170">
        <v>44135.975694444445</v>
      </c>
      <c r="I452" s="158" t="s">
        <v>48</v>
      </c>
      <c r="J452" s="158">
        <v>10</v>
      </c>
      <c r="K452" s="158" t="s">
        <v>1132</v>
      </c>
      <c r="L452" s="178" t="s">
        <v>52</v>
      </c>
      <c r="M452" s="178" t="s">
        <v>52</v>
      </c>
      <c r="N452" s="178" t="s">
        <v>1143</v>
      </c>
      <c r="O452" s="178" t="s">
        <v>1143</v>
      </c>
      <c r="P452" s="68">
        <v>0</v>
      </c>
      <c r="Q452" s="177"/>
      <c r="R452" s="103">
        <f t="shared" si="31"/>
        <v>0</v>
      </c>
      <c r="S452" s="177"/>
      <c r="T452" s="103">
        <f t="shared" si="30"/>
        <v>0</v>
      </c>
      <c r="U452" s="177"/>
      <c r="V452" s="103">
        <f t="shared" si="29"/>
        <v>0</v>
      </c>
      <c r="W452" s="177"/>
      <c r="X452" s="324">
        <f t="shared" si="28"/>
        <v>0</v>
      </c>
      <c r="Y452" s="336" t="s">
        <v>618</v>
      </c>
      <c r="Z452" s="178" t="s">
        <v>621</v>
      </c>
      <c r="AA452" s="158" t="s">
        <v>45</v>
      </c>
      <c r="AB452" s="177"/>
      <c r="AC452" s="177"/>
      <c r="AD452" s="177"/>
      <c r="AE452" s="15"/>
      <c r="AF452" s="15"/>
      <c r="AG452" s="158" t="s">
        <v>54</v>
      </c>
    </row>
    <row r="453" spans="1:33" ht="48" x14ac:dyDescent="0.2">
      <c r="A453" s="158" t="s">
        <v>43</v>
      </c>
      <c r="B453" s="159">
        <v>261</v>
      </c>
      <c r="C453" s="160" t="s">
        <v>586</v>
      </c>
      <c r="D453" s="158" t="s">
        <v>45</v>
      </c>
      <c r="E453" s="68">
        <v>0</v>
      </c>
      <c r="F453" s="163" t="s">
        <v>622</v>
      </c>
      <c r="G453" s="158" t="s">
        <v>623</v>
      </c>
      <c r="H453" s="170">
        <v>44137.138194444444</v>
      </c>
      <c r="I453" s="158" t="s">
        <v>48</v>
      </c>
      <c r="J453" s="158">
        <v>9</v>
      </c>
      <c r="K453" s="158" t="s">
        <v>1132</v>
      </c>
      <c r="L453" s="178" t="s">
        <v>52</v>
      </c>
      <c r="M453" s="178" t="s">
        <v>52</v>
      </c>
      <c r="N453" s="178" t="s">
        <v>1143</v>
      </c>
      <c r="O453" s="178" t="s">
        <v>1143</v>
      </c>
      <c r="P453" s="68">
        <v>0</v>
      </c>
      <c r="Q453" s="177"/>
      <c r="R453" s="103">
        <f t="shared" si="31"/>
        <v>0</v>
      </c>
      <c r="S453" s="177"/>
      <c r="T453" s="103">
        <f t="shared" si="30"/>
        <v>0</v>
      </c>
      <c r="U453" s="177"/>
      <c r="V453" s="103">
        <f t="shared" si="29"/>
        <v>0</v>
      </c>
      <c r="W453" s="177"/>
      <c r="X453" s="324">
        <f t="shared" si="28"/>
        <v>0</v>
      </c>
      <c r="Y453" s="336" t="s">
        <v>622</v>
      </c>
      <c r="Z453" s="178" t="s">
        <v>623</v>
      </c>
      <c r="AA453" s="158" t="s">
        <v>45</v>
      </c>
      <c r="AB453" s="177"/>
      <c r="AC453" s="177"/>
      <c r="AD453" s="177"/>
      <c r="AE453" s="15"/>
      <c r="AF453" s="15"/>
      <c r="AG453" s="158" t="s">
        <v>54</v>
      </c>
    </row>
    <row r="454" spans="1:33" ht="32" x14ac:dyDescent="0.2">
      <c r="A454" s="158" t="s">
        <v>43</v>
      </c>
      <c r="B454" s="159">
        <v>261</v>
      </c>
      <c r="C454" s="160" t="s">
        <v>586</v>
      </c>
      <c r="D454" s="158" t="s">
        <v>45</v>
      </c>
      <c r="E454" s="68">
        <v>0</v>
      </c>
      <c r="F454" s="163" t="s">
        <v>622</v>
      </c>
      <c r="G454" s="158" t="s">
        <v>624</v>
      </c>
      <c r="H454" s="170">
        <v>44137.140277777777</v>
      </c>
      <c r="I454" s="158" t="s">
        <v>48</v>
      </c>
      <c r="J454" s="158">
        <v>9</v>
      </c>
      <c r="K454" s="158" t="s">
        <v>1132</v>
      </c>
      <c r="L454" s="178" t="s">
        <v>52</v>
      </c>
      <c r="M454" s="178" t="s">
        <v>52</v>
      </c>
      <c r="N454" s="178" t="s">
        <v>1143</v>
      </c>
      <c r="O454" s="178" t="s">
        <v>1143</v>
      </c>
      <c r="P454" s="68">
        <v>0</v>
      </c>
      <c r="Q454" s="177"/>
      <c r="R454" s="103">
        <f t="shared" si="31"/>
        <v>0</v>
      </c>
      <c r="S454" s="177"/>
      <c r="T454" s="103">
        <f t="shared" si="30"/>
        <v>0</v>
      </c>
      <c r="U454" s="177"/>
      <c r="V454" s="103">
        <f t="shared" si="29"/>
        <v>0</v>
      </c>
      <c r="W454" s="177"/>
      <c r="X454" s="324">
        <f t="shared" si="28"/>
        <v>0</v>
      </c>
      <c r="Y454" s="336" t="s">
        <v>622</v>
      </c>
      <c r="Z454" s="178" t="s">
        <v>624</v>
      </c>
      <c r="AA454" s="158" t="s">
        <v>45</v>
      </c>
      <c r="AB454" s="177"/>
      <c r="AC454" s="177"/>
      <c r="AD454" s="177"/>
      <c r="AE454" s="15"/>
      <c r="AF454" s="15"/>
      <c r="AG454" s="158" t="s">
        <v>54</v>
      </c>
    </row>
    <row r="455" spans="1:33" ht="80" x14ac:dyDescent="0.2">
      <c r="A455" s="158" t="s">
        <v>43</v>
      </c>
      <c r="B455" s="159">
        <v>261</v>
      </c>
      <c r="C455" s="160" t="s">
        <v>586</v>
      </c>
      <c r="D455" s="158" t="s">
        <v>45</v>
      </c>
      <c r="E455" s="68">
        <v>0</v>
      </c>
      <c r="F455" s="163" t="s">
        <v>622</v>
      </c>
      <c r="G455" s="158" t="s">
        <v>625</v>
      </c>
      <c r="H455" s="170">
        <v>44137.95</v>
      </c>
      <c r="I455" s="158" t="s">
        <v>48</v>
      </c>
      <c r="J455" s="158">
        <v>10</v>
      </c>
      <c r="K455" s="158" t="s">
        <v>1132</v>
      </c>
      <c r="L455" s="178" t="s">
        <v>166</v>
      </c>
      <c r="M455" s="178" t="s">
        <v>166</v>
      </c>
      <c r="N455" s="178" t="s">
        <v>1162</v>
      </c>
      <c r="O455" s="178" t="s">
        <v>1162</v>
      </c>
      <c r="P455" s="68">
        <v>0</v>
      </c>
      <c r="Q455" s="177"/>
      <c r="R455" s="103">
        <f t="shared" si="31"/>
        <v>0</v>
      </c>
      <c r="S455" s="177"/>
      <c r="T455" s="103">
        <f t="shared" si="30"/>
        <v>0</v>
      </c>
      <c r="U455" s="177"/>
      <c r="V455" s="103">
        <f t="shared" si="29"/>
        <v>0</v>
      </c>
      <c r="W455" s="177"/>
      <c r="X455" s="324">
        <f t="shared" si="28"/>
        <v>0</v>
      </c>
      <c r="Y455" s="336" t="s">
        <v>622</v>
      </c>
      <c r="Z455" s="178" t="s">
        <v>625</v>
      </c>
      <c r="AA455" s="158" t="s">
        <v>45</v>
      </c>
      <c r="AB455" s="177"/>
      <c r="AC455" s="177"/>
      <c r="AD455" s="177"/>
      <c r="AE455" s="15"/>
      <c r="AF455" s="15"/>
      <c r="AG455" s="158" t="s">
        <v>54</v>
      </c>
    </row>
    <row r="456" spans="1:33" ht="80" x14ac:dyDescent="0.2">
      <c r="A456" s="158" t="s">
        <v>43</v>
      </c>
      <c r="B456" s="159">
        <v>261</v>
      </c>
      <c r="C456" s="160" t="s">
        <v>586</v>
      </c>
      <c r="D456" s="158" t="s">
        <v>45</v>
      </c>
      <c r="E456" s="68">
        <v>0</v>
      </c>
      <c r="F456" s="163" t="s">
        <v>622</v>
      </c>
      <c r="G456" s="158" t="s">
        <v>626</v>
      </c>
      <c r="H456" s="170">
        <v>44137.955555555556</v>
      </c>
      <c r="I456" s="158" t="s">
        <v>48</v>
      </c>
      <c r="J456" s="158">
        <v>10</v>
      </c>
      <c r="K456" s="158" t="s">
        <v>1132</v>
      </c>
      <c r="L456" s="178" t="s">
        <v>52</v>
      </c>
      <c r="M456" s="178" t="s">
        <v>52</v>
      </c>
      <c r="N456" s="178" t="s">
        <v>1143</v>
      </c>
      <c r="O456" s="178" t="s">
        <v>1143</v>
      </c>
      <c r="P456" s="68">
        <v>0</v>
      </c>
      <c r="Q456" s="177"/>
      <c r="R456" s="103">
        <f t="shared" si="31"/>
        <v>0</v>
      </c>
      <c r="S456" s="177"/>
      <c r="T456" s="103">
        <f t="shared" si="30"/>
        <v>0</v>
      </c>
      <c r="U456" s="177"/>
      <c r="V456" s="103">
        <f t="shared" si="29"/>
        <v>0</v>
      </c>
      <c r="W456" s="177"/>
      <c r="X456" s="324">
        <f t="shared" si="28"/>
        <v>0</v>
      </c>
      <c r="Y456" s="336" t="s">
        <v>622</v>
      </c>
      <c r="Z456" s="178" t="s">
        <v>626</v>
      </c>
      <c r="AA456" s="158" t="s">
        <v>45</v>
      </c>
      <c r="AB456" s="177"/>
      <c r="AC456" s="177"/>
      <c r="AD456" s="177"/>
      <c r="AE456" s="15"/>
      <c r="AF456" s="15"/>
      <c r="AG456" s="158" t="s">
        <v>54</v>
      </c>
    </row>
    <row r="457" spans="1:33" ht="32" x14ac:dyDescent="0.2">
      <c r="A457" s="158" t="s">
        <v>43</v>
      </c>
      <c r="B457" s="159">
        <v>261</v>
      </c>
      <c r="C457" s="160" t="s">
        <v>586</v>
      </c>
      <c r="D457" s="158" t="s">
        <v>45</v>
      </c>
      <c r="E457" s="68">
        <v>0</v>
      </c>
      <c r="F457" s="163" t="s">
        <v>627</v>
      </c>
      <c r="G457" s="158" t="s">
        <v>628</v>
      </c>
      <c r="H457" s="170">
        <v>44145.853472222225</v>
      </c>
      <c r="I457" s="158" t="s">
        <v>48</v>
      </c>
      <c r="J457" s="158">
        <v>10</v>
      </c>
      <c r="K457" s="158" t="s">
        <v>1132</v>
      </c>
      <c r="L457" s="178" t="s">
        <v>52</v>
      </c>
      <c r="M457" s="178" t="s">
        <v>52</v>
      </c>
      <c r="N457" s="178" t="s">
        <v>1143</v>
      </c>
      <c r="O457" s="178" t="s">
        <v>1143</v>
      </c>
      <c r="P457" s="68">
        <v>0</v>
      </c>
      <c r="Q457" s="177"/>
      <c r="R457" s="103">
        <f t="shared" si="31"/>
        <v>0</v>
      </c>
      <c r="S457" s="177"/>
      <c r="T457" s="103">
        <f t="shared" si="30"/>
        <v>0</v>
      </c>
      <c r="U457" s="177"/>
      <c r="V457" s="103">
        <f t="shared" si="29"/>
        <v>0</v>
      </c>
      <c r="W457" s="177"/>
      <c r="X457" s="324">
        <f t="shared" si="28"/>
        <v>0</v>
      </c>
      <c r="Y457" s="336" t="s">
        <v>627</v>
      </c>
      <c r="Z457" s="178" t="s">
        <v>628</v>
      </c>
      <c r="AA457" s="158" t="s">
        <v>45</v>
      </c>
      <c r="AB457" s="177"/>
      <c r="AC457" s="177"/>
      <c r="AD457" s="177"/>
      <c r="AE457" s="15"/>
      <c r="AF457" s="15"/>
      <c r="AG457" s="158" t="s">
        <v>54</v>
      </c>
    </row>
    <row r="458" spans="1:33" ht="64" x14ac:dyDescent="0.2">
      <c r="A458" s="158" t="s">
        <v>43</v>
      </c>
      <c r="B458" s="159">
        <v>261</v>
      </c>
      <c r="C458" s="160" t="s">
        <v>586</v>
      </c>
      <c r="D458" s="158" t="s">
        <v>45</v>
      </c>
      <c r="E458" s="68">
        <v>0</v>
      </c>
      <c r="F458" s="163" t="s">
        <v>627</v>
      </c>
      <c r="G458" s="158" t="s">
        <v>629</v>
      </c>
      <c r="H458" s="170">
        <v>44145.856249999997</v>
      </c>
      <c r="I458" s="158" t="s">
        <v>48</v>
      </c>
      <c r="J458" s="158">
        <v>10</v>
      </c>
      <c r="K458" s="158" t="s">
        <v>1132</v>
      </c>
      <c r="L458" s="178" t="s">
        <v>52</v>
      </c>
      <c r="M458" s="178" t="s">
        <v>52</v>
      </c>
      <c r="N458" s="178" t="s">
        <v>1143</v>
      </c>
      <c r="O458" s="178" t="s">
        <v>1143</v>
      </c>
      <c r="P458" s="68">
        <v>0</v>
      </c>
      <c r="Q458" s="177"/>
      <c r="R458" s="103">
        <f t="shared" si="31"/>
        <v>0</v>
      </c>
      <c r="S458" s="177"/>
      <c r="T458" s="103">
        <f t="shared" si="30"/>
        <v>0</v>
      </c>
      <c r="U458" s="177"/>
      <c r="V458" s="103">
        <f t="shared" si="29"/>
        <v>0</v>
      </c>
      <c r="W458" s="177"/>
      <c r="X458" s="324">
        <f t="shared" si="28"/>
        <v>0</v>
      </c>
      <c r="Y458" s="336" t="s">
        <v>627</v>
      </c>
      <c r="Z458" s="178" t="s">
        <v>629</v>
      </c>
      <c r="AA458" s="158" t="s">
        <v>45</v>
      </c>
      <c r="AB458" s="177"/>
      <c r="AC458" s="177"/>
      <c r="AD458" s="177"/>
      <c r="AE458" s="15"/>
      <c r="AF458" s="15"/>
      <c r="AG458" s="158" t="s">
        <v>54</v>
      </c>
    </row>
    <row r="459" spans="1:33" ht="16" x14ac:dyDescent="0.2">
      <c r="A459" s="158" t="s">
        <v>43</v>
      </c>
      <c r="B459" s="159">
        <v>261</v>
      </c>
      <c r="C459" s="160" t="s">
        <v>586</v>
      </c>
      <c r="D459" s="158" t="s">
        <v>45</v>
      </c>
      <c r="E459" s="68">
        <v>0</v>
      </c>
      <c r="F459" s="163" t="s">
        <v>627</v>
      </c>
      <c r="G459" s="158" t="s">
        <v>630</v>
      </c>
      <c r="H459" s="170">
        <v>44145.859027777777</v>
      </c>
      <c r="I459" s="158" t="s">
        <v>48</v>
      </c>
      <c r="J459" s="158">
        <v>10</v>
      </c>
      <c r="K459" s="158" t="s">
        <v>1132</v>
      </c>
      <c r="L459" s="178" t="s">
        <v>52</v>
      </c>
      <c r="M459" s="178" t="s">
        <v>52</v>
      </c>
      <c r="N459" s="178" t="s">
        <v>1143</v>
      </c>
      <c r="O459" s="178" t="s">
        <v>1143</v>
      </c>
      <c r="P459" s="68">
        <v>0</v>
      </c>
      <c r="Q459" s="177"/>
      <c r="R459" s="103">
        <f t="shared" si="31"/>
        <v>0</v>
      </c>
      <c r="S459" s="177" t="s">
        <v>58</v>
      </c>
      <c r="T459" s="103">
        <f t="shared" si="30"/>
        <v>0</v>
      </c>
      <c r="U459" s="177"/>
      <c r="V459" s="103">
        <f t="shared" si="29"/>
        <v>0</v>
      </c>
      <c r="W459" s="177" t="s">
        <v>58</v>
      </c>
      <c r="X459" s="324">
        <f t="shared" si="28"/>
        <v>1</v>
      </c>
      <c r="Y459" s="336" t="s">
        <v>627</v>
      </c>
      <c r="Z459" s="178" t="s">
        <v>630</v>
      </c>
      <c r="AA459" s="158" t="s">
        <v>45</v>
      </c>
      <c r="AB459" s="177"/>
      <c r="AC459" s="177"/>
      <c r="AD459" s="177"/>
      <c r="AE459" s="15"/>
      <c r="AF459" s="15"/>
      <c r="AG459" s="158" t="s">
        <v>59</v>
      </c>
    </row>
    <row r="460" spans="1:33" ht="49" thickBot="1" x14ac:dyDescent="0.25">
      <c r="A460" s="171" t="s">
        <v>43</v>
      </c>
      <c r="B460" s="172">
        <v>261</v>
      </c>
      <c r="C460" s="174" t="s">
        <v>586</v>
      </c>
      <c r="D460" s="171" t="s">
        <v>45</v>
      </c>
      <c r="E460" s="68">
        <v>0</v>
      </c>
      <c r="F460" s="175" t="s">
        <v>627</v>
      </c>
      <c r="G460" s="171" t="s">
        <v>631</v>
      </c>
      <c r="H460" s="173">
        <v>44145.859027777777</v>
      </c>
      <c r="I460" s="171" t="s">
        <v>48</v>
      </c>
      <c r="J460" s="171">
        <v>10</v>
      </c>
      <c r="K460" s="158" t="s">
        <v>1132</v>
      </c>
      <c r="L460" s="178" t="s">
        <v>52</v>
      </c>
      <c r="M460" s="178" t="s">
        <v>52</v>
      </c>
      <c r="N460" s="178" t="s">
        <v>1143</v>
      </c>
      <c r="O460" s="178" t="s">
        <v>1143</v>
      </c>
      <c r="P460" s="68">
        <v>0</v>
      </c>
      <c r="Q460" s="177"/>
      <c r="R460" s="103">
        <f t="shared" si="31"/>
        <v>0</v>
      </c>
      <c r="S460" s="177" t="s">
        <v>305</v>
      </c>
      <c r="T460" s="103">
        <f t="shared" si="30"/>
        <v>1</v>
      </c>
      <c r="U460" s="177"/>
      <c r="V460" s="103">
        <f t="shared" si="29"/>
        <v>0</v>
      </c>
      <c r="W460" s="177" t="s">
        <v>305</v>
      </c>
      <c r="X460" s="324">
        <f t="shared" si="28"/>
        <v>1</v>
      </c>
      <c r="Y460" s="336" t="s">
        <v>627</v>
      </c>
      <c r="Z460" s="178" t="s">
        <v>631</v>
      </c>
      <c r="AA460" s="171" t="s">
        <v>45</v>
      </c>
      <c r="AB460" s="177"/>
      <c r="AC460" s="177"/>
      <c r="AD460" s="177"/>
      <c r="AE460" s="15"/>
      <c r="AF460" s="15"/>
      <c r="AG460" s="171" t="s">
        <v>54</v>
      </c>
    </row>
    <row r="461" spans="1:33" ht="62" thickTop="1" x14ac:dyDescent="0.2">
      <c r="A461" s="130" t="s">
        <v>292</v>
      </c>
      <c r="B461" s="130">
        <v>261</v>
      </c>
      <c r="C461" s="130" t="s">
        <v>664</v>
      </c>
      <c r="D461" s="130" t="s">
        <v>45</v>
      </c>
      <c r="E461" s="130">
        <v>0</v>
      </c>
      <c r="F461" s="130" t="s">
        <v>665</v>
      </c>
      <c r="G461" s="131" t="s">
        <v>666</v>
      </c>
      <c r="H461" s="132">
        <v>44242.936678240738</v>
      </c>
      <c r="I461" s="130" t="s">
        <v>48</v>
      </c>
      <c r="J461" s="130">
        <v>13</v>
      </c>
      <c r="K461" s="317" t="s">
        <v>1132</v>
      </c>
      <c r="L461" s="133" t="s">
        <v>52</v>
      </c>
      <c r="M461" s="134" t="s">
        <v>52</v>
      </c>
      <c r="N461" s="134" t="s">
        <v>1143</v>
      </c>
      <c r="O461" s="134" t="s">
        <v>1143</v>
      </c>
      <c r="P461" s="130">
        <v>0</v>
      </c>
      <c r="Q461" s="135">
        <v>1</v>
      </c>
      <c r="R461" s="103">
        <f t="shared" si="31"/>
        <v>1</v>
      </c>
      <c r="S461" s="133"/>
      <c r="T461" s="103">
        <f t="shared" si="30"/>
        <v>1</v>
      </c>
      <c r="U461" s="136">
        <v>1</v>
      </c>
      <c r="V461" s="103">
        <f t="shared" si="29"/>
        <v>1</v>
      </c>
      <c r="W461" s="326"/>
      <c r="X461" s="324">
        <f t="shared" si="28"/>
        <v>0</v>
      </c>
      <c r="Y461" s="337" t="s">
        <v>665</v>
      </c>
      <c r="Z461" s="342" t="s">
        <v>666</v>
      </c>
      <c r="AA461" s="130" t="s">
        <v>45</v>
      </c>
      <c r="AB461" s="137"/>
      <c r="AC461" s="136"/>
      <c r="AD461" s="133"/>
      <c r="AE461" s="134"/>
    </row>
    <row r="462" spans="1:33" ht="241" x14ac:dyDescent="0.2">
      <c r="A462" s="130" t="s">
        <v>292</v>
      </c>
      <c r="B462" s="130">
        <v>261</v>
      </c>
      <c r="C462" s="130" t="s">
        <v>664</v>
      </c>
      <c r="D462" s="130" t="s">
        <v>45</v>
      </c>
      <c r="E462" s="130">
        <v>0</v>
      </c>
      <c r="F462" s="130" t="s">
        <v>668</v>
      </c>
      <c r="G462" s="131" t="s">
        <v>669</v>
      </c>
      <c r="H462" s="132">
        <v>44243.390046296299</v>
      </c>
      <c r="I462" s="130" t="s">
        <v>48</v>
      </c>
      <c r="J462" s="130">
        <v>13</v>
      </c>
      <c r="K462" s="317" t="s">
        <v>1132</v>
      </c>
      <c r="L462" s="139" t="s">
        <v>52</v>
      </c>
      <c r="M462" s="140" t="s">
        <v>52</v>
      </c>
      <c r="N462" s="140" t="s">
        <v>1143</v>
      </c>
      <c r="O462" s="140" t="s">
        <v>1143</v>
      </c>
      <c r="P462" s="130">
        <v>0</v>
      </c>
      <c r="Q462" s="141">
        <v>1</v>
      </c>
      <c r="R462" s="103">
        <f t="shared" si="31"/>
        <v>1</v>
      </c>
      <c r="S462" s="139" t="s">
        <v>670</v>
      </c>
      <c r="T462" s="103">
        <f t="shared" si="30"/>
        <v>0</v>
      </c>
      <c r="U462" s="136">
        <v>1</v>
      </c>
      <c r="V462" s="103">
        <f t="shared" si="29"/>
        <v>1</v>
      </c>
      <c r="W462" s="326" t="s">
        <v>305</v>
      </c>
      <c r="X462" s="324">
        <f t="shared" si="28"/>
        <v>1</v>
      </c>
      <c r="Y462" s="337" t="s">
        <v>668</v>
      </c>
      <c r="Z462" s="342" t="s">
        <v>669</v>
      </c>
      <c r="AA462" s="130" t="s">
        <v>45</v>
      </c>
      <c r="AB462" s="143" t="s">
        <v>74</v>
      </c>
      <c r="AC462" s="142" t="s">
        <v>74</v>
      </c>
      <c r="AD462" s="139"/>
      <c r="AE462" s="140"/>
    </row>
    <row r="463" spans="1:33" ht="16" x14ac:dyDescent="0.2">
      <c r="A463" s="130" t="s">
        <v>292</v>
      </c>
      <c r="B463" s="130">
        <v>261</v>
      </c>
      <c r="C463" s="130" t="s">
        <v>664</v>
      </c>
      <c r="D463" s="130" t="s">
        <v>45</v>
      </c>
      <c r="E463" s="130">
        <v>0</v>
      </c>
      <c r="F463" s="130" t="s">
        <v>668</v>
      </c>
      <c r="G463" s="131" t="s">
        <v>672</v>
      </c>
      <c r="H463" s="132">
        <v>44243.390648148146</v>
      </c>
      <c r="I463" s="130" t="s">
        <v>48</v>
      </c>
      <c r="J463" s="130">
        <v>13</v>
      </c>
      <c r="K463" s="317" t="s">
        <v>1132</v>
      </c>
      <c r="L463" s="133" t="s">
        <v>52</v>
      </c>
      <c r="M463" s="134" t="s">
        <v>52</v>
      </c>
      <c r="N463" s="134" t="s">
        <v>1143</v>
      </c>
      <c r="O463" s="134" t="s">
        <v>1143</v>
      </c>
      <c r="P463" s="130">
        <v>0</v>
      </c>
      <c r="Q463" s="135">
        <v>1</v>
      </c>
      <c r="R463" s="103">
        <f t="shared" si="31"/>
        <v>1</v>
      </c>
      <c r="S463" s="133"/>
      <c r="T463" s="103">
        <f t="shared" si="30"/>
        <v>1</v>
      </c>
      <c r="U463" s="136">
        <v>1</v>
      </c>
      <c r="V463" s="103">
        <f t="shared" si="29"/>
        <v>1</v>
      </c>
      <c r="W463" s="347" t="s">
        <v>305</v>
      </c>
      <c r="X463" s="324">
        <f t="shared" si="28"/>
        <v>1</v>
      </c>
      <c r="Y463" s="337" t="s">
        <v>668</v>
      </c>
      <c r="Z463" s="342" t="s">
        <v>672</v>
      </c>
      <c r="AA463" s="130" t="s">
        <v>45</v>
      </c>
      <c r="AB463" s="137"/>
      <c r="AC463" s="136"/>
      <c r="AD463" s="133"/>
      <c r="AE463" s="134"/>
    </row>
    <row r="464" spans="1:33" ht="64" x14ac:dyDescent="0.2">
      <c r="A464" s="130" t="s">
        <v>292</v>
      </c>
      <c r="B464" s="130">
        <v>261</v>
      </c>
      <c r="C464" s="130" t="s">
        <v>664</v>
      </c>
      <c r="D464" s="130" t="s">
        <v>45</v>
      </c>
      <c r="E464" s="130">
        <v>0</v>
      </c>
      <c r="F464" s="130" t="s">
        <v>665</v>
      </c>
      <c r="G464" s="131" t="s">
        <v>673</v>
      </c>
      <c r="H464" s="132">
        <v>44245.516145833331</v>
      </c>
      <c r="I464" s="130" t="s">
        <v>48</v>
      </c>
      <c r="J464" s="130">
        <v>13</v>
      </c>
      <c r="K464" s="317" t="s">
        <v>1132</v>
      </c>
      <c r="L464" s="133" t="s">
        <v>1151</v>
      </c>
      <c r="M464" s="134" t="s">
        <v>52</v>
      </c>
      <c r="N464" s="134" t="s">
        <v>1143</v>
      </c>
      <c r="O464" s="134" t="s">
        <v>1143</v>
      </c>
      <c r="P464" s="130">
        <v>0</v>
      </c>
      <c r="Q464" s="135">
        <v>1</v>
      </c>
      <c r="R464" s="103">
        <f t="shared" si="31"/>
        <v>1</v>
      </c>
      <c r="S464" s="133" t="s">
        <v>58</v>
      </c>
      <c r="T464" s="103">
        <f t="shared" si="30"/>
        <v>0</v>
      </c>
      <c r="U464" s="136">
        <v>1</v>
      </c>
      <c r="V464" s="103">
        <f t="shared" si="29"/>
        <v>1</v>
      </c>
      <c r="W464" s="326" t="s">
        <v>58</v>
      </c>
      <c r="X464" s="324">
        <f t="shared" si="28"/>
        <v>1</v>
      </c>
      <c r="Y464" s="337" t="s">
        <v>665</v>
      </c>
      <c r="Z464" s="342" t="s">
        <v>673</v>
      </c>
      <c r="AA464" s="130" t="s">
        <v>45</v>
      </c>
      <c r="AB464" s="137"/>
      <c r="AC464" s="136"/>
      <c r="AD464" s="133" t="s">
        <v>1159</v>
      </c>
      <c r="AE464" s="134"/>
    </row>
    <row r="465" spans="1:31" ht="136" x14ac:dyDescent="0.2">
      <c r="A465" s="130" t="s">
        <v>292</v>
      </c>
      <c r="B465" s="130">
        <v>261</v>
      </c>
      <c r="C465" s="130" t="s">
        <v>664</v>
      </c>
      <c r="D465" s="130" t="s">
        <v>45</v>
      </c>
      <c r="E465" s="130">
        <v>0</v>
      </c>
      <c r="F465" s="130" t="s">
        <v>675</v>
      </c>
      <c r="G465" s="131" t="s">
        <v>676</v>
      </c>
      <c r="H465" s="132">
        <v>44245.909097222226</v>
      </c>
      <c r="I465" s="130" t="s">
        <v>48</v>
      </c>
      <c r="J465" s="130">
        <v>13</v>
      </c>
      <c r="K465" s="317" t="s">
        <v>1132</v>
      </c>
      <c r="L465" s="133" t="s">
        <v>52</v>
      </c>
      <c r="M465" s="134" t="s">
        <v>52</v>
      </c>
      <c r="N465" s="134" t="s">
        <v>1143</v>
      </c>
      <c r="O465" s="134" t="s">
        <v>1143</v>
      </c>
      <c r="P465" s="130">
        <v>0</v>
      </c>
      <c r="Q465" s="135">
        <v>1</v>
      </c>
      <c r="R465" s="103">
        <f t="shared" si="31"/>
        <v>1</v>
      </c>
      <c r="S465" s="133" t="s">
        <v>427</v>
      </c>
      <c r="T465" s="103">
        <f t="shared" si="30"/>
        <v>1</v>
      </c>
      <c r="U465" s="136">
        <v>1</v>
      </c>
      <c r="V465" s="103">
        <f t="shared" si="29"/>
        <v>1</v>
      </c>
      <c r="W465" s="347" t="s">
        <v>58</v>
      </c>
      <c r="X465" s="324">
        <f t="shared" si="28"/>
        <v>1</v>
      </c>
      <c r="Y465" s="337" t="s">
        <v>675</v>
      </c>
      <c r="Z465" s="342" t="s">
        <v>676</v>
      </c>
      <c r="AA465" s="130" t="s">
        <v>45</v>
      </c>
      <c r="AB465" s="137"/>
      <c r="AC465" s="136"/>
      <c r="AD465" s="133"/>
      <c r="AE465" s="134"/>
    </row>
    <row r="466" spans="1:31" ht="106" x14ac:dyDescent="0.2">
      <c r="A466" s="130" t="s">
        <v>292</v>
      </c>
      <c r="B466" s="130">
        <v>261</v>
      </c>
      <c r="C466" s="130" t="s">
        <v>664</v>
      </c>
      <c r="D466" s="130" t="s">
        <v>45</v>
      </c>
      <c r="E466" s="130">
        <v>0</v>
      </c>
      <c r="F466" s="130" t="s">
        <v>675</v>
      </c>
      <c r="G466" s="131" t="s">
        <v>677</v>
      </c>
      <c r="H466" s="132">
        <v>44245.910694444443</v>
      </c>
      <c r="I466" s="130" t="s">
        <v>48</v>
      </c>
      <c r="J466" s="130">
        <v>13</v>
      </c>
      <c r="K466" s="317" t="s">
        <v>1132</v>
      </c>
      <c r="L466" s="133" t="s">
        <v>52</v>
      </c>
      <c r="M466" s="134" t="s">
        <v>52</v>
      </c>
      <c r="N466" s="134" t="s">
        <v>1143</v>
      </c>
      <c r="O466" s="134" t="s">
        <v>1143</v>
      </c>
      <c r="P466" s="130">
        <v>0</v>
      </c>
      <c r="Q466" s="135">
        <v>1</v>
      </c>
      <c r="R466" s="103">
        <f t="shared" si="31"/>
        <v>1</v>
      </c>
      <c r="S466" s="133" t="s">
        <v>305</v>
      </c>
      <c r="T466" s="103">
        <f t="shared" si="30"/>
        <v>1</v>
      </c>
      <c r="U466" s="136">
        <v>1</v>
      </c>
      <c r="V466" s="103">
        <f t="shared" si="29"/>
        <v>1</v>
      </c>
      <c r="W466" s="326" t="s">
        <v>305</v>
      </c>
      <c r="X466" s="324">
        <f t="shared" si="28"/>
        <v>1</v>
      </c>
      <c r="Y466" s="337" t="s">
        <v>675</v>
      </c>
      <c r="Z466" s="342" t="s">
        <v>677</v>
      </c>
      <c r="AA466" s="130" t="s">
        <v>45</v>
      </c>
      <c r="AB466" s="137"/>
      <c r="AC466" s="136"/>
      <c r="AD466" s="133"/>
      <c r="AE466" s="134"/>
    </row>
    <row r="467" spans="1:31" ht="256" x14ac:dyDescent="0.2">
      <c r="A467" s="130" t="s">
        <v>292</v>
      </c>
      <c r="B467" s="130">
        <v>261</v>
      </c>
      <c r="C467" s="130" t="s">
        <v>664</v>
      </c>
      <c r="D467" s="130" t="s">
        <v>45</v>
      </c>
      <c r="E467" s="130">
        <v>0</v>
      </c>
      <c r="F467" s="130" t="s">
        <v>678</v>
      </c>
      <c r="G467" s="131" t="s">
        <v>679</v>
      </c>
      <c r="H467" s="132">
        <v>44248.679884259262</v>
      </c>
      <c r="I467" s="130" t="s">
        <v>48</v>
      </c>
      <c r="J467" s="130">
        <v>13</v>
      </c>
      <c r="K467" s="317" t="s">
        <v>1132</v>
      </c>
      <c r="L467" s="133" t="s">
        <v>1151</v>
      </c>
      <c r="M467" s="134" t="s">
        <v>52</v>
      </c>
      <c r="N467" s="134" t="s">
        <v>1143</v>
      </c>
      <c r="O467" s="134" t="s">
        <v>1143</v>
      </c>
      <c r="P467" s="130">
        <v>0</v>
      </c>
      <c r="Q467" s="135">
        <v>2</v>
      </c>
      <c r="R467" s="103">
        <f t="shared" si="31"/>
        <v>1</v>
      </c>
      <c r="S467" s="133" t="s">
        <v>680</v>
      </c>
      <c r="T467" s="103">
        <f t="shared" si="30"/>
        <v>1</v>
      </c>
      <c r="U467" s="136">
        <v>1</v>
      </c>
      <c r="V467" s="103">
        <f t="shared" si="29"/>
        <v>1</v>
      </c>
      <c r="W467" s="326" t="s">
        <v>305</v>
      </c>
      <c r="X467" s="324">
        <f t="shared" si="28"/>
        <v>1</v>
      </c>
      <c r="Y467" s="337" t="s">
        <v>678</v>
      </c>
      <c r="Z467" s="342" t="s">
        <v>679</v>
      </c>
      <c r="AA467" s="130" t="s">
        <v>45</v>
      </c>
      <c r="AB467" s="137"/>
      <c r="AC467" s="136"/>
      <c r="AD467" s="133" t="s">
        <v>1159</v>
      </c>
      <c r="AE467" s="134"/>
    </row>
    <row r="468" spans="1:31" ht="166" x14ac:dyDescent="0.2">
      <c r="A468" s="130" t="s">
        <v>292</v>
      </c>
      <c r="B468" s="130">
        <v>261</v>
      </c>
      <c r="C468" s="130" t="s">
        <v>664</v>
      </c>
      <c r="D468" s="130" t="s">
        <v>45</v>
      </c>
      <c r="E468" s="130">
        <v>0</v>
      </c>
      <c r="F468" s="130" t="s">
        <v>678</v>
      </c>
      <c r="G468" s="131" t="s">
        <v>681</v>
      </c>
      <c r="H468" s="132">
        <v>44248.689652777779</v>
      </c>
      <c r="I468" s="130" t="s">
        <v>48</v>
      </c>
      <c r="J468" s="130">
        <v>13</v>
      </c>
      <c r="K468" s="317" t="s">
        <v>1132</v>
      </c>
      <c r="L468" s="133" t="s">
        <v>52</v>
      </c>
      <c r="M468" s="134" t="s">
        <v>52</v>
      </c>
      <c r="N468" s="134" t="s">
        <v>1143</v>
      </c>
      <c r="O468" s="134" t="s">
        <v>1143</v>
      </c>
      <c r="P468" s="130">
        <v>0</v>
      </c>
      <c r="Q468" s="135">
        <v>2</v>
      </c>
      <c r="R468" s="103">
        <f t="shared" si="31"/>
        <v>1</v>
      </c>
      <c r="S468" s="133" t="s">
        <v>305</v>
      </c>
      <c r="T468" s="103">
        <f t="shared" si="30"/>
        <v>1</v>
      </c>
      <c r="U468" s="136">
        <v>1</v>
      </c>
      <c r="V468" s="103">
        <f t="shared" si="29"/>
        <v>1</v>
      </c>
      <c r="W468" s="326" t="s">
        <v>305</v>
      </c>
      <c r="X468" s="324">
        <f t="shared" si="28"/>
        <v>1</v>
      </c>
      <c r="Y468" s="337" t="s">
        <v>678</v>
      </c>
      <c r="Z468" s="342" t="s">
        <v>681</v>
      </c>
      <c r="AA468" s="130" t="s">
        <v>45</v>
      </c>
      <c r="AB468" s="137" t="s">
        <v>120</v>
      </c>
      <c r="AC468" s="136" t="s">
        <v>74</v>
      </c>
      <c r="AD468" s="133"/>
      <c r="AE468" s="134"/>
    </row>
    <row r="469" spans="1:31" ht="196" x14ac:dyDescent="0.2">
      <c r="A469" s="130" t="s">
        <v>292</v>
      </c>
      <c r="B469" s="130">
        <v>261</v>
      </c>
      <c r="C469" s="130" t="s">
        <v>664</v>
      </c>
      <c r="D469" s="130" t="s">
        <v>45</v>
      </c>
      <c r="E469" s="130">
        <v>0</v>
      </c>
      <c r="F469" s="130" t="s">
        <v>678</v>
      </c>
      <c r="G469" s="131" t="s">
        <v>682</v>
      </c>
      <c r="H469" s="132">
        <v>44248.698344907411</v>
      </c>
      <c r="I469" s="130" t="s">
        <v>48</v>
      </c>
      <c r="J469" s="130">
        <v>13</v>
      </c>
      <c r="K469" s="317" t="s">
        <v>1132</v>
      </c>
      <c r="L469" s="133" t="s">
        <v>52</v>
      </c>
      <c r="M469" s="134" t="s">
        <v>52</v>
      </c>
      <c r="N469" s="134" t="s">
        <v>1143</v>
      </c>
      <c r="O469" s="134" t="s">
        <v>1143</v>
      </c>
      <c r="P469" s="130">
        <v>0</v>
      </c>
      <c r="Q469" s="135">
        <v>2</v>
      </c>
      <c r="R469" s="103">
        <f t="shared" si="31"/>
        <v>1</v>
      </c>
      <c r="S469" s="133" t="s">
        <v>680</v>
      </c>
      <c r="T469" s="103">
        <f t="shared" si="30"/>
        <v>1</v>
      </c>
      <c r="U469" s="136">
        <v>1</v>
      </c>
      <c r="V469" s="103">
        <f t="shared" si="29"/>
        <v>1</v>
      </c>
      <c r="W469" s="326" t="s">
        <v>305</v>
      </c>
      <c r="X469" s="324">
        <f t="shared" si="28"/>
        <v>1</v>
      </c>
      <c r="Y469" s="337" t="s">
        <v>678</v>
      </c>
      <c r="Z469" s="342" t="s">
        <v>682</v>
      </c>
      <c r="AA469" s="130" t="s">
        <v>45</v>
      </c>
      <c r="AB469" s="137"/>
      <c r="AC469" s="136"/>
      <c r="AD469" s="133"/>
      <c r="AE469" s="134"/>
    </row>
    <row r="470" spans="1:31" ht="16" x14ac:dyDescent="0.2">
      <c r="A470" s="130" t="s">
        <v>292</v>
      </c>
      <c r="B470" s="130">
        <v>261</v>
      </c>
      <c r="C470" s="130" t="s">
        <v>664</v>
      </c>
      <c r="D470" s="130" t="s">
        <v>45</v>
      </c>
      <c r="E470" s="130">
        <v>0</v>
      </c>
      <c r="F470" s="130" t="s">
        <v>678</v>
      </c>
      <c r="G470" s="131" t="s">
        <v>683</v>
      </c>
      <c r="H470" s="132">
        <v>44248.699502314812</v>
      </c>
      <c r="I470" s="130" t="s">
        <v>48</v>
      </c>
      <c r="J470" s="130">
        <v>13</v>
      </c>
      <c r="K470" s="317" t="s">
        <v>1132</v>
      </c>
      <c r="L470" s="133" t="s">
        <v>52</v>
      </c>
      <c r="M470" s="134" t="s">
        <v>52</v>
      </c>
      <c r="N470" s="134" t="s">
        <v>1143</v>
      </c>
      <c r="O470" s="134" t="s">
        <v>1143</v>
      </c>
      <c r="P470" s="130">
        <v>0</v>
      </c>
      <c r="Q470" s="135">
        <v>2</v>
      </c>
      <c r="R470" s="103">
        <f t="shared" si="31"/>
        <v>1</v>
      </c>
      <c r="S470" s="133"/>
      <c r="T470" s="103">
        <f t="shared" si="30"/>
        <v>1</v>
      </c>
      <c r="U470" s="136">
        <v>1</v>
      </c>
      <c r="V470" s="103">
        <f t="shared" si="29"/>
        <v>1</v>
      </c>
      <c r="W470" s="326"/>
      <c r="X470" s="324">
        <f t="shared" si="28"/>
        <v>0</v>
      </c>
      <c r="Y470" s="337" t="s">
        <v>678</v>
      </c>
      <c r="Z470" s="342" t="s">
        <v>683</v>
      </c>
      <c r="AA470" s="130" t="s">
        <v>45</v>
      </c>
      <c r="AB470" s="137"/>
      <c r="AC470" s="136"/>
      <c r="AD470" s="133"/>
      <c r="AE470" s="134"/>
    </row>
    <row r="471" spans="1:31" ht="106" x14ac:dyDescent="0.2">
      <c r="A471" s="130" t="s">
        <v>292</v>
      </c>
      <c r="B471" s="130">
        <v>261</v>
      </c>
      <c r="C471" s="130" t="s">
        <v>664</v>
      </c>
      <c r="D471" s="130" t="s">
        <v>45</v>
      </c>
      <c r="E471" s="130">
        <v>0</v>
      </c>
      <c r="F471" s="130" t="s">
        <v>668</v>
      </c>
      <c r="G471" s="131" t="s">
        <v>684</v>
      </c>
      <c r="H471" s="132">
        <v>44249.922824074078</v>
      </c>
      <c r="I471" s="130" t="s">
        <v>48</v>
      </c>
      <c r="J471" s="130">
        <v>13</v>
      </c>
      <c r="K471" s="317" t="s">
        <v>1132</v>
      </c>
      <c r="L471" s="133" t="s">
        <v>1160</v>
      </c>
      <c r="M471" s="134" t="s">
        <v>52</v>
      </c>
      <c r="N471" s="134" t="s">
        <v>1143</v>
      </c>
      <c r="O471" s="134" t="s">
        <v>1143</v>
      </c>
      <c r="P471" s="130">
        <v>0</v>
      </c>
      <c r="Q471" s="135">
        <v>2</v>
      </c>
      <c r="R471" s="103">
        <f t="shared" si="31"/>
        <v>1</v>
      </c>
      <c r="S471" s="133" t="s">
        <v>305</v>
      </c>
      <c r="T471" s="103">
        <f t="shared" si="30"/>
        <v>0</v>
      </c>
      <c r="U471" s="136">
        <v>1</v>
      </c>
      <c r="V471" s="103">
        <f t="shared" si="29"/>
        <v>1</v>
      </c>
      <c r="W471" s="326" t="s">
        <v>305</v>
      </c>
      <c r="X471" s="324">
        <f t="shared" si="28"/>
        <v>1</v>
      </c>
      <c r="Y471" s="337" t="s">
        <v>668</v>
      </c>
      <c r="Z471" s="342" t="s">
        <v>684</v>
      </c>
      <c r="AA471" s="130" t="s">
        <v>45</v>
      </c>
      <c r="AB471" s="137"/>
      <c r="AC471" s="136"/>
      <c r="AD471" s="133" t="s">
        <v>1147</v>
      </c>
      <c r="AE471" s="134"/>
    </row>
    <row r="472" spans="1:31" ht="181" x14ac:dyDescent="0.2">
      <c r="A472" s="130" t="s">
        <v>292</v>
      </c>
      <c r="B472" s="130">
        <v>261</v>
      </c>
      <c r="C472" s="130" t="s">
        <v>664</v>
      </c>
      <c r="D472" s="130" t="s">
        <v>45</v>
      </c>
      <c r="E472" s="130">
        <v>0</v>
      </c>
      <c r="F472" s="130" t="s">
        <v>686</v>
      </c>
      <c r="G472" s="131" t="s">
        <v>687</v>
      </c>
      <c r="H472" s="132">
        <v>44250.590370370373</v>
      </c>
      <c r="I472" s="130" t="s">
        <v>48</v>
      </c>
      <c r="J472" s="130">
        <v>13</v>
      </c>
      <c r="K472" s="317" t="s">
        <v>1132</v>
      </c>
      <c r="L472" s="133" t="s">
        <v>1151</v>
      </c>
      <c r="M472" s="134" t="s">
        <v>52</v>
      </c>
      <c r="N472" s="134" t="s">
        <v>1143</v>
      </c>
      <c r="O472" s="134" t="s">
        <v>1143</v>
      </c>
      <c r="P472" s="130">
        <v>0</v>
      </c>
      <c r="Q472" s="135">
        <v>2</v>
      </c>
      <c r="R472" s="103">
        <f t="shared" si="31"/>
        <v>1</v>
      </c>
      <c r="S472" s="133" t="s">
        <v>427</v>
      </c>
      <c r="T472" s="103">
        <f t="shared" si="30"/>
        <v>1</v>
      </c>
      <c r="U472" s="136">
        <v>1</v>
      </c>
      <c r="V472" s="103">
        <f t="shared" si="29"/>
        <v>1</v>
      </c>
      <c r="W472" s="326" t="s">
        <v>305</v>
      </c>
      <c r="X472" s="324">
        <f t="shared" si="28"/>
        <v>1</v>
      </c>
      <c r="Y472" s="337" t="s">
        <v>686</v>
      </c>
      <c r="Z472" s="342" t="s">
        <v>687</v>
      </c>
      <c r="AA472" s="130" t="s">
        <v>45</v>
      </c>
      <c r="AB472" s="137"/>
      <c r="AC472" s="136"/>
      <c r="AD472" s="133" t="s">
        <v>1146</v>
      </c>
      <c r="AE472" s="134"/>
    </row>
    <row r="473" spans="1:31" ht="121" x14ac:dyDescent="0.2">
      <c r="A473" s="130" t="s">
        <v>292</v>
      </c>
      <c r="B473" s="130">
        <v>261</v>
      </c>
      <c r="C473" s="130" t="s">
        <v>664</v>
      </c>
      <c r="D473" s="130" t="s">
        <v>45</v>
      </c>
      <c r="E473" s="130">
        <v>0</v>
      </c>
      <c r="F473" s="130" t="s">
        <v>686</v>
      </c>
      <c r="G473" s="131" t="s">
        <v>688</v>
      </c>
      <c r="H473" s="132">
        <v>44250.598101851851</v>
      </c>
      <c r="I473" s="130" t="s">
        <v>48</v>
      </c>
      <c r="J473" s="130">
        <v>13</v>
      </c>
      <c r="K473" s="317" t="s">
        <v>1132</v>
      </c>
      <c r="L473" s="133" t="s">
        <v>52</v>
      </c>
      <c r="M473" s="134" t="s">
        <v>52</v>
      </c>
      <c r="N473" s="134" t="s">
        <v>1143</v>
      </c>
      <c r="O473" s="134" t="s">
        <v>1143</v>
      </c>
      <c r="P473" s="130">
        <v>0</v>
      </c>
      <c r="Q473" s="135">
        <v>2</v>
      </c>
      <c r="R473" s="103">
        <f t="shared" si="31"/>
        <v>1</v>
      </c>
      <c r="S473" s="133" t="s">
        <v>305</v>
      </c>
      <c r="T473" s="103">
        <f t="shared" si="30"/>
        <v>1</v>
      </c>
      <c r="U473" s="136">
        <v>1</v>
      </c>
      <c r="V473" s="103">
        <f t="shared" si="29"/>
        <v>1</v>
      </c>
      <c r="W473" s="326" t="s">
        <v>305</v>
      </c>
      <c r="X473" s="324">
        <f t="shared" si="28"/>
        <v>1</v>
      </c>
      <c r="Y473" s="337" t="s">
        <v>686</v>
      </c>
      <c r="Z473" s="342" t="s">
        <v>688</v>
      </c>
      <c r="AA473" s="130" t="s">
        <v>45</v>
      </c>
      <c r="AB473" s="137"/>
      <c r="AC473" s="136"/>
      <c r="AD473" s="133"/>
      <c r="AE473" s="134"/>
    </row>
    <row r="474" spans="1:31" ht="256" x14ac:dyDescent="0.2">
      <c r="A474" s="130" t="s">
        <v>292</v>
      </c>
      <c r="B474" s="130">
        <v>261</v>
      </c>
      <c r="C474" s="130" t="s">
        <v>664</v>
      </c>
      <c r="D474" s="130" t="s">
        <v>45</v>
      </c>
      <c r="E474" s="130">
        <v>0</v>
      </c>
      <c r="F474" s="130" t="s">
        <v>689</v>
      </c>
      <c r="G474" s="131" t="s">
        <v>690</v>
      </c>
      <c r="H474" s="132">
        <v>44251.574618055558</v>
      </c>
      <c r="I474" s="130" t="s">
        <v>48</v>
      </c>
      <c r="J474" s="130">
        <v>13</v>
      </c>
      <c r="K474" s="317" t="s">
        <v>1132</v>
      </c>
      <c r="L474" s="133" t="s">
        <v>52</v>
      </c>
      <c r="M474" s="134" t="s">
        <v>52</v>
      </c>
      <c r="N474" s="134" t="s">
        <v>1143</v>
      </c>
      <c r="O474" s="134" t="s">
        <v>1143</v>
      </c>
      <c r="P474" s="130">
        <v>0</v>
      </c>
      <c r="Q474" s="135">
        <v>2</v>
      </c>
      <c r="R474" s="103">
        <f t="shared" si="31"/>
        <v>1</v>
      </c>
      <c r="S474" s="133" t="s">
        <v>691</v>
      </c>
      <c r="T474" s="103">
        <f t="shared" si="30"/>
        <v>1</v>
      </c>
      <c r="U474" s="136">
        <v>1</v>
      </c>
      <c r="V474" s="103">
        <f t="shared" si="29"/>
        <v>1</v>
      </c>
      <c r="W474" s="326" t="s">
        <v>305</v>
      </c>
      <c r="X474" s="324">
        <f t="shared" si="28"/>
        <v>1</v>
      </c>
      <c r="Y474" s="337" t="s">
        <v>689</v>
      </c>
      <c r="Z474" s="342" t="s">
        <v>690</v>
      </c>
      <c r="AA474" s="130" t="s">
        <v>45</v>
      </c>
      <c r="AB474" s="137"/>
      <c r="AC474" s="136"/>
      <c r="AD474" s="133"/>
      <c r="AE474" s="134"/>
    </row>
    <row r="475" spans="1:31" ht="211" x14ac:dyDescent="0.2">
      <c r="A475" s="130" t="s">
        <v>292</v>
      </c>
      <c r="B475" s="130">
        <v>261</v>
      </c>
      <c r="C475" s="130" t="s">
        <v>664</v>
      </c>
      <c r="D475" s="130" t="s">
        <v>45</v>
      </c>
      <c r="E475" s="130">
        <v>0</v>
      </c>
      <c r="F475" s="130" t="s">
        <v>693</v>
      </c>
      <c r="G475" s="131" t="s">
        <v>694</v>
      </c>
      <c r="H475" s="132">
        <v>44252.412997685184</v>
      </c>
      <c r="I475" s="130" t="s">
        <v>48</v>
      </c>
      <c r="J475" s="130">
        <v>13</v>
      </c>
      <c r="K475" s="317" t="s">
        <v>1132</v>
      </c>
      <c r="L475" s="133" t="s">
        <v>52</v>
      </c>
      <c r="M475" s="134" t="s">
        <v>52</v>
      </c>
      <c r="N475" s="134" t="s">
        <v>1143</v>
      </c>
      <c r="O475" s="134" t="s">
        <v>1143</v>
      </c>
      <c r="P475" s="130">
        <v>0</v>
      </c>
      <c r="Q475" s="135">
        <v>2</v>
      </c>
      <c r="R475" s="103">
        <f t="shared" si="31"/>
        <v>1</v>
      </c>
      <c r="S475" s="133" t="s">
        <v>427</v>
      </c>
      <c r="T475" s="103">
        <f t="shared" si="30"/>
        <v>1</v>
      </c>
      <c r="U475" s="136">
        <v>1</v>
      </c>
      <c r="V475" s="103">
        <f t="shared" si="29"/>
        <v>1</v>
      </c>
      <c r="W475" s="326" t="s">
        <v>305</v>
      </c>
      <c r="X475" s="324">
        <f t="shared" si="28"/>
        <v>1</v>
      </c>
      <c r="Y475" s="337" t="s">
        <v>693</v>
      </c>
      <c r="Z475" s="342" t="s">
        <v>694</v>
      </c>
      <c r="AA475" s="130" t="s">
        <v>45</v>
      </c>
      <c r="AB475" s="137"/>
      <c r="AC475" s="136"/>
      <c r="AD475" s="133"/>
      <c r="AE475" s="134"/>
    </row>
    <row r="476" spans="1:31" ht="106" x14ac:dyDescent="0.2">
      <c r="A476" s="130" t="s">
        <v>292</v>
      </c>
      <c r="B476" s="130">
        <v>261</v>
      </c>
      <c r="C476" s="130" t="s">
        <v>664</v>
      </c>
      <c r="D476" s="130" t="s">
        <v>45</v>
      </c>
      <c r="E476" s="130">
        <v>0</v>
      </c>
      <c r="F476" s="130" t="s">
        <v>693</v>
      </c>
      <c r="G476" s="131" t="s">
        <v>695</v>
      </c>
      <c r="H476" s="132">
        <v>44252.41542824074</v>
      </c>
      <c r="I476" s="130" t="s">
        <v>48</v>
      </c>
      <c r="J476" s="130">
        <v>13</v>
      </c>
      <c r="K476" s="317" t="s">
        <v>1132</v>
      </c>
      <c r="L476" s="133" t="s">
        <v>52</v>
      </c>
      <c r="M476" s="134" t="s">
        <v>52</v>
      </c>
      <c r="N476" s="134" t="s">
        <v>1143</v>
      </c>
      <c r="O476" s="134" t="s">
        <v>1143</v>
      </c>
      <c r="P476" s="130">
        <v>0</v>
      </c>
      <c r="Q476" s="135">
        <v>2</v>
      </c>
      <c r="R476" s="103">
        <f t="shared" si="31"/>
        <v>1</v>
      </c>
      <c r="S476" s="133" t="s">
        <v>427</v>
      </c>
      <c r="T476" s="103">
        <f t="shared" si="30"/>
        <v>1</v>
      </c>
      <c r="U476" s="136">
        <v>1</v>
      </c>
      <c r="V476" s="103">
        <f t="shared" si="29"/>
        <v>1</v>
      </c>
      <c r="W476" s="326" t="s">
        <v>305</v>
      </c>
      <c r="X476" s="324">
        <f t="shared" si="28"/>
        <v>1</v>
      </c>
      <c r="Y476" s="337" t="s">
        <v>693</v>
      </c>
      <c r="Z476" s="342" t="s">
        <v>695</v>
      </c>
      <c r="AA476" s="130" t="s">
        <v>45</v>
      </c>
      <c r="AB476" s="137"/>
      <c r="AC476" s="136"/>
      <c r="AD476" s="133"/>
      <c r="AE476" s="134"/>
    </row>
    <row r="477" spans="1:31" ht="135" x14ac:dyDescent="0.15">
      <c r="A477" s="130" t="s">
        <v>43</v>
      </c>
      <c r="B477" s="130">
        <v>261</v>
      </c>
      <c r="C477" s="130" t="s">
        <v>664</v>
      </c>
      <c r="D477" s="130" t="s">
        <v>45</v>
      </c>
      <c r="E477" s="130">
        <v>0</v>
      </c>
      <c r="F477" s="130" t="s">
        <v>696</v>
      </c>
      <c r="G477" s="131" t="s">
        <v>697</v>
      </c>
      <c r="H477" s="132">
        <v>44242.418263888889</v>
      </c>
      <c r="I477" s="130" t="s">
        <v>48</v>
      </c>
      <c r="J477" s="130">
        <v>13</v>
      </c>
      <c r="K477" s="317" t="s">
        <v>1132</v>
      </c>
      <c r="L477" s="146" t="s">
        <v>52</v>
      </c>
      <c r="M477" s="147" t="s">
        <v>52</v>
      </c>
      <c r="N477" s="147" t="s">
        <v>1143</v>
      </c>
      <c r="O477" s="147" t="s">
        <v>1143</v>
      </c>
      <c r="P477" s="130">
        <v>0</v>
      </c>
      <c r="Q477" s="148"/>
      <c r="R477" s="103">
        <f t="shared" si="31"/>
        <v>0</v>
      </c>
      <c r="S477" s="146"/>
      <c r="T477" s="103">
        <f t="shared" si="30"/>
        <v>1</v>
      </c>
      <c r="U477" s="149"/>
      <c r="V477" s="103">
        <f t="shared" si="29"/>
        <v>0</v>
      </c>
      <c r="W477" s="152"/>
      <c r="X477" s="324">
        <f t="shared" si="28"/>
        <v>0</v>
      </c>
      <c r="Y477" s="337" t="s">
        <v>696</v>
      </c>
      <c r="Z477" s="342" t="s">
        <v>697</v>
      </c>
      <c r="AA477" s="130" t="s">
        <v>45</v>
      </c>
      <c r="AB477" s="148"/>
      <c r="AC477" s="149"/>
      <c r="AD477" s="147"/>
      <c r="AE477" s="147"/>
    </row>
    <row r="478" spans="1:31" ht="150" x14ac:dyDescent="0.15">
      <c r="A478" s="130" t="s">
        <v>43</v>
      </c>
      <c r="B478" s="130">
        <v>261</v>
      </c>
      <c r="C478" s="130" t="s">
        <v>664</v>
      </c>
      <c r="D478" s="130" t="s">
        <v>45</v>
      </c>
      <c r="E478" s="130">
        <v>0</v>
      </c>
      <c r="F478" s="130" t="s">
        <v>696</v>
      </c>
      <c r="G478" s="131" t="s">
        <v>698</v>
      </c>
      <c r="H478" s="132">
        <v>44242.420335648145</v>
      </c>
      <c r="I478" s="130" t="s">
        <v>48</v>
      </c>
      <c r="J478" s="130">
        <v>13</v>
      </c>
      <c r="K478" s="317" t="s">
        <v>1132</v>
      </c>
      <c r="L478" s="151" t="s">
        <v>52</v>
      </c>
      <c r="M478" s="152" t="s">
        <v>52</v>
      </c>
      <c r="N478" s="152" t="s">
        <v>1143</v>
      </c>
      <c r="O478" s="152" t="s">
        <v>1143</v>
      </c>
      <c r="P478" s="130">
        <v>0</v>
      </c>
      <c r="Q478" s="153"/>
      <c r="R478" s="103">
        <f t="shared" si="31"/>
        <v>0</v>
      </c>
      <c r="S478" s="151"/>
      <c r="T478" s="103">
        <f t="shared" si="30"/>
        <v>0</v>
      </c>
      <c r="U478" s="154"/>
      <c r="V478" s="103">
        <f t="shared" si="29"/>
        <v>0</v>
      </c>
      <c r="W478" s="152"/>
      <c r="X478" s="324">
        <f t="shared" si="28"/>
        <v>0</v>
      </c>
      <c r="Y478" s="337" t="s">
        <v>696</v>
      </c>
      <c r="Z478" s="342" t="s">
        <v>698</v>
      </c>
      <c r="AA478" s="130" t="s">
        <v>45</v>
      </c>
      <c r="AB478" s="153"/>
      <c r="AC478" s="154"/>
      <c r="AD478" s="152"/>
      <c r="AE478" s="152"/>
    </row>
    <row r="479" spans="1:31" ht="75" x14ac:dyDescent="0.15">
      <c r="A479" s="130" t="s">
        <v>43</v>
      </c>
      <c r="B479" s="130">
        <v>261</v>
      </c>
      <c r="C479" s="130" t="s">
        <v>664</v>
      </c>
      <c r="D479" s="130" t="s">
        <v>45</v>
      </c>
      <c r="E479" s="130">
        <v>0</v>
      </c>
      <c r="F479" s="130" t="s">
        <v>699</v>
      </c>
      <c r="G479" s="131" t="s">
        <v>700</v>
      </c>
      <c r="H479" s="132">
        <v>44242.888935185183</v>
      </c>
      <c r="I479" s="130" t="s">
        <v>48</v>
      </c>
      <c r="J479" s="130">
        <v>13</v>
      </c>
      <c r="K479" s="317" t="s">
        <v>1132</v>
      </c>
      <c r="L479" s="151" t="s">
        <v>52</v>
      </c>
      <c r="M479" s="152" t="s">
        <v>52</v>
      </c>
      <c r="N479" s="152" t="s">
        <v>1143</v>
      </c>
      <c r="O479" s="152" t="s">
        <v>1143</v>
      </c>
      <c r="P479" s="130">
        <v>0</v>
      </c>
      <c r="Q479" s="153"/>
      <c r="R479" s="103">
        <f t="shared" si="31"/>
        <v>0</v>
      </c>
      <c r="S479" s="151"/>
      <c r="T479" s="103">
        <f t="shared" si="30"/>
        <v>0</v>
      </c>
      <c r="U479" s="154"/>
      <c r="V479" s="103">
        <f t="shared" si="29"/>
        <v>0</v>
      </c>
      <c r="W479" s="152"/>
      <c r="X479" s="324">
        <f t="shared" si="28"/>
        <v>0</v>
      </c>
      <c r="Y479" s="337" t="s">
        <v>699</v>
      </c>
      <c r="Z479" s="342" t="s">
        <v>700</v>
      </c>
      <c r="AA479" s="130" t="s">
        <v>45</v>
      </c>
      <c r="AB479" s="153"/>
      <c r="AC479" s="154"/>
      <c r="AD479" s="152"/>
      <c r="AE479" s="152"/>
    </row>
    <row r="480" spans="1:31" ht="75" x14ac:dyDescent="0.15">
      <c r="A480" s="130" t="s">
        <v>43</v>
      </c>
      <c r="B480" s="130">
        <v>261</v>
      </c>
      <c r="C480" s="130" t="s">
        <v>664</v>
      </c>
      <c r="D480" s="130" t="s">
        <v>45</v>
      </c>
      <c r="E480" s="130">
        <v>0</v>
      </c>
      <c r="F480" s="130" t="s">
        <v>699</v>
      </c>
      <c r="G480" s="131" t="s">
        <v>701</v>
      </c>
      <c r="H480" s="132">
        <v>44242.891435185185</v>
      </c>
      <c r="I480" s="130" t="s">
        <v>48</v>
      </c>
      <c r="J480" s="130">
        <v>13</v>
      </c>
      <c r="K480" s="317" t="s">
        <v>1132</v>
      </c>
      <c r="L480" s="151" t="s">
        <v>52</v>
      </c>
      <c r="M480" s="152" t="s">
        <v>52</v>
      </c>
      <c r="N480" s="152" t="s">
        <v>1143</v>
      </c>
      <c r="O480" s="152" t="s">
        <v>1143</v>
      </c>
      <c r="P480" s="130">
        <v>0</v>
      </c>
      <c r="Q480" s="153"/>
      <c r="R480" s="103">
        <f t="shared" si="31"/>
        <v>0</v>
      </c>
      <c r="S480" s="151"/>
      <c r="T480" s="103">
        <f t="shared" si="30"/>
        <v>0</v>
      </c>
      <c r="U480" s="154"/>
      <c r="V480" s="103">
        <f t="shared" si="29"/>
        <v>0</v>
      </c>
      <c r="W480" s="152"/>
      <c r="X480" s="324">
        <f t="shared" si="28"/>
        <v>0</v>
      </c>
      <c r="Y480" s="337" t="s">
        <v>699</v>
      </c>
      <c r="Z480" s="342" t="s">
        <v>701</v>
      </c>
      <c r="AA480" s="130" t="s">
        <v>45</v>
      </c>
      <c r="AB480" s="153"/>
      <c r="AC480" s="154"/>
      <c r="AD480" s="152"/>
      <c r="AE480" s="152"/>
    </row>
    <row r="481" spans="1:31" ht="195" x14ac:dyDescent="0.15">
      <c r="A481" s="130" t="s">
        <v>43</v>
      </c>
      <c r="B481" s="130">
        <v>261</v>
      </c>
      <c r="C481" s="130" t="s">
        <v>664</v>
      </c>
      <c r="D481" s="130" t="s">
        <v>45</v>
      </c>
      <c r="E481" s="130">
        <v>0</v>
      </c>
      <c r="F481" s="130" t="s">
        <v>702</v>
      </c>
      <c r="G481" s="131" t="s">
        <v>703</v>
      </c>
      <c r="H481" s="132">
        <v>44243.488333333335</v>
      </c>
      <c r="I481" s="130" t="s">
        <v>48</v>
      </c>
      <c r="J481" s="130">
        <v>13</v>
      </c>
      <c r="K481" s="317" t="s">
        <v>1132</v>
      </c>
      <c r="L481" s="151" t="s">
        <v>52</v>
      </c>
      <c r="M481" s="152" t="s">
        <v>52</v>
      </c>
      <c r="N481" s="152" t="s">
        <v>1143</v>
      </c>
      <c r="O481" s="152" t="s">
        <v>1143</v>
      </c>
      <c r="P481" s="130">
        <v>0</v>
      </c>
      <c r="Q481" s="153"/>
      <c r="R481" s="103">
        <f t="shared" si="31"/>
        <v>0</v>
      </c>
      <c r="S481" s="151"/>
      <c r="T481" s="103">
        <f t="shared" si="30"/>
        <v>0</v>
      </c>
      <c r="U481" s="154"/>
      <c r="V481" s="103">
        <f t="shared" si="29"/>
        <v>0</v>
      </c>
      <c r="W481" s="152"/>
      <c r="X481" s="324">
        <f t="shared" si="28"/>
        <v>0</v>
      </c>
      <c r="Y481" s="337" t="s">
        <v>702</v>
      </c>
      <c r="Z481" s="342" t="s">
        <v>703</v>
      </c>
      <c r="AA481" s="130" t="s">
        <v>45</v>
      </c>
      <c r="AB481" s="153"/>
      <c r="AC481" s="154"/>
      <c r="AD481" s="152"/>
      <c r="AE481" s="152"/>
    </row>
    <row r="482" spans="1:31" ht="105" x14ac:dyDescent="0.15">
      <c r="A482" s="130" t="s">
        <v>43</v>
      </c>
      <c r="B482" s="130">
        <v>261</v>
      </c>
      <c r="C482" s="130" t="s">
        <v>664</v>
      </c>
      <c r="D482" s="130" t="s">
        <v>45</v>
      </c>
      <c r="E482" s="130">
        <v>0</v>
      </c>
      <c r="F482" s="130" t="s">
        <v>702</v>
      </c>
      <c r="G482" s="131" t="s">
        <v>704</v>
      </c>
      <c r="H482" s="132">
        <v>44243.491782407407</v>
      </c>
      <c r="I482" s="130" t="s">
        <v>48</v>
      </c>
      <c r="J482" s="130">
        <v>13</v>
      </c>
      <c r="K482" s="317" t="s">
        <v>1132</v>
      </c>
      <c r="L482" s="151" t="s">
        <v>52</v>
      </c>
      <c r="M482" s="152" t="s">
        <v>52</v>
      </c>
      <c r="N482" s="152" t="s">
        <v>1143</v>
      </c>
      <c r="O482" s="152" t="s">
        <v>1143</v>
      </c>
      <c r="P482" s="130">
        <v>0</v>
      </c>
      <c r="Q482" s="153"/>
      <c r="R482" s="103">
        <f t="shared" si="31"/>
        <v>0</v>
      </c>
      <c r="S482" s="151"/>
      <c r="T482" s="103">
        <f t="shared" si="30"/>
        <v>0</v>
      </c>
      <c r="U482" s="154"/>
      <c r="V482" s="103">
        <f t="shared" si="29"/>
        <v>0</v>
      </c>
      <c r="W482" s="152"/>
      <c r="X482" s="324">
        <f t="shared" si="28"/>
        <v>0</v>
      </c>
      <c r="Y482" s="337" t="s">
        <v>702</v>
      </c>
      <c r="Z482" s="342" t="s">
        <v>704</v>
      </c>
      <c r="AA482" s="130" t="s">
        <v>45</v>
      </c>
      <c r="AB482" s="153"/>
      <c r="AC482" s="154"/>
      <c r="AD482" s="152"/>
      <c r="AE482" s="152"/>
    </row>
    <row r="483" spans="1:31" ht="120" x14ac:dyDescent="0.15">
      <c r="A483" s="130" t="s">
        <v>43</v>
      </c>
      <c r="B483" s="130">
        <v>261</v>
      </c>
      <c r="C483" s="130" t="s">
        <v>664</v>
      </c>
      <c r="D483" s="130" t="s">
        <v>45</v>
      </c>
      <c r="E483" s="130">
        <v>0</v>
      </c>
      <c r="F483" s="130" t="s">
        <v>702</v>
      </c>
      <c r="G483" s="131" t="s">
        <v>705</v>
      </c>
      <c r="H483" s="132">
        <v>44243.494039351855</v>
      </c>
      <c r="I483" s="130" t="s">
        <v>48</v>
      </c>
      <c r="J483" s="130">
        <v>13</v>
      </c>
      <c r="K483" s="317" t="s">
        <v>1132</v>
      </c>
      <c r="L483" s="151" t="s">
        <v>52</v>
      </c>
      <c r="M483" s="152" t="s">
        <v>52</v>
      </c>
      <c r="N483" s="152" t="s">
        <v>1143</v>
      </c>
      <c r="O483" s="152" t="s">
        <v>1143</v>
      </c>
      <c r="P483" s="130">
        <v>0</v>
      </c>
      <c r="Q483" s="153"/>
      <c r="R483" s="103">
        <f t="shared" si="31"/>
        <v>0</v>
      </c>
      <c r="S483" s="151"/>
      <c r="T483" s="103">
        <f t="shared" si="30"/>
        <v>0</v>
      </c>
      <c r="U483" s="154"/>
      <c r="V483" s="103">
        <f t="shared" si="29"/>
        <v>0</v>
      </c>
      <c r="W483" s="152"/>
      <c r="X483" s="324">
        <f t="shared" si="28"/>
        <v>0</v>
      </c>
      <c r="Y483" s="337" t="s">
        <v>702</v>
      </c>
      <c r="Z483" s="342" t="s">
        <v>705</v>
      </c>
      <c r="AA483" s="130" t="s">
        <v>45</v>
      </c>
      <c r="AB483" s="153"/>
      <c r="AC483" s="154"/>
      <c r="AD483" s="152"/>
      <c r="AE483" s="152"/>
    </row>
    <row r="484" spans="1:31" ht="90" x14ac:dyDescent="0.15">
      <c r="A484" s="130" t="s">
        <v>43</v>
      </c>
      <c r="B484" s="130">
        <v>261</v>
      </c>
      <c r="C484" s="130" t="s">
        <v>664</v>
      </c>
      <c r="D484" s="130" t="s">
        <v>45</v>
      </c>
      <c r="E484" s="130">
        <v>0</v>
      </c>
      <c r="F484" s="130" t="s">
        <v>706</v>
      </c>
      <c r="G484" s="131" t="s">
        <v>707</v>
      </c>
      <c r="H484" s="132">
        <v>44243.631458333337</v>
      </c>
      <c r="I484" s="130" t="s">
        <v>48</v>
      </c>
      <c r="J484" s="130">
        <v>13</v>
      </c>
      <c r="K484" s="317" t="s">
        <v>1132</v>
      </c>
      <c r="L484" s="151" t="s">
        <v>52</v>
      </c>
      <c r="M484" s="152" t="s">
        <v>52</v>
      </c>
      <c r="N484" s="152" t="s">
        <v>1143</v>
      </c>
      <c r="O484" s="152" t="s">
        <v>1143</v>
      </c>
      <c r="P484" s="130">
        <v>0</v>
      </c>
      <c r="Q484" s="153"/>
      <c r="R484" s="103">
        <f t="shared" si="31"/>
        <v>0</v>
      </c>
      <c r="S484" s="151"/>
      <c r="T484" s="103">
        <f t="shared" si="30"/>
        <v>0</v>
      </c>
      <c r="U484" s="154"/>
      <c r="V484" s="103">
        <f t="shared" si="29"/>
        <v>0</v>
      </c>
      <c r="W484" s="152"/>
      <c r="X484" s="324">
        <f t="shared" si="28"/>
        <v>0</v>
      </c>
      <c r="Y484" s="337" t="s">
        <v>706</v>
      </c>
      <c r="Z484" s="342" t="s">
        <v>707</v>
      </c>
      <c r="AA484" s="130" t="s">
        <v>45</v>
      </c>
      <c r="AB484" s="153"/>
      <c r="AC484" s="154"/>
      <c r="AD484" s="152"/>
      <c r="AE484" s="152"/>
    </row>
    <row r="485" spans="1:31" ht="90" x14ac:dyDescent="0.15">
      <c r="A485" s="130" t="s">
        <v>43</v>
      </c>
      <c r="B485" s="130">
        <v>261</v>
      </c>
      <c r="C485" s="130" t="s">
        <v>664</v>
      </c>
      <c r="D485" s="130" t="s">
        <v>45</v>
      </c>
      <c r="E485" s="130">
        <v>0</v>
      </c>
      <c r="F485" s="130" t="s">
        <v>706</v>
      </c>
      <c r="G485" s="131" t="s">
        <v>708</v>
      </c>
      <c r="H485" s="132">
        <v>44243.633356481485</v>
      </c>
      <c r="I485" s="130" t="s">
        <v>48</v>
      </c>
      <c r="J485" s="130">
        <v>13</v>
      </c>
      <c r="K485" s="317" t="s">
        <v>1132</v>
      </c>
      <c r="L485" s="151" t="s">
        <v>52</v>
      </c>
      <c r="M485" s="152" t="s">
        <v>52</v>
      </c>
      <c r="N485" s="152" t="s">
        <v>1143</v>
      </c>
      <c r="O485" s="152" t="s">
        <v>1143</v>
      </c>
      <c r="P485" s="130">
        <v>0</v>
      </c>
      <c r="Q485" s="153"/>
      <c r="R485" s="103">
        <f t="shared" si="31"/>
        <v>0</v>
      </c>
      <c r="S485" s="151"/>
      <c r="T485" s="103">
        <f t="shared" si="30"/>
        <v>0</v>
      </c>
      <c r="U485" s="154"/>
      <c r="V485" s="103">
        <f t="shared" si="29"/>
        <v>0</v>
      </c>
      <c r="W485" s="152"/>
      <c r="X485" s="324">
        <f t="shared" si="28"/>
        <v>0</v>
      </c>
      <c r="Y485" s="337" t="s">
        <v>706</v>
      </c>
      <c r="Z485" s="342" t="s">
        <v>708</v>
      </c>
      <c r="AA485" s="130" t="s">
        <v>45</v>
      </c>
      <c r="AB485" s="153"/>
      <c r="AC485" s="154"/>
      <c r="AD485" s="152"/>
      <c r="AE485" s="152"/>
    </row>
    <row r="486" spans="1:31" ht="76" x14ac:dyDescent="0.2">
      <c r="A486" s="130" t="s">
        <v>43</v>
      </c>
      <c r="B486" s="130">
        <v>261</v>
      </c>
      <c r="C486" s="130" t="s">
        <v>664</v>
      </c>
      <c r="D486" s="130" t="s">
        <v>45</v>
      </c>
      <c r="E486" s="130">
        <v>0</v>
      </c>
      <c r="F486" s="130" t="s">
        <v>706</v>
      </c>
      <c r="G486" s="131" t="s">
        <v>709</v>
      </c>
      <c r="H486" s="132">
        <v>44243.643136574072</v>
      </c>
      <c r="I486" s="130" t="s">
        <v>48</v>
      </c>
      <c r="J486" s="130">
        <v>13</v>
      </c>
      <c r="K486" s="317" t="s">
        <v>1132</v>
      </c>
      <c r="L486" s="151" t="s">
        <v>52</v>
      </c>
      <c r="M486" s="152" t="s">
        <v>52</v>
      </c>
      <c r="N486" s="152" t="s">
        <v>1143</v>
      </c>
      <c r="O486" s="152" t="s">
        <v>1143</v>
      </c>
      <c r="P486" s="130">
        <v>0</v>
      </c>
      <c r="Q486" s="155">
        <v>1</v>
      </c>
      <c r="R486" s="103">
        <f t="shared" si="31"/>
        <v>1</v>
      </c>
      <c r="S486" s="151" t="s">
        <v>710</v>
      </c>
      <c r="T486" s="103">
        <f t="shared" si="30"/>
        <v>0</v>
      </c>
      <c r="U486" s="154">
        <v>1</v>
      </c>
      <c r="V486" s="103">
        <f t="shared" si="29"/>
        <v>1</v>
      </c>
      <c r="W486" s="348" t="s">
        <v>58</v>
      </c>
      <c r="X486" s="324">
        <f t="shared" si="28"/>
        <v>1</v>
      </c>
      <c r="Y486" s="337" t="s">
        <v>706</v>
      </c>
      <c r="Z486" s="342" t="s">
        <v>709</v>
      </c>
      <c r="AA486" s="130" t="s">
        <v>45</v>
      </c>
      <c r="AB486" s="153"/>
      <c r="AC486" s="154"/>
      <c r="AD486" s="152"/>
      <c r="AE486" s="152"/>
    </row>
    <row r="487" spans="1:31" ht="91" x14ac:dyDescent="0.2">
      <c r="A487" s="130" t="s">
        <v>43</v>
      </c>
      <c r="B487" s="130">
        <v>261</v>
      </c>
      <c r="C487" s="130" t="s">
        <v>664</v>
      </c>
      <c r="D487" s="130" t="s">
        <v>45</v>
      </c>
      <c r="E487" s="130">
        <v>0</v>
      </c>
      <c r="F487" s="130" t="s">
        <v>696</v>
      </c>
      <c r="G487" s="131" t="s">
        <v>711</v>
      </c>
      <c r="H487" s="132">
        <v>44243.856354166666</v>
      </c>
      <c r="I487" s="130" t="s">
        <v>48</v>
      </c>
      <c r="J487" s="130">
        <v>13</v>
      </c>
      <c r="K487" s="317" t="s">
        <v>1132</v>
      </c>
      <c r="L487" s="151" t="s">
        <v>1151</v>
      </c>
      <c r="M487" s="152" t="s">
        <v>52</v>
      </c>
      <c r="N487" s="152" t="s">
        <v>1143</v>
      </c>
      <c r="O487" s="152" t="s">
        <v>1143</v>
      </c>
      <c r="P487" s="130">
        <v>0</v>
      </c>
      <c r="Q487" s="155">
        <v>1</v>
      </c>
      <c r="R487" s="103">
        <f t="shared" si="31"/>
        <v>1</v>
      </c>
      <c r="S487" s="151" t="s">
        <v>427</v>
      </c>
      <c r="T487" s="103">
        <f t="shared" si="30"/>
        <v>1</v>
      </c>
      <c r="U487" s="154">
        <v>1</v>
      </c>
      <c r="V487" s="103">
        <f t="shared" si="29"/>
        <v>1</v>
      </c>
      <c r="W487" s="348" t="s">
        <v>58</v>
      </c>
      <c r="X487" s="324">
        <f t="shared" ref="X487:X550" si="32">IF(W487&lt;&gt;"",1,0)</f>
        <v>1</v>
      </c>
      <c r="Y487" s="337" t="s">
        <v>696</v>
      </c>
      <c r="Z487" s="342" t="s">
        <v>711</v>
      </c>
      <c r="AA487" s="130" t="s">
        <v>45</v>
      </c>
      <c r="AB487" s="153"/>
      <c r="AC487" s="154"/>
      <c r="AD487" s="156" t="s">
        <v>1147</v>
      </c>
      <c r="AE487" s="152"/>
    </row>
    <row r="488" spans="1:31" ht="106" x14ac:dyDescent="0.2">
      <c r="A488" s="130" t="s">
        <v>43</v>
      </c>
      <c r="B488" s="130">
        <v>261</v>
      </c>
      <c r="C488" s="130" t="s">
        <v>664</v>
      </c>
      <c r="D488" s="130" t="s">
        <v>45</v>
      </c>
      <c r="E488" s="130">
        <v>0</v>
      </c>
      <c r="F488" s="130" t="s">
        <v>702</v>
      </c>
      <c r="G488" s="131" t="s">
        <v>712</v>
      </c>
      <c r="H488" s="132">
        <v>44244.394120370373</v>
      </c>
      <c r="I488" s="130" t="s">
        <v>48</v>
      </c>
      <c r="J488" s="130">
        <v>13</v>
      </c>
      <c r="K488" s="317" t="s">
        <v>1132</v>
      </c>
      <c r="L488" s="151" t="s">
        <v>52</v>
      </c>
      <c r="M488" s="152" t="s">
        <v>52</v>
      </c>
      <c r="N488" s="152" t="s">
        <v>1143</v>
      </c>
      <c r="O488" s="152" t="s">
        <v>1143</v>
      </c>
      <c r="P488" s="130">
        <v>0</v>
      </c>
      <c r="Q488" s="155">
        <v>1</v>
      </c>
      <c r="R488" s="103">
        <f t="shared" si="31"/>
        <v>1</v>
      </c>
      <c r="S488" s="151" t="s">
        <v>305</v>
      </c>
      <c r="T488" s="103">
        <f t="shared" si="30"/>
        <v>1</v>
      </c>
      <c r="U488" s="154">
        <v>1</v>
      </c>
      <c r="V488" s="103">
        <f t="shared" si="29"/>
        <v>1</v>
      </c>
      <c r="W488" s="152" t="s">
        <v>305</v>
      </c>
      <c r="X488" s="324">
        <f t="shared" si="32"/>
        <v>1</v>
      </c>
      <c r="Y488" s="337" t="s">
        <v>702</v>
      </c>
      <c r="Z488" s="342" t="s">
        <v>712</v>
      </c>
      <c r="AA488" s="130" t="s">
        <v>45</v>
      </c>
      <c r="AB488" s="153"/>
      <c r="AC488" s="154"/>
      <c r="AD488" s="156"/>
      <c r="AE488" s="152"/>
    </row>
    <row r="489" spans="1:31" ht="120" x14ac:dyDescent="0.15">
      <c r="A489" s="130" t="s">
        <v>43</v>
      </c>
      <c r="B489" s="130">
        <v>261</v>
      </c>
      <c r="C489" s="130" t="s">
        <v>664</v>
      </c>
      <c r="D489" s="130" t="s">
        <v>45</v>
      </c>
      <c r="E489" s="130">
        <v>0</v>
      </c>
      <c r="F489" s="130" t="s">
        <v>713</v>
      </c>
      <c r="G489" s="131" t="s">
        <v>714</v>
      </c>
      <c r="H489" s="132">
        <v>44244.712395833332</v>
      </c>
      <c r="I489" s="130" t="s">
        <v>48</v>
      </c>
      <c r="J489" s="130">
        <v>13</v>
      </c>
      <c r="K489" s="317" t="s">
        <v>1132</v>
      </c>
      <c r="L489" s="151" t="s">
        <v>52</v>
      </c>
      <c r="M489" s="152" t="s">
        <v>52</v>
      </c>
      <c r="N489" s="152" t="s">
        <v>1143</v>
      </c>
      <c r="O489" s="152" t="s">
        <v>1143</v>
      </c>
      <c r="P489" s="130">
        <v>0</v>
      </c>
      <c r="Q489" s="153"/>
      <c r="R489" s="103">
        <f t="shared" si="31"/>
        <v>0</v>
      </c>
      <c r="S489" s="151"/>
      <c r="T489" s="103">
        <f t="shared" si="30"/>
        <v>1</v>
      </c>
      <c r="U489" s="154"/>
      <c r="V489" s="103">
        <f t="shared" si="29"/>
        <v>0</v>
      </c>
      <c r="W489" s="152"/>
      <c r="X489" s="324">
        <f t="shared" si="32"/>
        <v>0</v>
      </c>
      <c r="Y489" s="337" t="s">
        <v>713</v>
      </c>
      <c r="Z489" s="342" t="s">
        <v>714</v>
      </c>
      <c r="AA489" s="130" t="s">
        <v>45</v>
      </c>
      <c r="AB489" s="153"/>
      <c r="AC489" s="154"/>
      <c r="AD489" s="152"/>
      <c r="AE489" s="152"/>
    </row>
    <row r="490" spans="1:31" ht="75" x14ac:dyDescent="0.15">
      <c r="A490" s="130" t="s">
        <v>43</v>
      </c>
      <c r="B490" s="130">
        <v>261</v>
      </c>
      <c r="C490" s="130" t="s">
        <v>664</v>
      </c>
      <c r="D490" s="130" t="s">
        <v>45</v>
      </c>
      <c r="E490" s="130">
        <v>0</v>
      </c>
      <c r="F490" s="130" t="s">
        <v>713</v>
      </c>
      <c r="G490" s="131" t="s">
        <v>715</v>
      </c>
      <c r="H490" s="132">
        <v>44244.715578703705</v>
      </c>
      <c r="I490" s="130" t="s">
        <v>48</v>
      </c>
      <c r="J490" s="130">
        <v>13</v>
      </c>
      <c r="K490" s="317" t="s">
        <v>1132</v>
      </c>
      <c r="L490" s="151" t="s">
        <v>1151</v>
      </c>
      <c r="M490" s="152" t="s">
        <v>52</v>
      </c>
      <c r="N490" s="152" t="s">
        <v>1143</v>
      </c>
      <c r="O490" s="152" t="s">
        <v>1143</v>
      </c>
      <c r="P490" s="130">
        <v>0</v>
      </c>
      <c r="Q490" s="153"/>
      <c r="R490" s="103">
        <f t="shared" si="31"/>
        <v>0</v>
      </c>
      <c r="S490" s="151" t="s">
        <v>331</v>
      </c>
      <c r="T490" s="103">
        <f t="shared" si="30"/>
        <v>0</v>
      </c>
      <c r="U490" s="154"/>
      <c r="V490" s="103">
        <f t="shared" si="29"/>
        <v>0</v>
      </c>
      <c r="W490" s="152" t="s">
        <v>331</v>
      </c>
      <c r="X490" s="324">
        <f t="shared" si="32"/>
        <v>1</v>
      </c>
      <c r="Y490" s="337" t="s">
        <v>713</v>
      </c>
      <c r="Z490" s="342" t="s">
        <v>715</v>
      </c>
      <c r="AA490" s="130" t="s">
        <v>45</v>
      </c>
      <c r="AB490" s="153" t="s">
        <v>120</v>
      </c>
      <c r="AC490" s="154" t="s">
        <v>120</v>
      </c>
      <c r="AD490" s="156" t="s">
        <v>1159</v>
      </c>
      <c r="AE490" s="152"/>
    </row>
    <row r="491" spans="1:31" ht="150" x14ac:dyDescent="0.15">
      <c r="A491" s="130" t="s">
        <v>43</v>
      </c>
      <c r="B491" s="130">
        <v>261</v>
      </c>
      <c r="C491" s="130" t="s">
        <v>664</v>
      </c>
      <c r="D491" s="130" t="s">
        <v>45</v>
      </c>
      <c r="E491" s="130">
        <v>0</v>
      </c>
      <c r="F491" s="130" t="s">
        <v>716</v>
      </c>
      <c r="G491" s="131" t="s">
        <v>717</v>
      </c>
      <c r="H491" s="132">
        <v>44245.54314814815</v>
      </c>
      <c r="I491" s="130" t="s">
        <v>48</v>
      </c>
      <c r="J491" s="130">
        <v>13</v>
      </c>
      <c r="K491" s="317" t="s">
        <v>1132</v>
      </c>
      <c r="L491" s="151" t="s">
        <v>52</v>
      </c>
      <c r="M491" s="152" t="s">
        <v>52</v>
      </c>
      <c r="N491" s="152" t="s">
        <v>1143</v>
      </c>
      <c r="O491" s="152" t="s">
        <v>1143</v>
      </c>
      <c r="P491" s="130">
        <v>0</v>
      </c>
      <c r="Q491" s="153"/>
      <c r="R491" s="103">
        <f t="shared" si="31"/>
        <v>0</v>
      </c>
      <c r="S491" s="151"/>
      <c r="T491" s="103">
        <f t="shared" si="30"/>
        <v>1</v>
      </c>
      <c r="U491" s="154"/>
      <c r="V491" s="103">
        <f t="shared" si="29"/>
        <v>0</v>
      </c>
      <c r="W491" s="152"/>
      <c r="X491" s="324">
        <f t="shared" si="32"/>
        <v>0</v>
      </c>
      <c r="Y491" s="337" t="s">
        <v>716</v>
      </c>
      <c r="Z491" s="342" t="s">
        <v>717</v>
      </c>
      <c r="AA491" s="130" t="s">
        <v>45</v>
      </c>
      <c r="AB491" s="153"/>
      <c r="AC491" s="154"/>
      <c r="AD491" s="152"/>
      <c r="AE491" s="152"/>
    </row>
    <row r="492" spans="1:31" ht="135" x14ac:dyDescent="0.15">
      <c r="A492" s="130" t="s">
        <v>43</v>
      </c>
      <c r="B492" s="130">
        <v>261</v>
      </c>
      <c r="C492" s="130" t="s">
        <v>664</v>
      </c>
      <c r="D492" s="130" t="s">
        <v>45</v>
      </c>
      <c r="E492" s="130">
        <v>0</v>
      </c>
      <c r="F492" s="130" t="s">
        <v>716</v>
      </c>
      <c r="G492" s="131" t="s">
        <v>718</v>
      </c>
      <c r="H492" s="132">
        <v>44245.547407407408</v>
      </c>
      <c r="I492" s="130" t="s">
        <v>48</v>
      </c>
      <c r="J492" s="130">
        <v>13</v>
      </c>
      <c r="K492" s="317" t="s">
        <v>1132</v>
      </c>
      <c r="L492" s="151" t="s">
        <v>52</v>
      </c>
      <c r="M492" s="152" t="s">
        <v>52</v>
      </c>
      <c r="N492" s="152" t="s">
        <v>1143</v>
      </c>
      <c r="O492" s="152" t="s">
        <v>1143</v>
      </c>
      <c r="P492" s="130">
        <v>0</v>
      </c>
      <c r="Q492" s="153"/>
      <c r="R492" s="103">
        <f t="shared" si="31"/>
        <v>0</v>
      </c>
      <c r="S492" s="151"/>
      <c r="T492" s="103">
        <f t="shared" si="30"/>
        <v>0</v>
      </c>
      <c r="U492" s="154"/>
      <c r="V492" s="103">
        <f t="shared" si="29"/>
        <v>0</v>
      </c>
      <c r="W492" s="152"/>
      <c r="X492" s="324">
        <f t="shared" si="32"/>
        <v>0</v>
      </c>
      <c r="Y492" s="337" t="s">
        <v>716</v>
      </c>
      <c r="Z492" s="342" t="s">
        <v>718</v>
      </c>
      <c r="AA492" s="130" t="s">
        <v>45</v>
      </c>
      <c r="AB492" s="153"/>
      <c r="AC492" s="154"/>
      <c r="AD492" s="152"/>
      <c r="AE492" s="152"/>
    </row>
    <row r="493" spans="1:31" ht="120" x14ac:dyDescent="0.15">
      <c r="A493" s="130" t="s">
        <v>43</v>
      </c>
      <c r="B493" s="130">
        <v>261</v>
      </c>
      <c r="C493" s="130" t="s">
        <v>664</v>
      </c>
      <c r="D493" s="130" t="s">
        <v>45</v>
      </c>
      <c r="E493" s="130">
        <v>0</v>
      </c>
      <c r="F493" s="130" t="s">
        <v>702</v>
      </c>
      <c r="G493" s="131" t="s">
        <v>719</v>
      </c>
      <c r="H493" s="132">
        <v>44246.532094907408</v>
      </c>
      <c r="I493" s="130" t="s">
        <v>48</v>
      </c>
      <c r="J493" s="130">
        <v>13</v>
      </c>
      <c r="K493" s="317" t="s">
        <v>1132</v>
      </c>
      <c r="L493" s="151" t="s">
        <v>1151</v>
      </c>
      <c r="M493" s="152" t="s">
        <v>52</v>
      </c>
      <c r="N493" s="152" t="s">
        <v>1143</v>
      </c>
      <c r="O493" s="152" t="s">
        <v>1143</v>
      </c>
      <c r="P493" s="130">
        <v>0</v>
      </c>
      <c r="Q493" s="153"/>
      <c r="R493" s="103">
        <f t="shared" si="31"/>
        <v>0</v>
      </c>
      <c r="S493" s="151" t="s">
        <v>427</v>
      </c>
      <c r="T493" s="103">
        <f t="shared" si="30"/>
        <v>0</v>
      </c>
      <c r="U493" s="154"/>
      <c r="V493" s="103">
        <f t="shared" si="29"/>
        <v>0</v>
      </c>
      <c r="W493" s="348" t="s">
        <v>58</v>
      </c>
      <c r="X493" s="324">
        <f t="shared" si="32"/>
        <v>1</v>
      </c>
      <c r="Y493" s="337" t="s">
        <v>702</v>
      </c>
      <c r="Z493" s="342" t="s">
        <v>719</v>
      </c>
      <c r="AA493" s="130" t="s">
        <v>45</v>
      </c>
      <c r="AB493" s="153"/>
      <c r="AC493" s="154"/>
      <c r="AD493" s="156" t="s">
        <v>1159</v>
      </c>
      <c r="AE493" s="152"/>
    </row>
    <row r="494" spans="1:31" ht="75" x14ac:dyDescent="0.15">
      <c r="A494" s="130" t="s">
        <v>43</v>
      </c>
      <c r="B494" s="130">
        <v>261</v>
      </c>
      <c r="C494" s="130" t="s">
        <v>664</v>
      </c>
      <c r="D494" s="130" t="s">
        <v>45</v>
      </c>
      <c r="E494" s="130">
        <v>0</v>
      </c>
      <c r="F494" s="130" t="s">
        <v>720</v>
      </c>
      <c r="G494" s="131" t="s">
        <v>721</v>
      </c>
      <c r="H494" s="132">
        <v>44247.687905092593</v>
      </c>
      <c r="I494" s="130" t="s">
        <v>48</v>
      </c>
      <c r="J494" s="130">
        <v>13</v>
      </c>
      <c r="K494" s="317" t="s">
        <v>1132</v>
      </c>
      <c r="L494" s="151" t="s">
        <v>52</v>
      </c>
      <c r="M494" s="152" t="s">
        <v>52</v>
      </c>
      <c r="N494" s="152" t="s">
        <v>1143</v>
      </c>
      <c r="O494" s="152" t="s">
        <v>1143</v>
      </c>
      <c r="P494" s="130">
        <v>0</v>
      </c>
      <c r="Q494" s="153"/>
      <c r="R494" s="103">
        <f t="shared" si="31"/>
        <v>0</v>
      </c>
      <c r="S494" s="151"/>
      <c r="T494" s="103">
        <f t="shared" si="30"/>
        <v>1</v>
      </c>
      <c r="U494" s="154"/>
      <c r="V494" s="103">
        <f t="shared" si="29"/>
        <v>0</v>
      </c>
      <c r="W494" s="152"/>
      <c r="X494" s="324">
        <f t="shared" si="32"/>
        <v>0</v>
      </c>
      <c r="Y494" s="337" t="s">
        <v>720</v>
      </c>
      <c r="Z494" s="342" t="s">
        <v>721</v>
      </c>
      <c r="AA494" s="130" t="s">
        <v>45</v>
      </c>
      <c r="AB494" s="153"/>
      <c r="AC494" s="154"/>
      <c r="AD494" s="152"/>
      <c r="AE494" s="152"/>
    </row>
    <row r="495" spans="1:31" ht="75" x14ac:dyDescent="0.15">
      <c r="A495" s="130" t="s">
        <v>43</v>
      </c>
      <c r="B495" s="130">
        <v>261</v>
      </c>
      <c r="C495" s="130" t="s">
        <v>664</v>
      </c>
      <c r="D495" s="130" t="s">
        <v>45</v>
      </c>
      <c r="E495" s="130">
        <v>0</v>
      </c>
      <c r="F495" s="130" t="s">
        <v>720</v>
      </c>
      <c r="G495" s="131" t="s">
        <v>722</v>
      </c>
      <c r="H495" s="132">
        <v>44247.689293981479</v>
      </c>
      <c r="I495" s="130" t="s">
        <v>48</v>
      </c>
      <c r="J495" s="130">
        <v>13</v>
      </c>
      <c r="K495" s="317" t="s">
        <v>1132</v>
      </c>
      <c r="L495" s="151" t="s">
        <v>52</v>
      </c>
      <c r="M495" s="152" t="s">
        <v>52</v>
      </c>
      <c r="N495" s="152" t="s">
        <v>1143</v>
      </c>
      <c r="O495" s="152" t="s">
        <v>1143</v>
      </c>
      <c r="P495" s="130">
        <v>0</v>
      </c>
      <c r="Q495" s="153"/>
      <c r="R495" s="103">
        <f t="shared" si="31"/>
        <v>0</v>
      </c>
      <c r="S495" s="151"/>
      <c r="T495" s="103">
        <f t="shared" si="30"/>
        <v>0</v>
      </c>
      <c r="U495" s="154"/>
      <c r="V495" s="103">
        <f t="shared" si="29"/>
        <v>0</v>
      </c>
      <c r="W495" s="152"/>
      <c r="X495" s="324">
        <f t="shared" si="32"/>
        <v>0</v>
      </c>
      <c r="Y495" s="337" t="s">
        <v>720</v>
      </c>
      <c r="Z495" s="342" t="s">
        <v>722</v>
      </c>
      <c r="AA495" s="130" t="s">
        <v>45</v>
      </c>
      <c r="AB495" s="153"/>
      <c r="AC495" s="154"/>
      <c r="AD495" s="152"/>
      <c r="AE495" s="152"/>
    </row>
    <row r="496" spans="1:31" ht="75" x14ac:dyDescent="0.15">
      <c r="A496" s="130" t="s">
        <v>43</v>
      </c>
      <c r="B496" s="130">
        <v>261</v>
      </c>
      <c r="C496" s="130" t="s">
        <v>664</v>
      </c>
      <c r="D496" s="130" t="s">
        <v>45</v>
      </c>
      <c r="E496" s="130">
        <v>0</v>
      </c>
      <c r="F496" s="130" t="s">
        <v>723</v>
      </c>
      <c r="G496" s="131" t="s">
        <v>724</v>
      </c>
      <c r="H496" s="132">
        <v>44248.498182870368</v>
      </c>
      <c r="I496" s="130" t="s">
        <v>48</v>
      </c>
      <c r="J496" s="130">
        <v>13</v>
      </c>
      <c r="K496" s="317" t="s">
        <v>1132</v>
      </c>
      <c r="L496" s="151" t="s">
        <v>52</v>
      </c>
      <c r="M496" s="152" t="s">
        <v>52</v>
      </c>
      <c r="N496" s="152" t="s">
        <v>1143</v>
      </c>
      <c r="O496" s="152" t="s">
        <v>1143</v>
      </c>
      <c r="P496" s="130">
        <v>0</v>
      </c>
      <c r="Q496" s="153"/>
      <c r="R496" s="103">
        <f t="shared" si="31"/>
        <v>0</v>
      </c>
      <c r="S496" s="151"/>
      <c r="T496" s="103">
        <f t="shared" si="30"/>
        <v>0</v>
      </c>
      <c r="U496" s="154"/>
      <c r="V496" s="103">
        <f t="shared" si="29"/>
        <v>0</v>
      </c>
      <c r="W496" s="152"/>
      <c r="X496" s="324">
        <f t="shared" si="32"/>
        <v>0</v>
      </c>
      <c r="Y496" s="337" t="s">
        <v>723</v>
      </c>
      <c r="Z496" s="342" t="s">
        <v>724</v>
      </c>
      <c r="AA496" s="130" t="s">
        <v>45</v>
      </c>
      <c r="AB496" s="153"/>
      <c r="AC496" s="154"/>
      <c r="AD496" s="152"/>
      <c r="AE496" s="152"/>
    </row>
    <row r="497" spans="1:33" ht="75" x14ac:dyDescent="0.15">
      <c r="A497" s="130" t="s">
        <v>43</v>
      </c>
      <c r="B497" s="130">
        <v>261</v>
      </c>
      <c r="C497" s="130" t="s">
        <v>664</v>
      </c>
      <c r="D497" s="130" t="s">
        <v>45</v>
      </c>
      <c r="E497" s="130">
        <v>0</v>
      </c>
      <c r="F497" s="130" t="s">
        <v>723</v>
      </c>
      <c r="G497" s="131" t="s">
        <v>725</v>
      </c>
      <c r="H497" s="132">
        <v>44248.499039351853</v>
      </c>
      <c r="I497" s="130" t="s">
        <v>48</v>
      </c>
      <c r="J497" s="130">
        <v>13</v>
      </c>
      <c r="K497" s="317" t="s">
        <v>1132</v>
      </c>
      <c r="L497" s="151" t="s">
        <v>52</v>
      </c>
      <c r="M497" s="152" t="s">
        <v>52</v>
      </c>
      <c r="N497" s="152" t="s">
        <v>1143</v>
      </c>
      <c r="O497" s="152" t="s">
        <v>1143</v>
      </c>
      <c r="P497" s="130">
        <v>0</v>
      </c>
      <c r="Q497" s="153"/>
      <c r="R497" s="103">
        <f t="shared" si="31"/>
        <v>0</v>
      </c>
      <c r="S497" s="151"/>
      <c r="T497" s="103">
        <f t="shared" si="30"/>
        <v>0</v>
      </c>
      <c r="U497" s="154"/>
      <c r="V497" s="103">
        <f t="shared" si="29"/>
        <v>0</v>
      </c>
      <c r="W497" s="152"/>
      <c r="X497" s="324">
        <f t="shared" si="32"/>
        <v>0</v>
      </c>
      <c r="Y497" s="337" t="s">
        <v>723</v>
      </c>
      <c r="Z497" s="342" t="s">
        <v>725</v>
      </c>
      <c r="AA497" s="130" t="s">
        <v>45</v>
      </c>
      <c r="AB497" s="153"/>
      <c r="AC497" s="154"/>
      <c r="AD497" s="152"/>
      <c r="AE497" s="152"/>
    </row>
    <row r="498" spans="1:33" ht="75" x14ac:dyDescent="0.15">
      <c r="A498" s="130" t="s">
        <v>43</v>
      </c>
      <c r="B498" s="130">
        <v>261</v>
      </c>
      <c r="C498" s="130" t="s">
        <v>664</v>
      </c>
      <c r="D498" s="130" t="s">
        <v>45</v>
      </c>
      <c r="E498" s="130">
        <v>0</v>
      </c>
      <c r="F498" s="130" t="s">
        <v>699</v>
      </c>
      <c r="G498" s="131" t="s">
        <v>726</v>
      </c>
      <c r="H498" s="132">
        <v>44250.394097222219</v>
      </c>
      <c r="I498" s="130" t="s">
        <v>48</v>
      </c>
      <c r="J498" s="130">
        <v>13</v>
      </c>
      <c r="K498" s="317" t="s">
        <v>1132</v>
      </c>
      <c r="L498" s="151" t="s">
        <v>52</v>
      </c>
      <c r="M498" s="152" t="s">
        <v>52</v>
      </c>
      <c r="N498" s="152" t="s">
        <v>1143</v>
      </c>
      <c r="O498" s="152" t="s">
        <v>1143</v>
      </c>
      <c r="P498" s="130">
        <v>0</v>
      </c>
      <c r="Q498" s="153"/>
      <c r="R498" s="103">
        <f t="shared" si="31"/>
        <v>0</v>
      </c>
      <c r="S498" s="151"/>
      <c r="T498" s="103">
        <f t="shared" si="30"/>
        <v>0</v>
      </c>
      <c r="U498" s="154"/>
      <c r="V498" s="103">
        <f t="shared" si="29"/>
        <v>0</v>
      </c>
      <c r="W498" s="152" t="s">
        <v>305</v>
      </c>
      <c r="X498" s="324">
        <f t="shared" si="32"/>
        <v>1</v>
      </c>
      <c r="Y498" s="337" t="s">
        <v>699</v>
      </c>
      <c r="Z498" s="342" t="s">
        <v>726</v>
      </c>
      <c r="AA498" s="130" t="s">
        <v>45</v>
      </c>
      <c r="AB498" s="153"/>
      <c r="AC498" s="154"/>
      <c r="AD498" s="152"/>
      <c r="AE498" s="152"/>
    </row>
    <row r="499" spans="1:33" ht="105" x14ac:dyDescent="0.15">
      <c r="A499" s="130" t="s">
        <v>43</v>
      </c>
      <c r="B499" s="130">
        <v>261</v>
      </c>
      <c r="C499" s="130" t="s">
        <v>664</v>
      </c>
      <c r="D499" s="130" t="s">
        <v>45</v>
      </c>
      <c r="E499" s="130">
        <v>0</v>
      </c>
      <c r="F499" s="130" t="s">
        <v>727</v>
      </c>
      <c r="G499" s="131" t="s">
        <v>728</v>
      </c>
      <c r="H499" s="132">
        <v>44250.578229166669</v>
      </c>
      <c r="I499" s="130" t="s">
        <v>48</v>
      </c>
      <c r="J499" s="130">
        <v>13</v>
      </c>
      <c r="K499" s="317" t="s">
        <v>1132</v>
      </c>
      <c r="L499" s="151" t="s">
        <v>52</v>
      </c>
      <c r="M499" s="152" t="s">
        <v>52</v>
      </c>
      <c r="N499" s="152" t="s">
        <v>1143</v>
      </c>
      <c r="O499" s="152" t="s">
        <v>1143</v>
      </c>
      <c r="P499" s="130">
        <v>0</v>
      </c>
      <c r="Q499" s="153"/>
      <c r="R499" s="103">
        <f t="shared" si="31"/>
        <v>0</v>
      </c>
      <c r="S499" s="151"/>
      <c r="T499" s="103">
        <f t="shared" si="30"/>
        <v>0</v>
      </c>
      <c r="U499" s="154"/>
      <c r="V499" s="103">
        <f t="shared" si="29"/>
        <v>0</v>
      </c>
      <c r="W499" s="152"/>
      <c r="X499" s="324">
        <f t="shared" si="32"/>
        <v>0</v>
      </c>
      <c r="Y499" s="337" t="s">
        <v>727</v>
      </c>
      <c r="Z499" s="342" t="s">
        <v>728</v>
      </c>
      <c r="AA499" s="130" t="s">
        <v>45</v>
      </c>
      <c r="AB499" s="153" t="s">
        <v>120</v>
      </c>
      <c r="AC499" s="154" t="s">
        <v>120</v>
      </c>
      <c r="AD499" s="152"/>
      <c r="AE499" s="152"/>
    </row>
    <row r="500" spans="1:33" ht="150" x14ac:dyDescent="0.15">
      <c r="A500" s="130" t="s">
        <v>43</v>
      </c>
      <c r="B500" s="130">
        <v>261</v>
      </c>
      <c r="C500" s="130" t="s">
        <v>664</v>
      </c>
      <c r="D500" s="130" t="s">
        <v>45</v>
      </c>
      <c r="E500" s="130">
        <v>0</v>
      </c>
      <c r="F500" s="130" t="s">
        <v>727</v>
      </c>
      <c r="G500" s="131" t="s">
        <v>729</v>
      </c>
      <c r="H500" s="132">
        <v>44250.606828703705</v>
      </c>
      <c r="I500" s="130" t="s">
        <v>48</v>
      </c>
      <c r="J500" s="130">
        <v>13</v>
      </c>
      <c r="K500" s="317" t="s">
        <v>1132</v>
      </c>
      <c r="L500" s="151" t="s">
        <v>52</v>
      </c>
      <c r="M500" s="152" t="s">
        <v>52</v>
      </c>
      <c r="N500" s="152" t="s">
        <v>1143</v>
      </c>
      <c r="O500" s="152" t="s">
        <v>1143</v>
      </c>
      <c r="P500" s="130">
        <v>0</v>
      </c>
      <c r="Q500" s="153"/>
      <c r="R500" s="103">
        <f t="shared" si="31"/>
        <v>0</v>
      </c>
      <c r="S500" s="151"/>
      <c r="T500" s="103">
        <f t="shared" si="30"/>
        <v>0</v>
      </c>
      <c r="U500" s="154"/>
      <c r="V500" s="103">
        <f t="shared" si="29"/>
        <v>0</v>
      </c>
      <c r="W500" s="152"/>
      <c r="X500" s="324">
        <f t="shared" si="32"/>
        <v>0</v>
      </c>
      <c r="Y500" s="337" t="s">
        <v>727</v>
      </c>
      <c r="Z500" s="342" t="s">
        <v>729</v>
      </c>
      <c r="AA500" s="130" t="s">
        <v>45</v>
      </c>
      <c r="AB500" s="153"/>
      <c r="AC500" s="154"/>
      <c r="AD500" s="152"/>
      <c r="AE500" s="152"/>
    </row>
    <row r="501" spans="1:33" ht="120" x14ac:dyDescent="0.15">
      <c r="A501" s="130" t="s">
        <v>43</v>
      </c>
      <c r="B501" s="130">
        <v>261</v>
      </c>
      <c r="C501" s="130" t="s">
        <v>664</v>
      </c>
      <c r="D501" s="130" t="s">
        <v>45</v>
      </c>
      <c r="E501" s="130">
        <v>0</v>
      </c>
      <c r="F501" s="130" t="s">
        <v>727</v>
      </c>
      <c r="G501" s="131" t="s">
        <v>730</v>
      </c>
      <c r="H501" s="132">
        <v>44250.609849537039</v>
      </c>
      <c r="I501" s="130" t="s">
        <v>48</v>
      </c>
      <c r="J501" s="130">
        <v>13</v>
      </c>
      <c r="K501" s="317" t="s">
        <v>1132</v>
      </c>
      <c r="L501" s="151" t="s">
        <v>52</v>
      </c>
      <c r="M501" s="152" t="s">
        <v>52</v>
      </c>
      <c r="N501" s="152" t="s">
        <v>1143</v>
      </c>
      <c r="O501" s="152" t="s">
        <v>1143</v>
      </c>
      <c r="P501" s="130">
        <v>0</v>
      </c>
      <c r="Q501" s="153"/>
      <c r="R501" s="103">
        <f t="shared" si="31"/>
        <v>0</v>
      </c>
      <c r="S501" s="151" t="s">
        <v>58</v>
      </c>
      <c r="T501" s="103">
        <f t="shared" si="30"/>
        <v>0</v>
      </c>
      <c r="U501" s="154"/>
      <c r="V501" s="103">
        <f t="shared" si="29"/>
        <v>0</v>
      </c>
      <c r="W501" s="152" t="s">
        <v>58</v>
      </c>
      <c r="X501" s="324">
        <f t="shared" si="32"/>
        <v>1</v>
      </c>
      <c r="Y501" s="337" t="s">
        <v>727</v>
      </c>
      <c r="Z501" s="342" t="s">
        <v>730</v>
      </c>
      <c r="AA501" s="130" t="s">
        <v>45</v>
      </c>
      <c r="AB501" s="153"/>
      <c r="AC501" s="154"/>
      <c r="AD501" s="152"/>
      <c r="AE501" s="152"/>
    </row>
    <row r="502" spans="1:33" ht="46" x14ac:dyDescent="0.2">
      <c r="A502" s="130" t="s">
        <v>43</v>
      </c>
      <c r="B502" s="130">
        <v>261</v>
      </c>
      <c r="C502" s="130" t="s">
        <v>664</v>
      </c>
      <c r="D502" s="130" t="s">
        <v>45</v>
      </c>
      <c r="E502" s="130">
        <v>0</v>
      </c>
      <c r="F502" s="130" t="s">
        <v>696</v>
      </c>
      <c r="G502" s="131" t="s">
        <v>731</v>
      </c>
      <c r="H502" s="132">
        <v>44251.342233796298</v>
      </c>
      <c r="I502" s="130" t="s">
        <v>48</v>
      </c>
      <c r="J502" s="130">
        <v>13</v>
      </c>
      <c r="K502" s="317" t="s">
        <v>1132</v>
      </c>
      <c r="L502" s="151" t="s">
        <v>52</v>
      </c>
      <c r="M502" s="152" t="s">
        <v>52</v>
      </c>
      <c r="N502" s="152" t="s">
        <v>1143</v>
      </c>
      <c r="O502" s="152" t="s">
        <v>1143</v>
      </c>
      <c r="P502" s="130">
        <v>0</v>
      </c>
      <c r="Q502" s="155">
        <v>2</v>
      </c>
      <c r="R502" s="103">
        <f t="shared" si="31"/>
        <v>1</v>
      </c>
      <c r="S502" s="151"/>
      <c r="T502" s="103">
        <f t="shared" si="30"/>
        <v>1</v>
      </c>
      <c r="U502" s="154">
        <v>2</v>
      </c>
      <c r="V502" s="103">
        <f t="shared" si="29"/>
        <v>1</v>
      </c>
      <c r="W502" s="152"/>
      <c r="X502" s="324">
        <f t="shared" si="32"/>
        <v>0</v>
      </c>
      <c r="Y502" s="337" t="s">
        <v>696</v>
      </c>
      <c r="Z502" s="342" t="s">
        <v>731</v>
      </c>
      <c r="AA502" s="130" t="s">
        <v>45</v>
      </c>
      <c r="AB502" s="153" t="s">
        <v>112</v>
      </c>
      <c r="AC502" s="154" t="s">
        <v>112</v>
      </c>
      <c r="AD502" s="152"/>
      <c r="AE502" s="152"/>
    </row>
    <row r="503" spans="1:33" ht="91" x14ac:dyDescent="0.2">
      <c r="A503" s="130" t="s">
        <v>43</v>
      </c>
      <c r="B503" s="130">
        <v>261</v>
      </c>
      <c r="C503" s="130" t="s">
        <v>664</v>
      </c>
      <c r="D503" s="130" t="s">
        <v>45</v>
      </c>
      <c r="E503" s="130">
        <v>0</v>
      </c>
      <c r="F503" s="130" t="s">
        <v>713</v>
      </c>
      <c r="G503" s="131" t="s">
        <v>732</v>
      </c>
      <c r="H503" s="132">
        <v>44251.60664351852</v>
      </c>
      <c r="I503" s="130" t="s">
        <v>48</v>
      </c>
      <c r="J503" s="130">
        <v>13</v>
      </c>
      <c r="K503" s="317" t="s">
        <v>1132</v>
      </c>
      <c r="L503" s="151" t="s">
        <v>52</v>
      </c>
      <c r="M503" s="152" t="s">
        <v>52</v>
      </c>
      <c r="N503" s="152" t="s">
        <v>1143</v>
      </c>
      <c r="O503" s="152" t="s">
        <v>1143</v>
      </c>
      <c r="P503" s="130">
        <v>0</v>
      </c>
      <c r="Q503" s="155">
        <v>2</v>
      </c>
      <c r="R503" s="103">
        <f t="shared" si="31"/>
        <v>1</v>
      </c>
      <c r="S503" s="151"/>
      <c r="T503" s="103">
        <f t="shared" si="30"/>
        <v>0</v>
      </c>
      <c r="U503" s="154">
        <v>2</v>
      </c>
      <c r="V503" s="103">
        <f t="shared" si="29"/>
        <v>1</v>
      </c>
      <c r="W503" s="152"/>
      <c r="X503" s="324">
        <f t="shared" si="32"/>
        <v>0</v>
      </c>
      <c r="Y503" s="337" t="s">
        <v>713</v>
      </c>
      <c r="Z503" s="342" t="s">
        <v>732</v>
      </c>
      <c r="AA503" s="130" t="s">
        <v>45</v>
      </c>
      <c r="AB503" s="153"/>
      <c r="AC503" s="154"/>
      <c r="AD503" s="152"/>
      <c r="AE503" s="152"/>
    </row>
    <row r="504" spans="1:33" ht="31" x14ac:dyDescent="0.2">
      <c r="A504" s="130" t="s">
        <v>43</v>
      </c>
      <c r="B504" s="130">
        <v>261</v>
      </c>
      <c r="C504" s="130" t="s">
        <v>664</v>
      </c>
      <c r="D504" s="130" t="s">
        <v>45</v>
      </c>
      <c r="E504" s="130">
        <v>0</v>
      </c>
      <c r="F504" s="130" t="s">
        <v>733</v>
      </c>
      <c r="G504" s="131" t="s">
        <v>734</v>
      </c>
      <c r="H504" s="132">
        <v>44252.604664351849</v>
      </c>
      <c r="I504" s="130" t="s">
        <v>48</v>
      </c>
      <c r="J504" s="130">
        <v>13</v>
      </c>
      <c r="K504" s="317" t="s">
        <v>1132</v>
      </c>
      <c r="L504" s="151" t="s">
        <v>52</v>
      </c>
      <c r="M504" s="152" t="s">
        <v>52</v>
      </c>
      <c r="N504" s="152" t="s">
        <v>1143</v>
      </c>
      <c r="O504" s="152" t="s">
        <v>1143</v>
      </c>
      <c r="P504" s="130">
        <v>0</v>
      </c>
      <c r="Q504" s="155">
        <v>2</v>
      </c>
      <c r="R504" s="103">
        <f t="shared" si="31"/>
        <v>1</v>
      </c>
      <c r="S504" s="151"/>
      <c r="T504" s="103">
        <f t="shared" si="30"/>
        <v>0</v>
      </c>
      <c r="U504" s="154">
        <v>2</v>
      </c>
      <c r="V504" s="103">
        <f t="shared" si="29"/>
        <v>1</v>
      </c>
      <c r="W504" s="152"/>
      <c r="X504" s="324">
        <f t="shared" si="32"/>
        <v>0</v>
      </c>
      <c r="Y504" s="337" t="s">
        <v>733</v>
      </c>
      <c r="Z504" s="342" t="s">
        <v>734</v>
      </c>
      <c r="AA504" s="130" t="s">
        <v>45</v>
      </c>
      <c r="AB504" s="153"/>
      <c r="AC504" s="154"/>
      <c r="AD504" s="152"/>
      <c r="AE504" s="152"/>
    </row>
    <row r="505" spans="1:33" ht="61" x14ac:dyDescent="0.2">
      <c r="A505" s="130" t="s">
        <v>43</v>
      </c>
      <c r="B505" s="130">
        <v>261</v>
      </c>
      <c r="C505" s="130" t="s">
        <v>664</v>
      </c>
      <c r="D505" s="130" t="s">
        <v>45</v>
      </c>
      <c r="E505" s="130">
        <v>0</v>
      </c>
      <c r="F505" s="130" t="s">
        <v>733</v>
      </c>
      <c r="G505" s="131" t="s">
        <v>735</v>
      </c>
      <c r="H505" s="132">
        <v>44252.606516203705</v>
      </c>
      <c r="I505" s="130" t="s">
        <v>48</v>
      </c>
      <c r="J505" s="130">
        <v>13</v>
      </c>
      <c r="K505" s="317" t="s">
        <v>1132</v>
      </c>
      <c r="L505" s="151" t="s">
        <v>52</v>
      </c>
      <c r="M505" s="152" t="s">
        <v>52</v>
      </c>
      <c r="N505" s="152" t="s">
        <v>1143</v>
      </c>
      <c r="O505" s="152" t="s">
        <v>1143</v>
      </c>
      <c r="P505" s="130">
        <v>0</v>
      </c>
      <c r="Q505" s="155">
        <v>2</v>
      </c>
      <c r="R505" s="103">
        <f t="shared" si="31"/>
        <v>1</v>
      </c>
      <c r="S505" s="151"/>
      <c r="T505" s="103">
        <f t="shared" si="30"/>
        <v>0</v>
      </c>
      <c r="U505" s="154"/>
      <c r="V505" s="103">
        <f t="shared" si="29"/>
        <v>0</v>
      </c>
      <c r="W505" s="152"/>
      <c r="X505" s="324">
        <f t="shared" si="32"/>
        <v>0</v>
      </c>
      <c r="Y505" s="337" t="s">
        <v>733</v>
      </c>
      <c r="Z505" s="342" t="s">
        <v>735</v>
      </c>
      <c r="AA505" s="130" t="s">
        <v>45</v>
      </c>
      <c r="AB505" s="153"/>
      <c r="AC505" s="154"/>
      <c r="AD505" s="152"/>
      <c r="AE505" s="152"/>
    </row>
    <row r="506" spans="1:33" ht="75" x14ac:dyDescent="0.15">
      <c r="A506" s="130" t="s">
        <v>43</v>
      </c>
      <c r="B506" s="130">
        <v>261</v>
      </c>
      <c r="C506" s="130" t="s">
        <v>664</v>
      </c>
      <c r="D506" s="130" t="s">
        <v>45</v>
      </c>
      <c r="E506" s="130">
        <v>0</v>
      </c>
      <c r="F506" s="130" t="s">
        <v>733</v>
      </c>
      <c r="G506" s="131" t="s">
        <v>736</v>
      </c>
      <c r="H506" s="132">
        <v>44252.607685185183</v>
      </c>
      <c r="I506" s="130" t="s">
        <v>48</v>
      </c>
      <c r="J506" s="130">
        <v>13</v>
      </c>
      <c r="K506" s="317" t="s">
        <v>1132</v>
      </c>
      <c r="L506" s="151" t="s">
        <v>52</v>
      </c>
      <c r="M506" s="152" t="s">
        <v>52</v>
      </c>
      <c r="N506" s="152" t="s">
        <v>1143</v>
      </c>
      <c r="O506" s="152" t="s">
        <v>1143</v>
      </c>
      <c r="P506" s="130">
        <v>0</v>
      </c>
      <c r="Q506" s="153"/>
      <c r="R506" s="103">
        <f t="shared" si="31"/>
        <v>0</v>
      </c>
      <c r="S506" s="151" t="s">
        <v>58</v>
      </c>
      <c r="T506" s="103">
        <f t="shared" si="30"/>
        <v>0</v>
      </c>
      <c r="U506" s="154"/>
      <c r="V506" s="103">
        <f t="shared" si="29"/>
        <v>0</v>
      </c>
      <c r="W506" s="152" t="s">
        <v>58</v>
      </c>
      <c r="X506" s="324">
        <f t="shared" si="32"/>
        <v>1</v>
      </c>
      <c r="Y506" s="337" t="s">
        <v>733</v>
      </c>
      <c r="Z506" s="342" t="s">
        <v>736</v>
      </c>
      <c r="AA506" s="130" t="s">
        <v>45</v>
      </c>
      <c r="AB506" s="153"/>
      <c r="AC506" s="154"/>
      <c r="AD506" s="152"/>
      <c r="AE506" s="152"/>
    </row>
    <row r="507" spans="1:33" ht="17" x14ac:dyDescent="0.2">
      <c r="A507" s="194" t="s">
        <v>1134</v>
      </c>
      <c r="B507" s="319">
        <v>261</v>
      </c>
      <c r="C507" s="65" t="s">
        <v>44</v>
      </c>
      <c r="D507" s="319" t="s">
        <v>45</v>
      </c>
      <c r="E507" s="318">
        <v>0</v>
      </c>
      <c r="F507" s="319" t="s">
        <v>829</v>
      </c>
      <c r="G507" s="320" t="s">
        <v>830</v>
      </c>
      <c r="H507" s="318" t="s">
        <v>1133</v>
      </c>
      <c r="I507" s="318"/>
      <c r="J507" s="318" t="s">
        <v>1133</v>
      </c>
      <c r="K507" s="318" t="s">
        <v>1132</v>
      </c>
      <c r="L507" s="293" t="s">
        <v>1145</v>
      </c>
      <c r="M507" s="293" t="s">
        <v>49</v>
      </c>
      <c r="N507" s="293" t="s">
        <v>49</v>
      </c>
      <c r="O507" s="293" t="s">
        <v>1163</v>
      </c>
      <c r="P507" s="318">
        <v>0</v>
      </c>
      <c r="Q507" s="319">
        <v>1</v>
      </c>
      <c r="R507" s="103">
        <f t="shared" si="31"/>
        <v>1</v>
      </c>
      <c r="S507" s="320"/>
      <c r="T507" s="103">
        <f t="shared" si="30"/>
        <v>1</v>
      </c>
      <c r="U507" s="319"/>
      <c r="V507" s="103">
        <f t="shared" si="29"/>
        <v>0</v>
      </c>
      <c r="W507" s="327"/>
      <c r="X507" s="324">
        <f t="shared" si="32"/>
        <v>0</v>
      </c>
      <c r="Y507" s="338" t="s">
        <v>829</v>
      </c>
      <c r="Z507" s="343" t="s">
        <v>830</v>
      </c>
      <c r="AA507" s="319" t="s">
        <v>45</v>
      </c>
      <c r="AB507" s="321" t="s">
        <v>112</v>
      </c>
      <c r="AC507" s="321" t="s">
        <v>112</v>
      </c>
      <c r="AD507" s="321"/>
      <c r="AE507" s="319"/>
      <c r="AF507" s="319"/>
      <c r="AG507" s="319"/>
    </row>
    <row r="508" spans="1:33" ht="17" x14ac:dyDescent="0.2">
      <c r="A508" s="194" t="s">
        <v>1134</v>
      </c>
      <c r="B508" s="319">
        <v>261</v>
      </c>
      <c r="C508" s="65" t="s">
        <v>44</v>
      </c>
      <c r="D508" s="319" t="s">
        <v>45</v>
      </c>
      <c r="E508" s="318">
        <v>0</v>
      </c>
      <c r="F508" s="319" t="s">
        <v>829</v>
      </c>
      <c r="G508" s="320" t="s">
        <v>831</v>
      </c>
      <c r="H508" s="318" t="s">
        <v>1133</v>
      </c>
      <c r="I508" s="318"/>
      <c r="J508" s="318" t="s">
        <v>1133</v>
      </c>
      <c r="K508" s="318" t="s">
        <v>1132</v>
      </c>
      <c r="L508" s="293" t="s">
        <v>1145</v>
      </c>
      <c r="M508" s="293" t="s">
        <v>49</v>
      </c>
      <c r="N508" s="293" t="s">
        <v>49</v>
      </c>
      <c r="O508" s="293" t="s">
        <v>1163</v>
      </c>
      <c r="P508" s="318">
        <v>0</v>
      </c>
      <c r="Q508" s="319">
        <v>1</v>
      </c>
      <c r="R508" s="103">
        <f t="shared" si="31"/>
        <v>1</v>
      </c>
      <c r="S508" s="320"/>
      <c r="T508" s="103">
        <f t="shared" si="30"/>
        <v>0</v>
      </c>
      <c r="U508" s="319">
        <v>1</v>
      </c>
      <c r="V508" s="103">
        <f t="shared" si="29"/>
        <v>1</v>
      </c>
      <c r="W508" s="327"/>
      <c r="X508" s="324">
        <f t="shared" si="32"/>
        <v>0</v>
      </c>
      <c r="Y508" s="338" t="s">
        <v>829</v>
      </c>
      <c r="Z508" s="343" t="s">
        <v>831</v>
      </c>
      <c r="AA508" s="319" t="s">
        <v>45</v>
      </c>
      <c r="AB508" s="294"/>
      <c r="AC508" s="321"/>
      <c r="AD508" s="321"/>
      <c r="AE508" s="319"/>
      <c r="AF508" s="319"/>
      <c r="AG508" s="319"/>
    </row>
    <row r="509" spans="1:33" ht="17" x14ac:dyDescent="0.2">
      <c r="A509" s="194" t="s">
        <v>1134</v>
      </c>
      <c r="B509" s="319">
        <v>261</v>
      </c>
      <c r="C509" s="65" t="s">
        <v>44</v>
      </c>
      <c r="D509" s="319" t="s">
        <v>45</v>
      </c>
      <c r="E509" s="318">
        <v>0</v>
      </c>
      <c r="F509" s="319" t="s">
        <v>832</v>
      </c>
      <c r="G509" s="320" t="s">
        <v>833</v>
      </c>
      <c r="H509" s="318" t="s">
        <v>1133</v>
      </c>
      <c r="I509" s="318"/>
      <c r="J509" s="318" t="s">
        <v>1133</v>
      </c>
      <c r="K509" s="318" t="s">
        <v>1132</v>
      </c>
      <c r="L509" s="293" t="s">
        <v>1145</v>
      </c>
      <c r="M509" s="293" t="s">
        <v>49</v>
      </c>
      <c r="N509" s="293" t="s">
        <v>49</v>
      </c>
      <c r="O509" s="293" t="s">
        <v>1163</v>
      </c>
      <c r="P509" s="318">
        <v>0</v>
      </c>
      <c r="Q509" s="319">
        <v>1</v>
      </c>
      <c r="R509" s="103">
        <f t="shared" si="31"/>
        <v>1</v>
      </c>
      <c r="S509" s="320"/>
      <c r="T509" s="103">
        <f t="shared" si="30"/>
        <v>0</v>
      </c>
      <c r="U509" s="319">
        <v>1</v>
      </c>
      <c r="V509" s="103">
        <f t="shared" si="29"/>
        <v>1</v>
      </c>
      <c r="W509" s="327" t="s">
        <v>58</v>
      </c>
      <c r="X509" s="324">
        <f t="shared" si="32"/>
        <v>1</v>
      </c>
      <c r="Y509" s="338" t="s">
        <v>832</v>
      </c>
      <c r="Z509" s="343" t="s">
        <v>833</v>
      </c>
      <c r="AA509" s="319" t="s">
        <v>45</v>
      </c>
      <c r="AB509" s="294"/>
      <c r="AC509" s="321"/>
      <c r="AD509" s="321"/>
      <c r="AE509" s="319"/>
      <c r="AF509" s="319"/>
      <c r="AG509" s="319"/>
    </row>
    <row r="510" spans="1:33" ht="17" x14ac:dyDescent="0.2">
      <c r="A510" s="194" t="s">
        <v>1134</v>
      </c>
      <c r="B510" s="319">
        <v>261</v>
      </c>
      <c r="C510" s="65" t="s">
        <v>44</v>
      </c>
      <c r="D510" s="319" t="s">
        <v>45</v>
      </c>
      <c r="E510" s="318">
        <v>0</v>
      </c>
      <c r="F510" s="319" t="s">
        <v>832</v>
      </c>
      <c r="G510" s="320" t="s">
        <v>834</v>
      </c>
      <c r="H510" s="318" t="s">
        <v>1133</v>
      </c>
      <c r="I510" s="318"/>
      <c r="J510" s="318" t="s">
        <v>1133</v>
      </c>
      <c r="K510" s="318" t="s">
        <v>1132</v>
      </c>
      <c r="L510" s="293" t="s">
        <v>1145</v>
      </c>
      <c r="M510" s="293" t="s">
        <v>49</v>
      </c>
      <c r="N510" s="293" t="s">
        <v>49</v>
      </c>
      <c r="O510" s="293" t="s">
        <v>1163</v>
      </c>
      <c r="P510" s="318">
        <v>0</v>
      </c>
      <c r="Q510" s="319">
        <v>1</v>
      </c>
      <c r="R510" s="103">
        <f t="shared" si="31"/>
        <v>1</v>
      </c>
      <c r="S510" s="320"/>
      <c r="T510" s="103">
        <f t="shared" si="30"/>
        <v>0</v>
      </c>
      <c r="U510" s="319">
        <v>1</v>
      </c>
      <c r="V510" s="103">
        <f t="shared" si="29"/>
        <v>1</v>
      </c>
      <c r="W510" s="327" t="s">
        <v>637</v>
      </c>
      <c r="X510" s="324">
        <f t="shared" si="32"/>
        <v>1</v>
      </c>
      <c r="Y510" s="338" t="s">
        <v>832</v>
      </c>
      <c r="Z510" s="343" t="s">
        <v>834</v>
      </c>
      <c r="AA510" s="319" t="s">
        <v>45</v>
      </c>
      <c r="AB510" s="294"/>
      <c r="AC510" s="321"/>
      <c r="AD510" s="321"/>
      <c r="AE510" s="319"/>
      <c r="AF510" s="319"/>
      <c r="AG510" s="319"/>
    </row>
    <row r="511" spans="1:33" ht="17" x14ac:dyDescent="0.2">
      <c r="A511" s="194" t="s">
        <v>1134</v>
      </c>
      <c r="B511" s="319">
        <v>261</v>
      </c>
      <c r="C511" s="65" t="s">
        <v>44</v>
      </c>
      <c r="D511" s="319" t="s">
        <v>45</v>
      </c>
      <c r="E511" s="318">
        <v>0</v>
      </c>
      <c r="F511" s="319" t="s">
        <v>829</v>
      </c>
      <c r="G511" s="320" t="s">
        <v>835</v>
      </c>
      <c r="H511" s="318" t="s">
        <v>1133</v>
      </c>
      <c r="I511" s="318"/>
      <c r="J511" s="318" t="s">
        <v>1133</v>
      </c>
      <c r="K511" s="318" t="s">
        <v>1132</v>
      </c>
      <c r="L511" s="293" t="s">
        <v>1145</v>
      </c>
      <c r="M511" s="293" t="s">
        <v>49</v>
      </c>
      <c r="N511" s="293" t="s">
        <v>49</v>
      </c>
      <c r="O511" s="293" t="s">
        <v>1163</v>
      </c>
      <c r="P511" s="318">
        <v>0</v>
      </c>
      <c r="Q511" s="319">
        <v>1</v>
      </c>
      <c r="R511" s="103">
        <f t="shared" si="31"/>
        <v>1</v>
      </c>
      <c r="S511" s="320"/>
      <c r="T511" s="103">
        <f t="shared" si="30"/>
        <v>0</v>
      </c>
      <c r="U511" s="319"/>
      <c r="V511" s="103">
        <f t="shared" ref="V511:V574" si="33">IF(U511&lt;&gt;"",1,0)</f>
        <v>0</v>
      </c>
      <c r="W511" s="327" t="s">
        <v>637</v>
      </c>
      <c r="X511" s="324">
        <f t="shared" si="32"/>
        <v>1</v>
      </c>
      <c r="Y511" s="338" t="s">
        <v>829</v>
      </c>
      <c r="Z511" s="343" t="s">
        <v>835</v>
      </c>
      <c r="AA511" s="319" t="s">
        <v>45</v>
      </c>
      <c r="AB511" s="294"/>
      <c r="AC511" s="321"/>
      <c r="AD511" s="321"/>
      <c r="AE511" s="319"/>
      <c r="AF511" s="319"/>
      <c r="AG511" s="319"/>
    </row>
    <row r="512" spans="1:33" ht="17" x14ac:dyDescent="0.2">
      <c r="A512" s="194" t="s">
        <v>1134</v>
      </c>
      <c r="B512" s="319">
        <v>261</v>
      </c>
      <c r="C512" s="65" t="s">
        <v>44</v>
      </c>
      <c r="D512" s="319" t="s">
        <v>45</v>
      </c>
      <c r="E512" s="318">
        <v>0</v>
      </c>
      <c r="F512" s="319" t="s">
        <v>832</v>
      </c>
      <c r="G512" s="320" t="s">
        <v>836</v>
      </c>
      <c r="H512" s="318" t="s">
        <v>1133</v>
      </c>
      <c r="I512" s="318"/>
      <c r="J512" s="318" t="s">
        <v>1133</v>
      </c>
      <c r="K512" s="318" t="s">
        <v>1132</v>
      </c>
      <c r="L512" s="293" t="s">
        <v>1145</v>
      </c>
      <c r="M512" s="293" t="s">
        <v>49</v>
      </c>
      <c r="N512" s="293" t="s">
        <v>49</v>
      </c>
      <c r="O512" s="293" t="s">
        <v>1163</v>
      </c>
      <c r="P512" s="318">
        <v>0</v>
      </c>
      <c r="Q512" s="319">
        <v>1</v>
      </c>
      <c r="R512" s="103">
        <f t="shared" si="31"/>
        <v>1</v>
      </c>
      <c r="S512" s="320"/>
      <c r="T512" s="103">
        <f t="shared" ref="T512:T575" si="34">IF(S511&lt;&gt;"",1,0)</f>
        <v>0</v>
      </c>
      <c r="U512" s="319">
        <v>1</v>
      </c>
      <c r="V512" s="103">
        <f t="shared" si="33"/>
        <v>1</v>
      </c>
      <c r="W512" s="327" t="s">
        <v>637</v>
      </c>
      <c r="X512" s="324">
        <f t="shared" si="32"/>
        <v>1</v>
      </c>
      <c r="Y512" s="338" t="s">
        <v>832</v>
      </c>
      <c r="Z512" s="343" t="s">
        <v>836</v>
      </c>
      <c r="AA512" s="319" t="s">
        <v>45</v>
      </c>
      <c r="AB512" s="294"/>
      <c r="AC512" s="321"/>
      <c r="AD512" s="321"/>
      <c r="AE512" s="319"/>
      <c r="AF512" s="319"/>
      <c r="AG512" s="319"/>
    </row>
    <row r="513" spans="1:33" ht="17" x14ac:dyDescent="0.2">
      <c r="A513" s="194" t="s">
        <v>1134</v>
      </c>
      <c r="B513" s="319">
        <v>261</v>
      </c>
      <c r="C513" s="65" t="s">
        <v>44</v>
      </c>
      <c r="D513" s="319" t="s">
        <v>45</v>
      </c>
      <c r="E513" s="318">
        <v>0</v>
      </c>
      <c r="F513" s="319" t="s">
        <v>832</v>
      </c>
      <c r="G513" s="320" t="s">
        <v>837</v>
      </c>
      <c r="H513" s="318" t="s">
        <v>1133</v>
      </c>
      <c r="I513" s="318"/>
      <c r="J513" s="318" t="s">
        <v>1133</v>
      </c>
      <c r="K513" s="318" t="s">
        <v>1132</v>
      </c>
      <c r="L513" s="293" t="s">
        <v>1145</v>
      </c>
      <c r="M513" s="293" t="s">
        <v>49</v>
      </c>
      <c r="N513" s="293" t="s">
        <v>49</v>
      </c>
      <c r="O513" s="293" t="s">
        <v>1163</v>
      </c>
      <c r="P513" s="318">
        <v>0</v>
      </c>
      <c r="Q513" s="319">
        <v>1</v>
      </c>
      <c r="R513" s="103">
        <f t="shared" si="31"/>
        <v>1</v>
      </c>
      <c r="S513" s="320"/>
      <c r="T513" s="103">
        <f t="shared" si="34"/>
        <v>0</v>
      </c>
      <c r="U513" s="319">
        <v>1</v>
      </c>
      <c r="V513" s="103">
        <f t="shared" si="33"/>
        <v>1</v>
      </c>
      <c r="W513" s="327" t="s">
        <v>637</v>
      </c>
      <c r="X513" s="324">
        <f t="shared" si="32"/>
        <v>1</v>
      </c>
      <c r="Y513" s="338" t="s">
        <v>832</v>
      </c>
      <c r="Z513" s="343" t="s">
        <v>837</v>
      </c>
      <c r="AA513" s="319" t="s">
        <v>45</v>
      </c>
      <c r="AB513" s="294"/>
      <c r="AC513" s="321"/>
      <c r="AD513" s="321"/>
      <c r="AE513" s="319"/>
      <c r="AF513" s="319"/>
      <c r="AG513" s="319"/>
    </row>
    <row r="514" spans="1:33" ht="34" x14ac:dyDescent="0.2">
      <c r="A514" s="194" t="s">
        <v>1134</v>
      </c>
      <c r="B514" s="319">
        <v>261</v>
      </c>
      <c r="C514" s="65" t="s">
        <v>44</v>
      </c>
      <c r="D514" s="319" t="s">
        <v>45</v>
      </c>
      <c r="E514" s="318">
        <v>0</v>
      </c>
      <c r="F514" s="319" t="s">
        <v>829</v>
      </c>
      <c r="G514" s="320" t="s">
        <v>838</v>
      </c>
      <c r="H514" s="318" t="s">
        <v>1133</v>
      </c>
      <c r="I514" s="318"/>
      <c r="J514" s="318" t="s">
        <v>1133</v>
      </c>
      <c r="K514" s="318" t="s">
        <v>1132</v>
      </c>
      <c r="L514" s="293" t="s">
        <v>1145</v>
      </c>
      <c r="M514" s="293" t="s">
        <v>638</v>
      </c>
      <c r="N514" s="293" t="s">
        <v>638</v>
      </c>
      <c r="O514" s="293" t="s">
        <v>1163</v>
      </c>
      <c r="P514" s="318">
        <v>0</v>
      </c>
      <c r="Q514" s="319"/>
      <c r="R514" s="103">
        <f t="shared" ref="R514:R577" si="35">IF(Q514&lt;&gt;"",1,0)</f>
        <v>0</v>
      </c>
      <c r="S514" s="320"/>
      <c r="T514" s="103">
        <f t="shared" si="34"/>
        <v>0</v>
      </c>
      <c r="U514" s="319">
        <v>1</v>
      </c>
      <c r="V514" s="103">
        <f t="shared" si="33"/>
        <v>1</v>
      </c>
      <c r="W514" s="327" t="s">
        <v>305</v>
      </c>
      <c r="X514" s="324">
        <f t="shared" si="32"/>
        <v>1</v>
      </c>
      <c r="Y514" s="338" t="s">
        <v>829</v>
      </c>
      <c r="Z514" s="343" t="s">
        <v>838</v>
      </c>
      <c r="AA514" s="319" t="s">
        <v>45</v>
      </c>
      <c r="AB514" s="294"/>
      <c r="AC514" s="321"/>
      <c r="AD514" s="321"/>
      <c r="AE514" s="319"/>
      <c r="AF514" s="319"/>
      <c r="AG514" s="319"/>
    </row>
    <row r="515" spans="1:33" ht="34" x14ac:dyDescent="0.2">
      <c r="A515" s="194" t="s">
        <v>1134</v>
      </c>
      <c r="B515" s="319">
        <v>261</v>
      </c>
      <c r="C515" s="65" t="s">
        <v>44</v>
      </c>
      <c r="D515" s="319" t="s">
        <v>45</v>
      </c>
      <c r="E515" s="318">
        <v>0</v>
      </c>
      <c r="F515" s="319" t="s">
        <v>832</v>
      </c>
      <c r="G515" s="320" t="s">
        <v>839</v>
      </c>
      <c r="H515" s="318" t="s">
        <v>1133</v>
      </c>
      <c r="I515" s="318"/>
      <c r="J515" s="318" t="s">
        <v>1133</v>
      </c>
      <c r="K515" s="318" t="s">
        <v>1132</v>
      </c>
      <c r="L515" s="293" t="s">
        <v>1145</v>
      </c>
      <c r="M515" s="293" t="s">
        <v>638</v>
      </c>
      <c r="N515" s="293" t="s">
        <v>638</v>
      </c>
      <c r="O515" s="293" t="s">
        <v>1163</v>
      </c>
      <c r="P515" s="318">
        <v>0</v>
      </c>
      <c r="Q515" s="319"/>
      <c r="R515" s="103">
        <f t="shared" si="35"/>
        <v>0</v>
      </c>
      <c r="S515" s="320"/>
      <c r="T515" s="103">
        <f t="shared" si="34"/>
        <v>0</v>
      </c>
      <c r="U515" s="319">
        <v>1</v>
      </c>
      <c r="V515" s="103">
        <f t="shared" si="33"/>
        <v>1</v>
      </c>
      <c r="W515" s="327" t="s">
        <v>305</v>
      </c>
      <c r="X515" s="324">
        <f t="shared" si="32"/>
        <v>1</v>
      </c>
      <c r="Y515" s="338" t="s">
        <v>832</v>
      </c>
      <c r="Z515" s="343" t="s">
        <v>839</v>
      </c>
      <c r="AA515" s="319" t="s">
        <v>45</v>
      </c>
      <c r="AB515" s="294"/>
      <c r="AC515" s="321"/>
      <c r="AD515" s="321"/>
      <c r="AE515" s="319"/>
      <c r="AF515" s="319"/>
      <c r="AG515" s="319"/>
    </row>
    <row r="516" spans="1:33" ht="51" x14ac:dyDescent="0.2">
      <c r="A516" s="194" t="s">
        <v>1134</v>
      </c>
      <c r="B516" s="319">
        <v>261</v>
      </c>
      <c r="C516" s="65" t="s">
        <v>44</v>
      </c>
      <c r="D516" s="319" t="s">
        <v>45</v>
      </c>
      <c r="E516" s="318">
        <v>0</v>
      </c>
      <c r="F516" s="319" t="s">
        <v>829</v>
      </c>
      <c r="G516" s="320" t="s">
        <v>840</v>
      </c>
      <c r="H516" s="318" t="s">
        <v>1133</v>
      </c>
      <c r="I516" s="318"/>
      <c r="J516" s="318" t="s">
        <v>1133</v>
      </c>
      <c r="K516" s="318" t="s">
        <v>1132</v>
      </c>
      <c r="L516" s="293" t="s">
        <v>1145</v>
      </c>
      <c r="M516" s="293" t="s">
        <v>68</v>
      </c>
      <c r="N516" s="293" t="s">
        <v>68</v>
      </c>
      <c r="O516" s="293" t="s">
        <v>1163</v>
      </c>
      <c r="P516" s="318">
        <v>0</v>
      </c>
      <c r="Q516" s="319"/>
      <c r="R516" s="103">
        <f t="shared" si="35"/>
        <v>0</v>
      </c>
      <c r="S516" s="320"/>
      <c r="T516" s="103">
        <f t="shared" si="34"/>
        <v>0</v>
      </c>
      <c r="U516" s="319">
        <v>1</v>
      </c>
      <c r="V516" s="103">
        <f t="shared" si="33"/>
        <v>1</v>
      </c>
      <c r="W516" s="327" t="s">
        <v>305</v>
      </c>
      <c r="X516" s="324">
        <f t="shared" si="32"/>
        <v>1</v>
      </c>
      <c r="Y516" s="338" t="s">
        <v>829</v>
      </c>
      <c r="Z516" s="343" t="s">
        <v>840</v>
      </c>
      <c r="AA516" s="319" t="s">
        <v>45</v>
      </c>
      <c r="AB516" s="294"/>
      <c r="AC516" s="321"/>
      <c r="AD516" s="321"/>
      <c r="AE516" s="319"/>
      <c r="AF516" s="319"/>
      <c r="AG516" s="319"/>
    </row>
    <row r="517" spans="1:33" ht="34" x14ac:dyDescent="0.2">
      <c r="A517" s="194" t="s">
        <v>1134</v>
      </c>
      <c r="B517" s="319">
        <v>261</v>
      </c>
      <c r="C517" s="65" t="s">
        <v>44</v>
      </c>
      <c r="D517" s="319" t="s">
        <v>45</v>
      </c>
      <c r="E517" s="318">
        <v>0</v>
      </c>
      <c r="F517" s="319" t="s">
        <v>832</v>
      </c>
      <c r="G517" s="320" t="s">
        <v>841</v>
      </c>
      <c r="H517" s="318" t="s">
        <v>1133</v>
      </c>
      <c r="I517" s="318"/>
      <c r="J517" s="318" t="s">
        <v>1133</v>
      </c>
      <c r="K517" s="318" t="s">
        <v>1132</v>
      </c>
      <c r="L517" s="293" t="s">
        <v>1145</v>
      </c>
      <c r="M517" s="293" t="s">
        <v>49</v>
      </c>
      <c r="N517" s="293" t="s">
        <v>49</v>
      </c>
      <c r="O517" s="293" t="s">
        <v>1163</v>
      </c>
      <c r="P517" s="318">
        <v>0</v>
      </c>
      <c r="Q517" s="319"/>
      <c r="R517" s="103">
        <f t="shared" si="35"/>
        <v>0</v>
      </c>
      <c r="S517" s="320"/>
      <c r="T517" s="103">
        <f t="shared" si="34"/>
        <v>0</v>
      </c>
      <c r="U517" s="319">
        <v>1</v>
      </c>
      <c r="V517" s="103">
        <f t="shared" si="33"/>
        <v>1</v>
      </c>
      <c r="W517" s="327" t="s">
        <v>58</v>
      </c>
      <c r="X517" s="324">
        <f t="shared" si="32"/>
        <v>1</v>
      </c>
      <c r="Y517" s="338" t="s">
        <v>832</v>
      </c>
      <c r="Z517" s="343" t="s">
        <v>841</v>
      </c>
      <c r="AA517" s="319" t="s">
        <v>45</v>
      </c>
      <c r="AB517" s="294"/>
      <c r="AC517" s="321"/>
      <c r="AD517" s="321"/>
      <c r="AE517" s="319"/>
      <c r="AF517" s="319"/>
      <c r="AG517" s="319"/>
    </row>
    <row r="518" spans="1:33" ht="17" x14ac:dyDescent="0.2">
      <c r="A518" s="194" t="s">
        <v>1134</v>
      </c>
      <c r="B518" s="319">
        <v>261</v>
      </c>
      <c r="C518" s="65" t="s">
        <v>44</v>
      </c>
      <c r="D518" s="319" t="s">
        <v>45</v>
      </c>
      <c r="E518" s="318">
        <v>0</v>
      </c>
      <c r="F518" s="319" t="s">
        <v>829</v>
      </c>
      <c r="G518" s="320" t="s">
        <v>842</v>
      </c>
      <c r="H518" s="318" t="s">
        <v>1133</v>
      </c>
      <c r="I518" s="318"/>
      <c r="J518" s="318" t="s">
        <v>1133</v>
      </c>
      <c r="K518" s="318" t="s">
        <v>1132</v>
      </c>
      <c r="L518" s="293" t="s">
        <v>1145</v>
      </c>
      <c r="M518" s="293" t="s">
        <v>49</v>
      </c>
      <c r="N518" s="293" t="s">
        <v>49</v>
      </c>
      <c r="O518" s="293" t="s">
        <v>1163</v>
      </c>
      <c r="P518" s="318">
        <v>0</v>
      </c>
      <c r="Q518" s="319"/>
      <c r="R518" s="103">
        <f t="shared" si="35"/>
        <v>0</v>
      </c>
      <c r="S518" s="320"/>
      <c r="T518" s="103">
        <f t="shared" si="34"/>
        <v>0</v>
      </c>
      <c r="U518" s="319">
        <v>1</v>
      </c>
      <c r="V518" s="103">
        <f t="shared" si="33"/>
        <v>1</v>
      </c>
      <c r="W518" s="327" t="s">
        <v>58</v>
      </c>
      <c r="X518" s="324">
        <f t="shared" si="32"/>
        <v>1</v>
      </c>
      <c r="Y518" s="338" t="s">
        <v>829</v>
      </c>
      <c r="Z518" s="343" t="s">
        <v>842</v>
      </c>
      <c r="AA518" s="319" t="s">
        <v>45</v>
      </c>
      <c r="AB518" s="294"/>
      <c r="AC518" s="321"/>
      <c r="AD518" s="321"/>
      <c r="AE518" s="319"/>
      <c r="AF518" s="319"/>
      <c r="AG518" s="319"/>
    </row>
    <row r="519" spans="1:33" ht="17" x14ac:dyDescent="0.2">
      <c r="A519" s="194" t="s">
        <v>1134</v>
      </c>
      <c r="B519" s="319">
        <v>261</v>
      </c>
      <c r="C519" s="65" t="s">
        <v>44</v>
      </c>
      <c r="D519" s="319" t="s">
        <v>45</v>
      </c>
      <c r="E519" s="318">
        <v>0</v>
      </c>
      <c r="F519" s="319" t="s">
        <v>829</v>
      </c>
      <c r="G519" s="320" t="s">
        <v>843</v>
      </c>
      <c r="H519" s="318" t="s">
        <v>1133</v>
      </c>
      <c r="I519" s="318"/>
      <c r="J519" s="318" t="s">
        <v>1133</v>
      </c>
      <c r="K519" s="318" t="s">
        <v>1132</v>
      </c>
      <c r="L519" s="293" t="s">
        <v>1145</v>
      </c>
      <c r="M519" s="293" t="s">
        <v>638</v>
      </c>
      <c r="N519" s="293" t="s">
        <v>638</v>
      </c>
      <c r="O519" s="293" t="s">
        <v>1163</v>
      </c>
      <c r="P519" s="318">
        <v>0</v>
      </c>
      <c r="Q519" s="319"/>
      <c r="R519" s="103">
        <f t="shared" si="35"/>
        <v>0</v>
      </c>
      <c r="S519" s="320"/>
      <c r="T519" s="103">
        <f t="shared" si="34"/>
        <v>0</v>
      </c>
      <c r="U519" s="319">
        <v>1</v>
      </c>
      <c r="V519" s="103">
        <f t="shared" si="33"/>
        <v>1</v>
      </c>
      <c r="W519" s="327"/>
      <c r="X519" s="324">
        <f t="shared" si="32"/>
        <v>0</v>
      </c>
      <c r="Y519" s="338" t="s">
        <v>829</v>
      </c>
      <c r="Z519" s="343" t="s">
        <v>843</v>
      </c>
      <c r="AA519" s="319" t="s">
        <v>45</v>
      </c>
      <c r="AB519" s="294"/>
      <c r="AC519" s="321"/>
      <c r="AD519" s="321"/>
      <c r="AE519" s="319"/>
      <c r="AF519" s="319"/>
      <c r="AG519" s="319"/>
    </row>
    <row r="520" spans="1:33" ht="17" x14ac:dyDescent="0.2">
      <c r="A520" s="194" t="s">
        <v>1134</v>
      </c>
      <c r="B520" s="319">
        <v>261</v>
      </c>
      <c r="C520" s="65" t="s">
        <v>44</v>
      </c>
      <c r="D520" s="319" t="s">
        <v>45</v>
      </c>
      <c r="E520" s="318">
        <v>0</v>
      </c>
      <c r="F520" s="319" t="s">
        <v>832</v>
      </c>
      <c r="G520" s="320" t="s">
        <v>844</v>
      </c>
      <c r="H520" s="318" t="s">
        <v>1133</v>
      </c>
      <c r="I520" s="318"/>
      <c r="J520" s="318" t="s">
        <v>1133</v>
      </c>
      <c r="K520" s="318" t="s">
        <v>1132</v>
      </c>
      <c r="L520" s="293" t="s">
        <v>1145</v>
      </c>
      <c r="M520" s="293" t="s">
        <v>49</v>
      </c>
      <c r="N520" s="293" t="s">
        <v>49</v>
      </c>
      <c r="O520" s="293" t="s">
        <v>1163</v>
      </c>
      <c r="P520" s="318">
        <v>0</v>
      </c>
      <c r="Q520" s="319"/>
      <c r="R520" s="103">
        <f t="shared" si="35"/>
        <v>0</v>
      </c>
      <c r="S520" s="320"/>
      <c r="T520" s="103">
        <f t="shared" si="34"/>
        <v>0</v>
      </c>
      <c r="U520" s="319">
        <v>1</v>
      </c>
      <c r="V520" s="103">
        <f t="shared" si="33"/>
        <v>1</v>
      </c>
      <c r="W520" s="327" t="s">
        <v>58</v>
      </c>
      <c r="X520" s="324">
        <f t="shared" si="32"/>
        <v>1</v>
      </c>
      <c r="Y520" s="338" t="s">
        <v>832</v>
      </c>
      <c r="Z520" s="343" t="s">
        <v>844</v>
      </c>
      <c r="AA520" s="319" t="s">
        <v>45</v>
      </c>
      <c r="AB520" s="294"/>
      <c r="AC520" s="321"/>
      <c r="AD520" s="321"/>
      <c r="AE520" s="319"/>
      <c r="AF520" s="319"/>
      <c r="AG520" s="319"/>
    </row>
    <row r="521" spans="1:33" ht="51" x14ac:dyDescent="0.2">
      <c r="A521" s="194" t="s">
        <v>1134</v>
      </c>
      <c r="B521" s="319">
        <v>261</v>
      </c>
      <c r="C521" s="65" t="s">
        <v>44</v>
      </c>
      <c r="D521" s="319" t="s">
        <v>45</v>
      </c>
      <c r="E521" s="318">
        <v>0</v>
      </c>
      <c r="F521" s="319" t="s">
        <v>829</v>
      </c>
      <c r="G521" s="320" t="s">
        <v>845</v>
      </c>
      <c r="H521" s="318" t="s">
        <v>1133</v>
      </c>
      <c r="I521" s="318"/>
      <c r="J521" s="318" t="s">
        <v>1133</v>
      </c>
      <c r="K521" s="318" t="s">
        <v>1132</v>
      </c>
      <c r="L521" s="293" t="s">
        <v>1145</v>
      </c>
      <c r="M521" s="293" t="s">
        <v>638</v>
      </c>
      <c r="N521" s="293" t="s">
        <v>638</v>
      </c>
      <c r="O521" s="293" t="s">
        <v>1163</v>
      </c>
      <c r="P521" s="318">
        <v>0</v>
      </c>
      <c r="Q521" s="319">
        <v>2</v>
      </c>
      <c r="R521" s="103">
        <f t="shared" si="35"/>
        <v>1</v>
      </c>
      <c r="S521" s="320"/>
      <c r="T521" s="103">
        <f t="shared" si="34"/>
        <v>0</v>
      </c>
      <c r="U521" s="319">
        <v>1</v>
      </c>
      <c r="V521" s="103">
        <f t="shared" si="33"/>
        <v>1</v>
      </c>
      <c r="W521" s="327" t="s">
        <v>331</v>
      </c>
      <c r="X521" s="324">
        <f t="shared" si="32"/>
        <v>1</v>
      </c>
      <c r="Y521" s="338" t="s">
        <v>829</v>
      </c>
      <c r="Z521" s="343" t="s">
        <v>845</v>
      </c>
      <c r="AA521" s="319" t="s">
        <v>45</v>
      </c>
      <c r="AB521" s="294"/>
      <c r="AC521" s="321" t="s">
        <v>112</v>
      </c>
      <c r="AD521" s="321"/>
      <c r="AE521" s="319"/>
      <c r="AF521" s="319"/>
      <c r="AG521" s="319"/>
    </row>
    <row r="522" spans="1:33" ht="34" x14ac:dyDescent="0.2">
      <c r="A522" s="194" t="s">
        <v>1134</v>
      </c>
      <c r="B522" s="319">
        <v>261</v>
      </c>
      <c r="C522" s="65" t="s">
        <v>44</v>
      </c>
      <c r="D522" s="319" t="s">
        <v>45</v>
      </c>
      <c r="E522" s="318">
        <v>0</v>
      </c>
      <c r="F522" s="319" t="s">
        <v>846</v>
      </c>
      <c r="G522" s="320" t="s">
        <v>847</v>
      </c>
      <c r="H522" s="318" t="s">
        <v>1133</v>
      </c>
      <c r="I522" s="318"/>
      <c r="J522" s="318" t="s">
        <v>1133</v>
      </c>
      <c r="K522" s="318" t="s">
        <v>1132</v>
      </c>
      <c r="L522" s="293" t="s">
        <v>1145</v>
      </c>
      <c r="M522" s="293" t="s">
        <v>638</v>
      </c>
      <c r="N522" s="293" t="s">
        <v>638</v>
      </c>
      <c r="O522" s="293" t="s">
        <v>1163</v>
      </c>
      <c r="P522" s="318">
        <v>0</v>
      </c>
      <c r="Q522" s="319">
        <v>2</v>
      </c>
      <c r="R522" s="103">
        <f t="shared" si="35"/>
        <v>1</v>
      </c>
      <c r="S522" s="320"/>
      <c r="T522" s="103">
        <f t="shared" si="34"/>
        <v>0</v>
      </c>
      <c r="U522" s="319">
        <v>1</v>
      </c>
      <c r="V522" s="103">
        <f t="shared" si="33"/>
        <v>1</v>
      </c>
      <c r="W522" s="327"/>
      <c r="X522" s="324">
        <f t="shared" si="32"/>
        <v>0</v>
      </c>
      <c r="Y522" s="338" t="s">
        <v>846</v>
      </c>
      <c r="Z522" s="343" t="s">
        <v>847</v>
      </c>
      <c r="AA522" s="319" t="s">
        <v>45</v>
      </c>
      <c r="AB522" s="294"/>
      <c r="AC522" s="321"/>
      <c r="AD522" s="321"/>
      <c r="AE522" s="319"/>
      <c r="AF522" s="319"/>
      <c r="AG522" s="319"/>
    </row>
    <row r="523" spans="1:33" ht="17" x14ac:dyDescent="0.2">
      <c r="A523" s="194" t="s">
        <v>1134</v>
      </c>
      <c r="B523" s="319">
        <v>261</v>
      </c>
      <c r="C523" s="65" t="s">
        <v>44</v>
      </c>
      <c r="D523" s="319" t="s">
        <v>45</v>
      </c>
      <c r="E523" s="318">
        <v>0</v>
      </c>
      <c r="F523" s="319" t="s">
        <v>832</v>
      </c>
      <c r="G523" s="320" t="s">
        <v>848</v>
      </c>
      <c r="H523" s="318" t="s">
        <v>1133</v>
      </c>
      <c r="I523" s="318"/>
      <c r="J523" s="318" t="s">
        <v>1133</v>
      </c>
      <c r="K523" s="318" t="s">
        <v>1132</v>
      </c>
      <c r="L523" s="293" t="s">
        <v>1145</v>
      </c>
      <c r="M523" s="293" t="s">
        <v>638</v>
      </c>
      <c r="N523" s="293" t="s">
        <v>638</v>
      </c>
      <c r="O523" s="293" t="s">
        <v>1163</v>
      </c>
      <c r="P523" s="318">
        <v>0</v>
      </c>
      <c r="Q523" s="319">
        <v>2</v>
      </c>
      <c r="R523" s="103">
        <f t="shared" si="35"/>
        <v>1</v>
      </c>
      <c r="S523" s="320"/>
      <c r="T523" s="103">
        <f t="shared" si="34"/>
        <v>0</v>
      </c>
      <c r="U523" s="319">
        <v>1</v>
      </c>
      <c r="V523" s="103">
        <f t="shared" si="33"/>
        <v>1</v>
      </c>
      <c r="W523" s="327" t="s">
        <v>331</v>
      </c>
      <c r="X523" s="324">
        <f t="shared" si="32"/>
        <v>1</v>
      </c>
      <c r="Y523" s="338" t="s">
        <v>832</v>
      </c>
      <c r="Z523" s="343" t="s">
        <v>848</v>
      </c>
      <c r="AA523" s="319" t="s">
        <v>45</v>
      </c>
      <c r="AB523" s="294"/>
      <c r="AC523" s="321" t="s">
        <v>112</v>
      </c>
      <c r="AD523" s="321"/>
      <c r="AE523" s="319"/>
      <c r="AF523" s="319"/>
      <c r="AG523" s="319"/>
    </row>
    <row r="524" spans="1:33" ht="17" x14ac:dyDescent="0.2">
      <c r="A524" s="194" t="s">
        <v>1134</v>
      </c>
      <c r="B524" s="319">
        <v>261</v>
      </c>
      <c r="C524" s="65" t="s">
        <v>44</v>
      </c>
      <c r="D524" s="319" t="s">
        <v>45</v>
      </c>
      <c r="E524" s="318">
        <v>0</v>
      </c>
      <c r="F524" s="319" t="s">
        <v>832</v>
      </c>
      <c r="G524" s="320" t="s">
        <v>849</v>
      </c>
      <c r="H524" s="318" t="s">
        <v>1133</v>
      </c>
      <c r="I524" s="318"/>
      <c r="J524" s="318" t="s">
        <v>1133</v>
      </c>
      <c r="K524" s="318" t="s">
        <v>1132</v>
      </c>
      <c r="L524" s="293" t="s">
        <v>1145</v>
      </c>
      <c r="M524" s="293" t="s">
        <v>49</v>
      </c>
      <c r="N524" s="293" t="s">
        <v>49</v>
      </c>
      <c r="O524" s="293" t="s">
        <v>1163</v>
      </c>
      <c r="P524" s="318">
        <v>0</v>
      </c>
      <c r="Q524" s="319"/>
      <c r="R524" s="103">
        <f t="shared" si="35"/>
        <v>0</v>
      </c>
      <c r="S524" s="320"/>
      <c r="T524" s="103">
        <f t="shared" si="34"/>
        <v>0</v>
      </c>
      <c r="U524" s="319">
        <v>1</v>
      </c>
      <c r="V524" s="103">
        <f t="shared" si="33"/>
        <v>1</v>
      </c>
      <c r="W524" s="327" t="s">
        <v>637</v>
      </c>
      <c r="X524" s="324">
        <f t="shared" si="32"/>
        <v>1</v>
      </c>
      <c r="Y524" s="338" t="s">
        <v>832</v>
      </c>
      <c r="Z524" s="343" t="s">
        <v>849</v>
      </c>
      <c r="AA524" s="319" t="s">
        <v>45</v>
      </c>
      <c r="AB524" s="294"/>
      <c r="AC524" s="321"/>
      <c r="AD524" s="321"/>
      <c r="AE524" s="319"/>
      <c r="AF524" s="319"/>
      <c r="AG524" s="319"/>
    </row>
    <row r="525" spans="1:33" ht="17" x14ac:dyDescent="0.2">
      <c r="A525" s="194" t="s">
        <v>1134</v>
      </c>
      <c r="B525" s="319">
        <v>261</v>
      </c>
      <c r="C525" s="65" t="s">
        <v>44</v>
      </c>
      <c r="D525" s="319" t="s">
        <v>45</v>
      </c>
      <c r="E525" s="318">
        <v>0</v>
      </c>
      <c r="F525" s="319" t="s">
        <v>829</v>
      </c>
      <c r="G525" s="320" t="s">
        <v>850</v>
      </c>
      <c r="H525" s="318" t="s">
        <v>1133</v>
      </c>
      <c r="I525" s="318"/>
      <c r="J525" s="318" t="s">
        <v>1133</v>
      </c>
      <c r="K525" s="318" t="s">
        <v>1132</v>
      </c>
      <c r="L525" s="293" t="s">
        <v>1145</v>
      </c>
      <c r="M525" s="293" t="s">
        <v>49</v>
      </c>
      <c r="N525" s="293" t="s">
        <v>49</v>
      </c>
      <c r="O525" s="293" t="s">
        <v>1163</v>
      </c>
      <c r="P525" s="318">
        <v>0</v>
      </c>
      <c r="Q525" s="319"/>
      <c r="R525" s="103">
        <f t="shared" si="35"/>
        <v>0</v>
      </c>
      <c r="S525" s="320"/>
      <c r="T525" s="103">
        <f t="shared" si="34"/>
        <v>0</v>
      </c>
      <c r="U525" s="319">
        <v>1</v>
      </c>
      <c r="V525" s="103">
        <f t="shared" si="33"/>
        <v>1</v>
      </c>
      <c r="W525" s="327" t="s">
        <v>637</v>
      </c>
      <c r="X525" s="324">
        <f t="shared" si="32"/>
        <v>1</v>
      </c>
      <c r="Y525" s="338" t="s">
        <v>829</v>
      </c>
      <c r="Z525" s="343" t="s">
        <v>850</v>
      </c>
      <c r="AA525" s="319" t="s">
        <v>45</v>
      </c>
      <c r="AB525" s="294"/>
      <c r="AC525" s="321"/>
      <c r="AD525" s="321"/>
      <c r="AE525" s="319"/>
      <c r="AF525" s="319"/>
      <c r="AG525" s="319"/>
    </row>
    <row r="526" spans="1:33" ht="34" x14ac:dyDescent="0.2">
      <c r="A526" s="194" t="s">
        <v>1134</v>
      </c>
      <c r="B526" s="319">
        <v>261</v>
      </c>
      <c r="C526" s="65" t="s">
        <v>44</v>
      </c>
      <c r="D526" s="319" t="s">
        <v>45</v>
      </c>
      <c r="E526" s="318">
        <v>0</v>
      </c>
      <c r="F526" s="319" t="s">
        <v>832</v>
      </c>
      <c r="G526" s="320" t="s">
        <v>851</v>
      </c>
      <c r="H526" s="318" t="s">
        <v>1133</v>
      </c>
      <c r="I526" s="318"/>
      <c r="J526" s="318" t="s">
        <v>1133</v>
      </c>
      <c r="K526" s="318" t="s">
        <v>1132</v>
      </c>
      <c r="L526" s="293" t="s">
        <v>52</v>
      </c>
      <c r="M526" s="293" t="s">
        <v>52</v>
      </c>
      <c r="N526" s="293" t="s">
        <v>1143</v>
      </c>
      <c r="O526" s="293" t="s">
        <v>1143</v>
      </c>
      <c r="P526" s="318">
        <v>0</v>
      </c>
      <c r="Q526" s="319">
        <v>3</v>
      </c>
      <c r="R526" s="103">
        <f t="shared" si="35"/>
        <v>1</v>
      </c>
      <c r="S526" s="320"/>
      <c r="T526" s="103">
        <f t="shared" si="34"/>
        <v>0</v>
      </c>
      <c r="U526" s="319">
        <v>2</v>
      </c>
      <c r="V526" s="103">
        <f t="shared" si="33"/>
        <v>1</v>
      </c>
      <c r="W526" s="327"/>
      <c r="X526" s="324">
        <f t="shared" si="32"/>
        <v>0</v>
      </c>
      <c r="Y526" s="338" t="s">
        <v>832</v>
      </c>
      <c r="Z526" s="343" t="s">
        <v>851</v>
      </c>
      <c r="AA526" s="319" t="s">
        <v>45</v>
      </c>
      <c r="AB526" s="294"/>
      <c r="AC526" s="321"/>
      <c r="AD526" s="321"/>
      <c r="AE526" s="319"/>
      <c r="AF526" s="319"/>
      <c r="AG526" s="319"/>
    </row>
    <row r="527" spans="1:33" ht="34" x14ac:dyDescent="0.2">
      <c r="A527" s="194" t="s">
        <v>1134</v>
      </c>
      <c r="B527" s="319">
        <v>261</v>
      </c>
      <c r="C527" s="65" t="s">
        <v>44</v>
      </c>
      <c r="D527" s="319" t="s">
        <v>45</v>
      </c>
      <c r="E527" s="318">
        <v>0</v>
      </c>
      <c r="F527" s="319" t="s">
        <v>829</v>
      </c>
      <c r="G527" s="320" t="s">
        <v>852</v>
      </c>
      <c r="H527" s="318" t="s">
        <v>1133</v>
      </c>
      <c r="I527" s="318"/>
      <c r="J527" s="318" t="s">
        <v>1133</v>
      </c>
      <c r="K527" s="318" t="s">
        <v>1132</v>
      </c>
      <c r="L527" s="293" t="s">
        <v>52</v>
      </c>
      <c r="M527" s="293" t="s">
        <v>52</v>
      </c>
      <c r="N527" s="293" t="s">
        <v>1143</v>
      </c>
      <c r="O527" s="293" t="s">
        <v>1143</v>
      </c>
      <c r="P527" s="318">
        <v>0</v>
      </c>
      <c r="Q527" s="319">
        <v>3</v>
      </c>
      <c r="R527" s="103">
        <f t="shared" si="35"/>
        <v>1</v>
      </c>
      <c r="S527" s="321" t="s">
        <v>58</v>
      </c>
      <c r="T527" s="103">
        <f t="shared" si="34"/>
        <v>0</v>
      </c>
      <c r="U527" s="319">
        <v>2</v>
      </c>
      <c r="V527" s="103">
        <f t="shared" si="33"/>
        <v>1</v>
      </c>
      <c r="W527" s="327" t="s">
        <v>58</v>
      </c>
      <c r="X527" s="324">
        <f t="shared" si="32"/>
        <v>1</v>
      </c>
      <c r="Y527" s="338" t="s">
        <v>829</v>
      </c>
      <c r="Z527" s="343" t="s">
        <v>852</v>
      </c>
      <c r="AA527" s="319" t="s">
        <v>45</v>
      </c>
      <c r="AB527" s="294"/>
      <c r="AC527" s="321"/>
      <c r="AD527" s="321"/>
      <c r="AE527" s="319"/>
      <c r="AF527" s="319"/>
      <c r="AG527" s="319"/>
    </row>
    <row r="528" spans="1:33" ht="34" x14ac:dyDescent="0.2">
      <c r="A528" s="194" t="s">
        <v>1134</v>
      </c>
      <c r="B528" s="319">
        <v>261</v>
      </c>
      <c r="C528" s="65" t="s">
        <v>44</v>
      </c>
      <c r="D528" s="319" t="s">
        <v>45</v>
      </c>
      <c r="E528" s="318">
        <v>0</v>
      </c>
      <c r="F528" s="319" t="s">
        <v>832</v>
      </c>
      <c r="G528" s="320" t="s">
        <v>853</v>
      </c>
      <c r="H528" s="318" t="s">
        <v>1133</v>
      </c>
      <c r="I528" s="318"/>
      <c r="J528" s="318" t="s">
        <v>1133</v>
      </c>
      <c r="K528" s="318" t="s">
        <v>1132</v>
      </c>
      <c r="L528" s="293" t="s">
        <v>52</v>
      </c>
      <c r="M528" s="293" t="s">
        <v>52</v>
      </c>
      <c r="N528" s="293" t="s">
        <v>1143</v>
      </c>
      <c r="O528" s="293" t="s">
        <v>1143</v>
      </c>
      <c r="P528" s="318">
        <v>0</v>
      </c>
      <c r="Q528" s="319">
        <v>3</v>
      </c>
      <c r="R528" s="103">
        <f t="shared" si="35"/>
        <v>1</v>
      </c>
      <c r="S528" s="320"/>
      <c r="T528" s="103">
        <f t="shared" si="34"/>
        <v>1</v>
      </c>
      <c r="U528" s="319">
        <v>2</v>
      </c>
      <c r="V528" s="103">
        <f t="shared" si="33"/>
        <v>1</v>
      </c>
      <c r="W528" s="327" t="s">
        <v>331</v>
      </c>
      <c r="X528" s="324">
        <f t="shared" si="32"/>
        <v>1</v>
      </c>
      <c r="Y528" s="338" t="s">
        <v>832</v>
      </c>
      <c r="Z528" s="343" t="s">
        <v>853</v>
      </c>
      <c r="AA528" s="319" t="s">
        <v>45</v>
      </c>
      <c r="AB528" s="294"/>
      <c r="AC528" s="321"/>
      <c r="AD528" s="321"/>
      <c r="AE528" s="319"/>
      <c r="AF528" s="319"/>
      <c r="AG528" s="319"/>
    </row>
    <row r="529" spans="1:33" ht="34" x14ac:dyDescent="0.2">
      <c r="A529" s="194" t="s">
        <v>1134</v>
      </c>
      <c r="B529" s="319">
        <v>261</v>
      </c>
      <c r="C529" s="65" t="s">
        <v>44</v>
      </c>
      <c r="D529" s="319" t="s">
        <v>45</v>
      </c>
      <c r="E529" s="318">
        <v>0</v>
      </c>
      <c r="F529" s="319" t="s">
        <v>846</v>
      </c>
      <c r="G529" s="320" t="s">
        <v>854</v>
      </c>
      <c r="H529" s="318" t="s">
        <v>1133</v>
      </c>
      <c r="I529" s="318"/>
      <c r="J529" s="318" t="s">
        <v>1133</v>
      </c>
      <c r="K529" s="318" t="s">
        <v>1132</v>
      </c>
      <c r="L529" s="294" t="s">
        <v>1145</v>
      </c>
      <c r="M529" s="293" t="s">
        <v>638</v>
      </c>
      <c r="N529" s="293" t="s">
        <v>638</v>
      </c>
      <c r="O529" s="293" t="s">
        <v>1163</v>
      </c>
      <c r="P529" s="318">
        <v>0</v>
      </c>
      <c r="Q529" s="319">
        <v>4</v>
      </c>
      <c r="R529" s="103">
        <f t="shared" si="35"/>
        <v>1</v>
      </c>
      <c r="S529" s="320"/>
      <c r="T529" s="103">
        <f t="shared" si="34"/>
        <v>0</v>
      </c>
      <c r="U529" s="319">
        <v>3</v>
      </c>
      <c r="V529" s="103">
        <f t="shared" si="33"/>
        <v>1</v>
      </c>
      <c r="W529" s="327"/>
      <c r="X529" s="324">
        <f t="shared" si="32"/>
        <v>0</v>
      </c>
      <c r="Y529" s="338" t="s">
        <v>846</v>
      </c>
      <c r="Z529" s="343" t="s">
        <v>854</v>
      </c>
      <c r="AA529" s="319" t="s">
        <v>45</v>
      </c>
      <c r="AB529" s="294" t="s">
        <v>112</v>
      </c>
      <c r="AC529" s="321" t="s">
        <v>112</v>
      </c>
      <c r="AD529" s="321"/>
      <c r="AE529" s="319"/>
      <c r="AF529" s="319"/>
      <c r="AG529" s="319"/>
    </row>
    <row r="530" spans="1:33" ht="17" x14ac:dyDescent="0.2">
      <c r="A530" s="194" t="s">
        <v>1134</v>
      </c>
      <c r="B530" s="319">
        <v>261</v>
      </c>
      <c r="C530" s="65" t="s">
        <v>44</v>
      </c>
      <c r="D530" s="319" t="s">
        <v>45</v>
      </c>
      <c r="E530" s="318">
        <v>0</v>
      </c>
      <c r="F530" s="319" t="s">
        <v>832</v>
      </c>
      <c r="G530" s="320" t="s">
        <v>855</v>
      </c>
      <c r="H530" s="318" t="s">
        <v>1133</v>
      </c>
      <c r="I530" s="318"/>
      <c r="J530" s="318" t="s">
        <v>1133</v>
      </c>
      <c r="K530" s="318" t="s">
        <v>1132</v>
      </c>
      <c r="L530" s="293" t="s">
        <v>52</v>
      </c>
      <c r="M530" s="293" t="s">
        <v>52</v>
      </c>
      <c r="N530" s="293" t="s">
        <v>1143</v>
      </c>
      <c r="O530" s="293" t="s">
        <v>1143</v>
      </c>
      <c r="P530" s="318">
        <v>0</v>
      </c>
      <c r="Q530" s="319">
        <v>3</v>
      </c>
      <c r="R530" s="103">
        <f t="shared" si="35"/>
        <v>1</v>
      </c>
      <c r="S530" s="320"/>
      <c r="T530" s="103">
        <f t="shared" si="34"/>
        <v>0</v>
      </c>
      <c r="U530" s="319">
        <v>3</v>
      </c>
      <c r="V530" s="103">
        <f t="shared" si="33"/>
        <v>1</v>
      </c>
      <c r="W530" s="327" t="s">
        <v>331</v>
      </c>
      <c r="X530" s="324">
        <f t="shared" si="32"/>
        <v>1</v>
      </c>
      <c r="Y530" s="338" t="s">
        <v>832</v>
      </c>
      <c r="Z530" s="343" t="s">
        <v>855</v>
      </c>
      <c r="AA530" s="319" t="s">
        <v>45</v>
      </c>
      <c r="AB530" s="294" t="s">
        <v>261</v>
      </c>
      <c r="AC530" s="321" t="s">
        <v>261</v>
      </c>
      <c r="AD530" s="321"/>
      <c r="AE530" s="319"/>
      <c r="AF530" s="319"/>
      <c r="AG530" s="319"/>
    </row>
    <row r="531" spans="1:33" ht="51" x14ac:dyDescent="0.2">
      <c r="A531" s="194" t="s">
        <v>1134</v>
      </c>
      <c r="B531" s="319">
        <v>261</v>
      </c>
      <c r="C531" s="65" t="s">
        <v>44</v>
      </c>
      <c r="D531" s="319" t="s">
        <v>45</v>
      </c>
      <c r="E531" s="318">
        <v>0</v>
      </c>
      <c r="F531" s="319" t="s">
        <v>829</v>
      </c>
      <c r="G531" s="320" t="s">
        <v>856</v>
      </c>
      <c r="H531" s="318" t="s">
        <v>1133</v>
      </c>
      <c r="I531" s="318"/>
      <c r="J531" s="318" t="s">
        <v>1133</v>
      </c>
      <c r="K531" s="318" t="s">
        <v>1132</v>
      </c>
      <c r="L531" s="293" t="s">
        <v>52</v>
      </c>
      <c r="M531" s="293" t="s">
        <v>52</v>
      </c>
      <c r="N531" s="293" t="s">
        <v>1143</v>
      </c>
      <c r="O531" s="293" t="s">
        <v>1143</v>
      </c>
      <c r="P531" s="318">
        <v>0</v>
      </c>
      <c r="Q531" s="319">
        <v>3</v>
      </c>
      <c r="R531" s="103">
        <f t="shared" si="35"/>
        <v>1</v>
      </c>
      <c r="S531" s="320"/>
      <c r="T531" s="103">
        <f t="shared" si="34"/>
        <v>0</v>
      </c>
      <c r="U531" s="319">
        <v>2</v>
      </c>
      <c r="V531" s="103">
        <f t="shared" si="33"/>
        <v>1</v>
      </c>
      <c r="W531" s="327" t="s">
        <v>305</v>
      </c>
      <c r="X531" s="324">
        <f t="shared" si="32"/>
        <v>1</v>
      </c>
      <c r="Y531" s="338" t="s">
        <v>829</v>
      </c>
      <c r="Z531" s="343" t="s">
        <v>856</v>
      </c>
      <c r="AA531" s="319" t="s">
        <v>45</v>
      </c>
      <c r="AB531" s="294"/>
      <c r="AC531" s="321"/>
      <c r="AD531" s="321"/>
      <c r="AE531" s="319"/>
      <c r="AF531" s="319"/>
      <c r="AG531" s="319"/>
    </row>
    <row r="532" spans="1:33" ht="31" x14ac:dyDescent="0.2">
      <c r="A532" s="194" t="s">
        <v>1134</v>
      </c>
      <c r="B532" s="319">
        <v>261</v>
      </c>
      <c r="C532" s="65" t="s">
        <v>44</v>
      </c>
      <c r="D532" s="319" t="s">
        <v>45</v>
      </c>
      <c r="E532" s="318">
        <v>0</v>
      </c>
      <c r="F532" s="319" t="s">
        <v>832</v>
      </c>
      <c r="G532" s="320" t="s">
        <v>857</v>
      </c>
      <c r="H532" s="318" t="s">
        <v>1133</v>
      </c>
      <c r="I532" s="318"/>
      <c r="J532" s="318" t="s">
        <v>1133</v>
      </c>
      <c r="K532" s="318" t="s">
        <v>1132</v>
      </c>
      <c r="L532" s="294" t="s">
        <v>1145</v>
      </c>
      <c r="M532" s="293" t="s">
        <v>52</v>
      </c>
      <c r="N532" s="293" t="s">
        <v>1143</v>
      </c>
      <c r="O532" s="293" t="s">
        <v>1143</v>
      </c>
      <c r="P532" s="318">
        <v>0</v>
      </c>
      <c r="Q532" s="319">
        <v>4</v>
      </c>
      <c r="R532" s="103">
        <f t="shared" si="35"/>
        <v>1</v>
      </c>
      <c r="S532" s="320"/>
      <c r="T532" s="103">
        <f t="shared" si="34"/>
        <v>0</v>
      </c>
      <c r="U532" s="319">
        <v>3</v>
      </c>
      <c r="V532" s="103">
        <f t="shared" si="33"/>
        <v>1</v>
      </c>
      <c r="W532" s="327" t="s">
        <v>58</v>
      </c>
      <c r="X532" s="324">
        <f t="shared" si="32"/>
        <v>1</v>
      </c>
      <c r="Y532" s="338" t="s">
        <v>832</v>
      </c>
      <c r="Z532" s="343" t="s">
        <v>857</v>
      </c>
      <c r="AA532" s="319" t="s">
        <v>45</v>
      </c>
      <c r="AB532" s="294"/>
      <c r="AC532" s="321"/>
      <c r="AD532" s="321"/>
      <c r="AE532" s="319"/>
      <c r="AF532" s="319"/>
      <c r="AG532" s="319"/>
    </row>
    <row r="533" spans="1:33" ht="34" x14ac:dyDescent="0.2">
      <c r="A533" s="194" t="s">
        <v>1134</v>
      </c>
      <c r="B533" s="319">
        <v>261</v>
      </c>
      <c r="C533" s="65" t="s">
        <v>44</v>
      </c>
      <c r="D533" s="319" t="s">
        <v>45</v>
      </c>
      <c r="E533" s="318">
        <v>0</v>
      </c>
      <c r="F533" s="319" t="s">
        <v>832</v>
      </c>
      <c r="G533" s="320" t="s">
        <v>858</v>
      </c>
      <c r="H533" s="318" t="s">
        <v>1133</v>
      </c>
      <c r="I533" s="318"/>
      <c r="J533" s="318" t="s">
        <v>1133</v>
      </c>
      <c r="K533" s="318" t="s">
        <v>1132</v>
      </c>
      <c r="L533" s="294" t="s">
        <v>1145</v>
      </c>
      <c r="M533" s="293" t="s">
        <v>638</v>
      </c>
      <c r="N533" s="293" t="s">
        <v>638</v>
      </c>
      <c r="O533" s="293" t="s">
        <v>1163</v>
      </c>
      <c r="P533" s="318">
        <v>0</v>
      </c>
      <c r="Q533" s="319">
        <v>4</v>
      </c>
      <c r="R533" s="103">
        <f t="shared" si="35"/>
        <v>1</v>
      </c>
      <c r="S533" s="320"/>
      <c r="T533" s="103">
        <f t="shared" si="34"/>
        <v>0</v>
      </c>
      <c r="U533" s="319"/>
      <c r="V533" s="103">
        <f t="shared" si="33"/>
        <v>0</v>
      </c>
      <c r="W533" s="327"/>
      <c r="X533" s="324">
        <f t="shared" si="32"/>
        <v>0</v>
      </c>
      <c r="Y533" s="338" t="s">
        <v>832</v>
      </c>
      <c r="Z533" s="343" t="s">
        <v>858</v>
      </c>
      <c r="AA533" s="319" t="s">
        <v>45</v>
      </c>
      <c r="AB533" s="294"/>
      <c r="AC533" s="321"/>
      <c r="AD533" s="321"/>
      <c r="AE533" s="319"/>
      <c r="AF533" s="319"/>
      <c r="AG533" s="319"/>
    </row>
    <row r="534" spans="1:33" ht="51" x14ac:dyDescent="0.2">
      <c r="A534" s="194" t="s">
        <v>1134</v>
      </c>
      <c r="B534" s="319">
        <v>261</v>
      </c>
      <c r="C534" s="65" t="s">
        <v>44</v>
      </c>
      <c r="D534" s="319" t="s">
        <v>45</v>
      </c>
      <c r="E534" s="318">
        <v>0</v>
      </c>
      <c r="F534" s="319" t="s">
        <v>829</v>
      </c>
      <c r="G534" s="320" t="s">
        <v>859</v>
      </c>
      <c r="H534" s="318" t="s">
        <v>1133</v>
      </c>
      <c r="I534" s="318"/>
      <c r="J534" s="318" t="s">
        <v>1133</v>
      </c>
      <c r="K534" s="318" t="s">
        <v>1132</v>
      </c>
      <c r="L534" s="294" t="s">
        <v>1145</v>
      </c>
      <c r="M534" s="293" t="s">
        <v>638</v>
      </c>
      <c r="N534" s="293" t="s">
        <v>638</v>
      </c>
      <c r="O534" s="293" t="s">
        <v>1163</v>
      </c>
      <c r="P534" s="318">
        <v>0</v>
      </c>
      <c r="Q534" s="319">
        <v>5</v>
      </c>
      <c r="R534" s="103">
        <f t="shared" si="35"/>
        <v>1</v>
      </c>
      <c r="S534" s="320"/>
      <c r="T534" s="103">
        <f t="shared" si="34"/>
        <v>0</v>
      </c>
      <c r="U534" s="319">
        <v>3</v>
      </c>
      <c r="V534" s="103">
        <f t="shared" si="33"/>
        <v>1</v>
      </c>
      <c r="W534" s="327" t="s">
        <v>305</v>
      </c>
      <c r="X534" s="324">
        <f t="shared" si="32"/>
        <v>1</v>
      </c>
      <c r="Y534" s="338" t="s">
        <v>829</v>
      </c>
      <c r="Z534" s="343" t="s">
        <v>859</v>
      </c>
      <c r="AA534" s="319" t="s">
        <v>45</v>
      </c>
      <c r="AB534" s="294"/>
      <c r="AC534" s="321"/>
      <c r="AD534" s="321"/>
      <c r="AE534" s="319"/>
      <c r="AF534" s="319"/>
      <c r="AG534" s="319"/>
    </row>
    <row r="535" spans="1:33" ht="31" x14ac:dyDescent="0.2">
      <c r="A535" s="194" t="s">
        <v>1134</v>
      </c>
      <c r="B535" s="319">
        <v>261</v>
      </c>
      <c r="C535" s="65" t="s">
        <v>44</v>
      </c>
      <c r="D535" s="319" t="s">
        <v>45</v>
      </c>
      <c r="E535" s="318">
        <v>0</v>
      </c>
      <c r="F535" s="319" t="s">
        <v>829</v>
      </c>
      <c r="G535" s="320" t="s">
        <v>860</v>
      </c>
      <c r="H535" s="318" t="s">
        <v>1133</v>
      </c>
      <c r="I535" s="318"/>
      <c r="J535" s="318" t="s">
        <v>1133</v>
      </c>
      <c r="K535" s="318" t="s">
        <v>1132</v>
      </c>
      <c r="L535" s="294" t="s">
        <v>1145</v>
      </c>
      <c r="M535" s="293" t="s">
        <v>638</v>
      </c>
      <c r="N535" s="293" t="s">
        <v>638</v>
      </c>
      <c r="O535" s="293" t="s">
        <v>1163</v>
      </c>
      <c r="P535" s="318">
        <v>0</v>
      </c>
      <c r="Q535" s="319">
        <v>5</v>
      </c>
      <c r="R535" s="103">
        <f t="shared" si="35"/>
        <v>1</v>
      </c>
      <c r="S535" s="320"/>
      <c r="T535" s="103">
        <f t="shared" si="34"/>
        <v>0</v>
      </c>
      <c r="U535" s="319">
        <v>3</v>
      </c>
      <c r="V535" s="103">
        <f t="shared" si="33"/>
        <v>1</v>
      </c>
      <c r="W535" s="327" t="s">
        <v>305</v>
      </c>
      <c r="X535" s="324">
        <f t="shared" si="32"/>
        <v>1</v>
      </c>
      <c r="Y535" s="338" t="s">
        <v>829</v>
      </c>
      <c r="Z535" s="343" t="s">
        <v>860</v>
      </c>
      <c r="AA535" s="319" t="s">
        <v>45</v>
      </c>
      <c r="AB535" s="294"/>
      <c r="AC535" s="321"/>
      <c r="AD535" s="321"/>
      <c r="AE535" s="319"/>
      <c r="AF535" s="319"/>
      <c r="AG535" s="319"/>
    </row>
    <row r="536" spans="1:33" ht="31" x14ac:dyDescent="0.2">
      <c r="A536" s="194" t="s">
        <v>1134</v>
      </c>
      <c r="B536" s="319">
        <v>261</v>
      </c>
      <c r="C536" s="65" t="s">
        <v>44</v>
      </c>
      <c r="D536" s="319" t="s">
        <v>45</v>
      </c>
      <c r="E536" s="318">
        <v>0</v>
      </c>
      <c r="F536" s="319" t="s">
        <v>829</v>
      </c>
      <c r="G536" s="320" t="s">
        <v>861</v>
      </c>
      <c r="H536" s="318" t="s">
        <v>1133</v>
      </c>
      <c r="I536" s="318"/>
      <c r="J536" s="318" t="s">
        <v>1133</v>
      </c>
      <c r="K536" s="318" t="s">
        <v>1132</v>
      </c>
      <c r="L536" s="294" t="s">
        <v>1145</v>
      </c>
      <c r="M536" s="293" t="s">
        <v>638</v>
      </c>
      <c r="N536" s="293" t="s">
        <v>638</v>
      </c>
      <c r="O536" s="293" t="s">
        <v>1163</v>
      </c>
      <c r="P536" s="318">
        <v>0</v>
      </c>
      <c r="Q536" s="319">
        <v>5</v>
      </c>
      <c r="R536" s="103">
        <f t="shared" si="35"/>
        <v>1</v>
      </c>
      <c r="S536" s="320"/>
      <c r="T536" s="103">
        <f t="shared" si="34"/>
        <v>0</v>
      </c>
      <c r="U536" s="319">
        <v>3</v>
      </c>
      <c r="V536" s="103">
        <f t="shared" si="33"/>
        <v>1</v>
      </c>
      <c r="W536" s="327" t="s">
        <v>305</v>
      </c>
      <c r="X536" s="324">
        <f t="shared" si="32"/>
        <v>1</v>
      </c>
      <c r="Y536" s="338" t="s">
        <v>829</v>
      </c>
      <c r="Z536" s="343" t="s">
        <v>861</v>
      </c>
      <c r="AA536" s="319" t="s">
        <v>45</v>
      </c>
      <c r="AB536" s="294"/>
      <c r="AC536" s="321"/>
      <c r="AD536" s="321"/>
      <c r="AE536" s="319"/>
      <c r="AF536" s="319"/>
      <c r="AG536" s="319"/>
    </row>
    <row r="537" spans="1:33" ht="31" x14ac:dyDescent="0.2">
      <c r="A537" s="194" t="s">
        <v>1134</v>
      </c>
      <c r="B537" s="319">
        <v>261</v>
      </c>
      <c r="C537" s="65" t="s">
        <v>44</v>
      </c>
      <c r="D537" s="319" t="s">
        <v>45</v>
      </c>
      <c r="E537" s="318">
        <v>0</v>
      </c>
      <c r="F537" s="319" t="s">
        <v>846</v>
      </c>
      <c r="G537" s="320" t="s">
        <v>862</v>
      </c>
      <c r="H537" s="318" t="s">
        <v>1133</v>
      </c>
      <c r="I537" s="318"/>
      <c r="J537" s="318" t="s">
        <v>1133</v>
      </c>
      <c r="K537" s="318" t="s">
        <v>1132</v>
      </c>
      <c r="L537" s="294" t="s">
        <v>1145</v>
      </c>
      <c r="M537" s="293" t="s">
        <v>638</v>
      </c>
      <c r="N537" s="293" t="s">
        <v>638</v>
      </c>
      <c r="O537" s="293" t="s">
        <v>1163</v>
      </c>
      <c r="P537" s="318">
        <v>0</v>
      </c>
      <c r="Q537" s="319">
        <v>5</v>
      </c>
      <c r="R537" s="103">
        <f t="shared" si="35"/>
        <v>1</v>
      </c>
      <c r="S537" s="320"/>
      <c r="T537" s="103">
        <f t="shared" si="34"/>
        <v>0</v>
      </c>
      <c r="U537" s="319">
        <v>3</v>
      </c>
      <c r="V537" s="103">
        <f t="shared" si="33"/>
        <v>1</v>
      </c>
      <c r="W537" s="327" t="s">
        <v>305</v>
      </c>
      <c r="X537" s="324">
        <f t="shared" si="32"/>
        <v>1</v>
      </c>
      <c r="Y537" s="338" t="s">
        <v>846</v>
      </c>
      <c r="Z537" s="343" t="s">
        <v>862</v>
      </c>
      <c r="AA537" s="319" t="s">
        <v>45</v>
      </c>
      <c r="AB537" s="294"/>
      <c r="AC537" s="321"/>
      <c r="AD537" s="321"/>
      <c r="AE537" s="319"/>
      <c r="AF537" s="319"/>
      <c r="AG537" s="319"/>
    </row>
    <row r="538" spans="1:33" ht="31" x14ac:dyDescent="0.2">
      <c r="A538" s="194" t="s">
        <v>1134</v>
      </c>
      <c r="B538" s="319">
        <v>261</v>
      </c>
      <c r="C538" s="65" t="s">
        <v>44</v>
      </c>
      <c r="D538" s="319" t="s">
        <v>45</v>
      </c>
      <c r="E538" s="318">
        <v>0</v>
      </c>
      <c r="F538" s="319" t="s">
        <v>829</v>
      </c>
      <c r="G538" s="320" t="s">
        <v>863</v>
      </c>
      <c r="H538" s="318" t="s">
        <v>1133</v>
      </c>
      <c r="I538" s="318"/>
      <c r="J538" s="318" t="s">
        <v>1133</v>
      </c>
      <c r="K538" s="318" t="s">
        <v>1132</v>
      </c>
      <c r="L538" s="294" t="s">
        <v>1145</v>
      </c>
      <c r="M538" s="293" t="s">
        <v>638</v>
      </c>
      <c r="N538" s="293" t="s">
        <v>638</v>
      </c>
      <c r="O538" s="293" t="s">
        <v>1163</v>
      </c>
      <c r="P538" s="318">
        <v>0</v>
      </c>
      <c r="Q538" s="319">
        <v>5</v>
      </c>
      <c r="R538" s="103">
        <f t="shared" si="35"/>
        <v>1</v>
      </c>
      <c r="S538" s="320"/>
      <c r="T538" s="103">
        <f t="shared" si="34"/>
        <v>0</v>
      </c>
      <c r="U538" s="319">
        <v>3</v>
      </c>
      <c r="V538" s="103">
        <f t="shared" si="33"/>
        <v>1</v>
      </c>
      <c r="W538" s="327" t="s">
        <v>305</v>
      </c>
      <c r="X538" s="324">
        <f t="shared" si="32"/>
        <v>1</v>
      </c>
      <c r="Y538" s="338" t="s">
        <v>829</v>
      </c>
      <c r="Z538" s="343" t="s">
        <v>863</v>
      </c>
      <c r="AA538" s="319" t="s">
        <v>45</v>
      </c>
      <c r="AB538" s="294"/>
      <c r="AC538" s="321"/>
      <c r="AD538" s="321"/>
      <c r="AE538" s="319"/>
      <c r="AF538" s="319"/>
      <c r="AG538" s="319"/>
    </row>
    <row r="539" spans="1:33" ht="17" x14ac:dyDescent="0.2">
      <c r="A539" s="194" t="s">
        <v>1134</v>
      </c>
      <c r="B539" s="319">
        <v>261</v>
      </c>
      <c r="C539" s="65" t="s">
        <v>44</v>
      </c>
      <c r="D539" s="319" t="s">
        <v>45</v>
      </c>
      <c r="E539" s="318">
        <v>0</v>
      </c>
      <c r="F539" s="319" t="s">
        <v>829</v>
      </c>
      <c r="G539" s="320" t="s">
        <v>864</v>
      </c>
      <c r="H539" s="318" t="s">
        <v>1133</v>
      </c>
      <c r="I539" s="318"/>
      <c r="J539" s="318" t="s">
        <v>1133</v>
      </c>
      <c r="K539" s="318" t="s">
        <v>1132</v>
      </c>
      <c r="L539" s="293" t="s">
        <v>1145</v>
      </c>
      <c r="M539" s="293" t="s">
        <v>49</v>
      </c>
      <c r="N539" s="293" t="s">
        <v>49</v>
      </c>
      <c r="O539" s="293" t="s">
        <v>1163</v>
      </c>
      <c r="P539" s="318">
        <v>0</v>
      </c>
      <c r="Q539" s="319">
        <v>5</v>
      </c>
      <c r="R539" s="103">
        <f t="shared" si="35"/>
        <v>1</v>
      </c>
      <c r="S539" s="320"/>
      <c r="T539" s="103">
        <f t="shared" si="34"/>
        <v>0</v>
      </c>
      <c r="U539" s="319">
        <v>3</v>
      </c>
      <c r="V539" s="103">
        <f t="shared" si="33"/>
        <v>1</v>
      </c>
      <c r="W539" s="327" t="s">
        <v>305</v>
      </c>
      <c r="X539" s="324">
        <f t="shared" si="32"/>
        <v>1</v>
      </c>
      <c r="Y539" s="338" t="s">
        <v>829</v>
      </c>
      <c r="Z539" s="343" t="s">
        <v>864</v>
      </c>
      <c r="AA539" s="319" t="s">
        <v>45</v>
      </c>
      <c r="AB539" s="294"/>
      <c r="AC539" s="321"/>
      <c r="AD539" s="321"/>
      <c r="AE539" s="319"/>
      <c r="AF539" s="319"/>
      <c r="AG539" s="319"/>
    </row>
    <row r="540" spans="1:33" ht="17" x14ac:dyDescent="0.2">
      <c r="A540" s="194" t="s">
        <v>1134</v>
      </c>
      <c r="B540" s="319">
        <v>261</v>
      </c>
      <c r="C540" s="65" t="s">
        <v>44</v>
      </c>
      <c r="D540" s="319" t="s">
        <v>45</v>
      </c>
      <c r="E540" s="318">
        <v>0</v>
      </c>
      <c r="F540" s="319" t="s">
        <v>829</v>
      </c>
      <c r="G540" s="320" t="s">
        <v>865</v>
      </c>
      <c r="H540" s="318" t="s">
        <v>1133</v>
      </c>
      <c r="I540" s="318"/>
      <c r="J540" s="318" t="s">
        <v>1133</v>
      </c>
      <c r="K540" s="318" t="s">
        <v>1132</v>
      </c>
      <c r="L540" s="293" t="s">
        <v>1145</v>
      </c>
      <c r="M540" s="293" t="s">
        <v>49</v>
      </c>
      <c r="N540" s="293" t="s">
        <v>49</v>
      </c>
      <c r="O540" s="293" t="s">
        <v>1163</v>
      </c>
      <c r="P540" s="318">
        <v>0</v>
      </c>
      <c r="Q540" s="319">
        <v>5</v>
      </c>
      <c r="R540" s="103">
        <f t="shared" si="35"/>
        <v>1</v>
      </c>
      <c r="S540" s="320"/>
      <c r="T540" s="103">
        <f t="shared" si="34"/>
        <v>0</v>
      </c>
      <c r="U540" s="319">
        <v>3</v>
      </c>
      <c r="V540" s="103">
        <f t="shared" si="33"/>
        <v>1</v>
      </c>
      <c r="W540" s="327" t="s">
        <v>305</v>
      </c>
      <c r="X540" s="324">
        <f t="shared" si="32"/>
        <v>1</v>
      </c>
      <c r="Y540" s="338" t="s">
        <v>829</v>
      </c>
      <c r="Z540" s="343" t="s">
        <v>865</v>
      </c>
      <c r="AA540" s="319" t="s">
        <v>45</v>
      </c>
      <c r="AB540" s="294"/>
      <c r="AC540" s="321"/>
      <c r="AD540" s="321"/>
      <c r="AE540" s="319"/>
      <c r="AF540" s="319"/>
      <c r="AG540" s="319"/>
    </row>
    <row r="541" spans="1:33" ht="34" x14ac:dyDescent="0.2">
      <c r="A541" s="194" t="s">
        <v>1134</v>
      </c>
      <c r="B541" s="319">
        <v>261</v>
      </c>
      <c r="C541" s="65" t="s">
        <v>44</v>
      </c>
      <c r="D541" s="319" t="s">
        <v>45</v>
      </c>
      <c r="E541" s="318">
        <v>0</v>
      </c>
      <c r="F541" s="319" t="s">
        <v>832</v>
      </c>
      <c r="G541" s="320" t="s">
        <v>866</v>
      </c>
      <c r="H541" s="318" t="s">
        <v>1133</v>
      </c>
      <c r="I541" s="318"/>
      <c r="J541" s="318" t="s">
        <v>1133</v>
      </c>
      <c r="K541" s="318" t="s">
        <v>1132</v>
      </c>
      <c r="L541" s="294" t="s">
        <v>1145</v>
      </c>
      <c r="M541" s="294" t="s">
        <v>638</v>
      </c>
      <c r="N541" s="294" t="s">
        <v>638</v>
      </c>
      <c r="O541" s="294" t="s">
        <v>1163</v>
      </c>
      <c r="P541" s="318">
        <v>0</v>
      </c>
      <c r="Q541" s="319">
        <v>5</v>
      </c>
      <c r="R541" s="103">
        <f t="shared" si="35"/>
        <v>1</v>
      </c>
      <c r="S541" s="320"/>
      <c r="T541" s="103">
        <f t="shared" si="34"/>
        <v>0</v>
      </c>
      <c r="U541" s="319">
        <v>3</v>
      </c>
      <c r="V541" s="103">
        <f t="shared" si="33"/>
        <v>1</v>
      </c>
      <c r="W541" s="327" t="s">
        <v>305</v>
      </c>
      <c r="X541" s="324">
        <f t="shared" si="32"/>
        <v>1</v>
      </c>
      <c r="Y541" s="338" t="s">
        <v>832</v>
      </c>
      <c r="Z541" s="343" t="s">
        <v>866</v>
      </c>
      <c r="AA541" s="319" t="s">
        <v>45</v>
      </c>
      <c r="AB541" s="294"/>
      <c r="AC541" s="321"/>
      <c r="AD541" s="321"/>
      <c r="AE541" s="319"/>
      <c r="AF541" s="319"/>
      <c r="AG541" s="319"/>
    </row>
    <row r="542" spans="1:33" ht="31" x14ac:dyDescent="0.2">
      <c r="A542" s="194" t="s">
        <v>1134</v>
      </c>
      <c r="B542" s="319">
        <v>261</v>
      </c>
      <c r="C542" s="65" t="s">
        <v>44</v>
      </c>
      <c r="D542" s="319" t="s">
        <v>45</v>
      </c>
      <c r="E542" s="318">
        <v>0</v>
      </c>
      <c r="F542" s="319" t="s">
        <v>846</v>
      </c>
      <c r="G542" s="320" t="s">
        <v>867</v>
      </c>
      <c r="H542" s="318" t="s">
        <v>1133</v>
      </c>
      <c r="I542" s="318"/>
      <c r="J542" s="318" t="s">
        <v>1133</v>
      </c>
      <c r="K542" s="318" t="s">
        <v>1132</v>
      </c>
      <c r="L542" s="294" t="s">
        <v>1145</v>
      </c>
      <c r="M542" s="293" t="s">
        <v>638</v>
      </c>
      <c r="N542" s="293" t="s">
        <v>638</v>
      </c>
      <c r="O542" s="293" t="s">
        <v>1163</v>
      </c>
      <c r="P542" s="318">
        <v>0</v>
      </c>
      <c r="Q542" s="319">
        <v>5</v>
      </c>
      <c r="R542" s="103">
        <f t="shared" si="35"/>
        <v>1</v>
      </c>
      <c r="S542" s="320"/>
      <c r="T542" s="103">
        <f t="shared" si="34"/>
        <v>0</v>
      </c>
      <c r="U542" s="319">
        <v>3</v>
      </c>
      <c r="V542" s="103">
        <f t="shared" si="33"/>
        <v>1</v>
      </c>
      <c r="W542" s="327"/>
      <c r="X542" s="324">
        <f t="shared" si="32"/>
        <v>0</v>
      </c>
      <c r="Y542" s="338" t="s">
        <v>846</v>
      </c>
      <c r="Z542" s="343" t="s">
        <v>867</v>
      </c>
      <c r="AA542" s="319" t="s">
        <v>45</v>
      </c>
      <c r="AB542" s="294"/>
      <c r="AC542" s="321"/>
      <c r="AD542" s="321"/>
      <c r="AE542" s="319"/>
      <c r="AF542" s="319"/>
      <c r="AG542" s="319"/>
    </row>
    <row r="543" spans="1:33" ht="34" x14ac:dyDescent="0.2">
      <c r="A543" s="194" t="s">
        <v>1134</v>
      </c>
      <c r="B543" s="319">
        <v>261</v>
      </c>
      <c r="C543" s="65" t="s">
        <v>44</v>
      </c>
      <c r="D543" s="319" t="s">
        <v>45</v>
      </c>
      <c r="E543" s="318">
        <v>0</v>
      </c>
      <c r="F543" s="319" t="s">
        <v>829</v>
      </c>
      <c r="G543" s="320" t="s">
        <v>868</v>
      </c>
      <c r="H543" s="318" t="s">
        <v>1133</v>
      </c>
      <c r="I543" s="318"/>
      <c r="J543" s="318" t="s">
        <v>1133</v>
      </c>
      <c r="K543" s="318" t="s">
        <v>1132</v>
      </c>
      <c r="L543" s="294" t="s">
        <v>1145</v>
      </c>
      <c r="M543" s="293" t="s">
        <v>638</v>
      </c>
      <c r="N543" s="293" t="s">
        <v>638</v>
      </c>
      <c r="O543" s="293" t="s">
        <v>1163</v>
      </c>
      <c r="P543" s="318">
        <v>0</v>
      </c>
      <c r="Q543" s="319">
        <v>5</v>
      </c>
      <c r="R543" s="103">
        <f t="shared" si="35"/>
        <v>1</v>
      </c>
      <c r="S543" s="320"/>
      <c r="T543" s="103">
        <f t="shared" si="34"/>
        <v>0</v>
      </c>
      <c r="U543" s="319">
        <v>3</v>
      </c>
      <c r="V543" s="103">
        <f t="shared" si="33"/>
        <v>1</v>
      </c>
      <c r="W543" s="327" t="s">
        <v>305</v>
      </c>
      <c r="X543" s="324">
        <f t="shared" si="32"/>
        <v>1</v>
      </c>
      <c r="Y543" s="338" t="s">
        <v>829</v>
      </c>
      <c r="Z543" s="343" t="s">
        <v>868</v>
      </c>
      <c r="AA543" s="319" t="s">
        <v>45</v>
      </c>
      <c r="AB543" s="294"/>
      <c r="AC543" s="321"/>
      <c r="AD543" s="321"/>
      <c r="AE543" s="319"/>
      <c r="AF543" s="319"/>
      <c r="AG543" s="319"/>
    </row>
    <row r="544" spans="1:33" ht="31" x14ac:dyDescent="0.2">
      <c r="A544" s="194" t="s">
        <v>1134</v>
      </c>
      <c r="B544" s="319">
        <v>261</v>
      </c>
      <c r="C544" s="65" t="s">
        <v>44</v>
      </c>
      <c r="D544" s="319" t="s">
        <v>45</v>
      </c>
      <c r="E544" s="318">
        <v>0</v>
      </c>
      <c r="F544" s="319" t="s">
        <v>846</v>
      </c>
      <c r="G544" s="320" t="s">
        <v>869</v>
      </c>
      <c r="H544" s="318" t="s">
        <v>1133</v>
      </c>
      <c r="I544" s="318"/>
      <c r="J544" s="318" t="s">
        <v>1133</v>
      </c>
      <c r="K544" s="318" t="s">
        <v>1132</v>
      </c>
      <c r="L544" s="294" t="s">
        <v>1145</v>
      </c>
      <c r="M544" s="293" t="s">
        <v>638</v>
      </c>
      <c r="N544" s="293" t="s">
        <v>638</v>
      </c>
      <c r="O544" s="293" t="s">
        <v>1163</v>
      </c>
      <c r="P544" s="318">
        <v>0</v>
      </c>
      <c r="Q544" s="319">
        <v>5</v>
      </c>
      <c r="R544" s="103">
        <f t="shared" si="35"/>
        <v>1</v>
      </c>
      <c r="S544" s="320"/>
      <c r="T544" s="103">
        <f t="shared" si="34"/>
        <v>0</v>
      </c>
      <c r="U544" s="319">
        <v>3</v>
      </c>
      <c r="V544" s="103">
        <f t="shared" si="33"/>
        <v>1</v>
      </c>
      <c r="W544" s="327" t="s">
        <v>305</v>
      </c>
      <c r="X544" s="324">
        <f t="shared" si="32"/>
        <v>1</v>
      </c>
      <c r="Y544" s="338" t="s">
        <v>846</v>
      </c>
      <c r="Z544" s="343" t="s">
        <v>869</v>
      </c>
      <c r="AA544" s="319" t="s">
        <v>45</v>
      </c>
      <c r="AB544" s="294"/>
      <c r="AC544" s="321"/>
      <c r="AD544" s="321"/>
      <c r="AE544" s="319"/>
      <c r="AF544" s="319"/>
      <c r="AG544" s="319"/>
    </row>
    <row r="545" spans="1:33" ht="31" x14ac:dyDescent="0.2">
      <c r="A545" s="194" t="s">
        <v>1134</v>
      </c>
      <c r="B545" s="319">
        <v>261</v>
      </c>
      <c r="C545" s="65" t="s">
        <v>44</v>
      </c>
      <c r="D545" s="319" t="s">
        <v>45</v>
      </c>
      <c r="E545" s="318">
        <v>0</v>
      </c>
      <c r="F545" s="319" t="s">
        <v>829</v>
      </c>
      <c r="G545" s="320" t="s">
        <v>870</v>
      </c>
      <c r="H545" s="318" t="s">
        <v>1133</v>
      </c>
      <c r="I545" s="318"/>
      <c r="J545" s="318" t="s">
        <v>1133</v>
      </c>
      <c r="K545" s="318" t="s">
        <v>1132</v>
      </c>
      <c r="L545" s="294" t="s">
        <v>1145</v>
      </c>
      <c r="M545" s="293" t="s">
        <v>638</v>
      </c>
      <c r="N545" s="293" t="s">
        <v>638</v>
      </c>
      <c r="O545" s="293" t="s">
        <v>1163</v>
      </c>
      <c r="P545" s="318">
        <v>0</v>
      </c>
      <c r="Q545" s="319">
        <v>5</v>
      </c>
      <c r="R545" s="103">
        <f t="shared" si="35"/>
        <v>1</v>
      </c>
      <c r="S545" s="320"/>
      <c r="T545" s="103">
        <f t="shared" si="34"/>
        <v>0</v>
      </c>
      <c r="U545" s="319">
        <v>3</v>
      </c>
      <c r="V545" s="103">
        <f t="shared" si="33"/>
        <v>1</v>
      </c>
      <c r="W545" s="327" t="s">
        <v>331</v>
      </c>
      <c r="X545" s="324">
        <f t="shared" si="32"/>
        <v>1</v>
      </c>
      <c r="Y545" s="338" t="s">
        <v>829</v>
      </c>
      <c r="Z545" s="343" t="s">
        <v>870</v>
      </c>
      <c r="AA545" s="319" t="s">
        <v>45</v>
      </c>
      <c r="AB545" s="294"/>
      <c r="AC545" s="321"/>
      <c r="AD545" s="321"/>
      <c r="AE545" s="319"/>
      <c r="AF545" s="319"/>
      <c r="AG545" s="319"/>
    </row>
    <row r="546" spans="1:33" ht="31" x14ac:dyDescent="0.2">
      <c r="A546" s="194" t="s">
        <v>1134</v>
      </c>
      <c r="B546" s="319">
        <v>261</v>
      </c>
      <c r="C546" s="65" t="s">
        <v>44</v>
      </c>
      <c r="D546" s="319" t="s">
        <v>45</v>
      </c>
      <c r="E546" s="318">
        <v>0</v>
      </c>
      <c r="F546" s="319" t="s">
        <v>829</v>
      </c>
      <c r="G546" s="320" t="s">
        <v>871</v>
      </c>
      <c r="H546" s="318" t="s">
        <v>1133</v>
      </c>
      <c r="I546" s="318"/>
      <c r="J546" s="318" t="s">
        <v>1133</v>
      </c>
      <c r="K546" s="318" t="s">
        <v>1132</v>
      </c>
      <c r="L546" s="294" t="s">
        <v>1145</v>
      </c>
      <c r="M546" s="293" t="s">
        <v>638</v>
      </c>
      <c r="N546" s="293" t="s">
        <v>638</v>
      </c>
      <c r="O546" s="293" t="s">
        <v>1163</v>
      </c>
      <c r="P546" s="318">
        <v>0</v>
      </c>
      <c r="Q546" s="319">
        <v>5</v>
      </c>
      <c r="R546" s="103">
        <f t="shared" si="35"/>
        <v>1</v>
      </c>
      <c r="S546" s="320"/>
      <c r="T546" s="103">
        <f t="shared" si="34"/>
        <v>0</v>
      </c>
      <c r="U546" s="319">
        <v>3</v>
      </c>
      <c r="V546" s="103">
        <f t="shared" si="33"/>
        <v>1</v>
      </c>
      <c r="W546" s="327" t="s">
        <v>305</v>
      </c>
      <c r="X546" s="324">
        <f t="shared" si="32"/>
        <v>1</v>
      </c>
      <c r="Y546" s="338" t="s">
        <v>829</v>
      </c>
      <c r="Z546" s="343" t="s">
        <v>871</v>
      </c>
      <c r="AA546" s="319" t="s">
        <v>45</v>
      </c>
      <c r="AB546" s="294"/>
      <c r="AC546" s="321"/>
      <c r="AD546" s="321"/>
      <c r="AE546" s="319"/>
      <c r="AF546" s="319"/>
      <c r="AG546" s="319"/>
    </row>
    <row r="547" spans="1:33" ht="31" x14ac:dyDescent="0.2">
      <c r="A547" s="194" t="s">
        <v>1134</v>
      </c>
      <c r="B547" s="319">
        <v>261</v>
      </c>
      <c r="C547" s="65" t="s">
        <v>44</v>
      </c>
      <c r="D547" s="319" t="s">
        <v>45</v>
      </c>
      <c r="E547" s="318">
        <v>0</v>
      </c>
      <c r="F547" s="319" t="s">
        <v>829</v>
      </c>
      <c r="G547" s="320" t="s">
        <v>872</v>
      </c>
      <c r="H547" s="318" t="s">
        <v>1133</v>
      </c>
      <c r="I547" s="318"/>
      <c r="J547" s="318" t="s">
        <v>1133</v>
      </c>
      <c r="K547" s="318" t="s">
        <v>1132</v>
      </c>
      <c r="L547" s="294" t="s">
        <v>1145</v>
      </c>
      <c r="M547" s="294" t="s">
        <v>638</v>
      </c>
      <c r="N547" s="294" t="s">
        <v>638</v>
      </c>
      <c r="O547" s="294" t="s">
        <v>1163</v>
      </c>
      <c r="P547" s="318">
        <v>0</v>
      </c>
      <c r="Q547" s="319">
        <v>5</v>
      </c>
      <c r="R547" s="103">
        <f t="shared" si="35"/>
        <v>1</v>
      </c>
      <c r="S547" s="320"/>
      <c r="T547" s="103">
        <f t="shared" si="34"/>
        <v>0</v>
      </c>
      <c r="U547" s="319">
        <v>3</v>
      </c>
      <c r="V547" s="103">
        <f t="shared" si="33"/>
        <v>1</v>
      </c>
      <c r="W547" s="327" t="s">
        <v>305</v>
      </c>
      <c r="X547" s="324">
        <f t="shared" si="32"/>
        <v>1</v>
      </c>
      <c r="Y547" s="338" t="s">
        <v>829</v>
      </c>
      <c r="Z547" s="343" t="s">
        <v>872</v>
      </c>
      <c r="AA547" s="319" t="s">
        <v>45</v>
      </c>
      <c r="AB547" s="294"/>
      <c r="AC547" s="321"/>
      <c r="AD547" s="321"/>
      <c r="AE547" s="319"/>
      <c r="AF547" s="319"/>
      <c r="AG547" s="319"/>
    </row>
    <row r="548" spans="1:33" ht="31" x14ac:dyDescent="0.2">
      <c r="A548" s="194" t="s">
        <v>1134</v>
      </c>
      <c r="B548" s="319">
        <v>261</v>
      </c>
      <c r="C548" s="65" t="s">
        <v>44</v>
      </c>
      <c r="D548" s="319" t="s">
        <v>45</v>
      </c>
      <c r="E548" s="318">
        <v>0</v>
      </c>
      <c r="F548" s="319" t="s">
        <v>846</v>
      </c>
      <c r="G548" s="320" t="s">
        <v>873</v>
      </c>
      <c r="H548" s="318" t="s">
        <v>1133</v>
      </c>
      <c r="I548" s="318"/>
      <c r="J548" s="318" t="s">
        <v>1133</v>
      </c>
      <c r="K548" s="318" t="s">
        <v>1132</v>
      </c>
      <c r="L548" s="294" t="s">
        <v>1145</v>
      </c>
      <c r="M548" s="294" t="s">
        <v>638</v>
      </c>
      <c r="N548" s="294" t="s">
        <v>638</v>
      </c>
      <c r="O548" s="294" t="s">
        <v>1163</v>
      </c>
      <c r="P548" s="318">
        <v>0</v>
      </c>
      <c r="Q548" s="319">
        <v>5</v>
      </c>
      <c r="R548" s="103">
        <f t="shared" si="35"/>
        <v>1</v>
      </c>
      <c r="S548" s="320"/>
      <c r="T548" s="103">
        <f t="shared" si="34"/>
        <v>0</v>
      </c>
      <c r="U548" s="319">
        <v>3</v>
      </c>
      <c r="V548" s="103">
        <f t="shared" si="33"/>
        <v>1</v>
      </c>
      <c r="W548" s="327" t="s">
        <v>305</v>
      </c>
      <c r="X548" s="324">
        <f t="shared" si="32"/>
        <v>1</v>
      </c>
      <c r="Y548" s="338" t="s">
        <v>846</v>
      </c>
      <c r="Z548" s="343" t="s">
        <v>873</v>
      </c>
      <c r="AA548" s="319" t="s">
        <v>45</v>
      </c>
      <c r="AB548" s="294"/>
      <c r="AC548" s="321"/>
      <c r="AD548" s="321"/>
      <c r="AE548" s="319"/>
      <c r="AF548" s="319"/>
      <c r="AG548" s="319"/>
    </row>
    <row r="549" spans="1:33" ht="31" x14ac:dyDescent="0.2">
      <c r="A549" s="194" t="s">
        <v>1134</v>
      </c>
      <c r="B549" s="319">
        <v>261</v>
      </c>
      <c r="C549" s="65" t="s">
        <v>44</v>
      </c>
      <c r="D549" s="319" t="s">
        <v>45</v>
      </c>
      <c r="E549" s="318">
        <v>0</v>
      </c>
      <c r="F549" s="319" t="s">
        <v>832</v>
      </c>
      <c r="G549" s="320" t="s">
        <v>874</v>
      </c>
      <c r="H549" s="318" t="s">
        <v>1133</v>
      </c>
      <c r="I549" s="318"/>
      <c r="J549" s="318" t="s">
        <v>1133</v>
      </c>
      <c r="K549" s="318" t="s">
        <v>1132</v>
      </c>
      <c r="L549" s="294" t="s">
        <v>1145</v>
      </c>
      <c r="M549" s="293" t="s">
        <v>638</v>
      </c>
      <c r="N549" s="293" t="s">
        <v>638</v>
      </c>
      <c r="O549" s="293" t="s">
        <v>1163</v>
      </c>
      <c r="P549" s="318">
        <v>0</v>
      </c>
      <c r="Q549" s="319">
        <v>5</v>
      </c>
      <c r="R549" s="103">
        <f t="shared" si="35"/>
        <v>1</v>
      </c>
      <c r="S549" s="320"/>
      <c r="T549" s="103">
        <f t="shared" si="34"/>
        <v>0</v>
      </c>
      <c r="U549" s="319">
        <v>3</v>
      </c>
      <c r="V549" s="103">
        <f t="shared" si="33"/>
        <v>1</v>
      </c>
      <c r="W549" s="327" t="s">
        <v>305</v>
      </c>
      <c r="X549" s="324">
        <f t="shared" si="32"/>
        <v>1</v>
      </c>
      <c r="Y549" s="338" t="s">
        <v>832</v>
      </c>
      <c r="Z549" s="343" t="s">
        <v>874</v>
      </c>
      <c r="AA549" s="319" t="s">
        <v>45</v>
      </c>
      <c r="AB549" s="294"/>
      <c r="AC549" s="321"/>
      <c r="AD549" s="321"/>
      <c r="AE549" s="319"/>
      <c r="AF549" s="319"/>
      <c r="AG549" s="319"/>
    </row>
    <row r="550" spans="1:33" ht="51" x14ac:dyDescent="0.2">
      <c r="A550" s="194" t="s">
        <v>1134</v>
      </c>
      <c r="B550" s="319">
        <v>261</v>
      </c>
      <c r="C550" s="65" t="s">
        <v>44</v>
      </c>
      <c r="D550" s="319" t="s">
        <v>45</v>
      </c>
      <c r="E550" s="318">
        <v>0</v>
      </c>
      <c r="F550" s="319" t="s">
        <v>846</v>
      </c>
      <c r="G550" s="320" t="s">
        <v>875</v>
      </c>
      <c r="H550" s="318" t="s">
        <v>1133</v>
      </c>
      <c r="I550" s="318"/>
      <c r="J550" s="318" t="s">
        <v>1133</v>
      </c>
      <c r="K550" s="318" t="s">
        <v>1132</v>
      </c>
      <c r="L550" s="294" t="s">
        <v>1145</v>
      </c>
      <c r="M550" s="293" t="s">
        <v>638</v>
      </c>
      <c r="N550" s="293" t="s">
        <v>638</v>
      </c>
      <c r="O550" s="293" t="s">
        <v>1163</v>
      </c>
      <c r="P550" s="318">
        <v>0</v>
      </c>
      <c r="Q550" s="319">
        <v>5</v>
      </c>
      <c r="R550" s="103">
        <f t="shared" si="35"/>
        <v>1</v>
      </c>
      <c r="S550" s="320"/>
      <c r="T550" s="103">
        <f t="shared" si="34"/>
        <v>0</v>
      </c>
      <c r="U550" s="319">
        <v>3</v>
      </c>
      <c r="V550" s="103">
        <f t="shared" si="33"/>
        <v>1</v>
      </c>
      <c r="W550" s="327" t="s">
        <v>305</v>
      </c>
      <c r="X550" s="324">
        <f t="shared" si="32"/>
        <v>1</v>
      </c>
      <c r="Y550" s="338" t="s">
        <v>846</v>
      </c>
      <c r="Z550" s="343" t="s">
        <v>875</v>
      </c>
      <c r="AA550" s="319" t="s">
        <v>45</v>
      </c>
      <c r="AB550" s="294"/>
      <c r="AC550" s="321"/>
      <c r="AD550" s="321"/>
      <c r="AE550" s="319"/>
      <c r="AF550" s="319"/>
      <c r="AG550" s="319"/>
    </row>
    <row r="551" spans="1:33" ht="17" x14ac:dyDescent="0.2">
      <c r="A551" s="194" t="s">
        <v>1134</v>
      </c>
      <c r="B551" s="319">
        <v>261</v>
      </c>
      <c r="C551" s="65" t="s">
        <v>44</v>
      </c>
      <c r="D551" s="319" t="s">
        <v>45</v>
      </c>
      <c r="E551" s="318">
        <v>0</v>
      </c>
      <c r="F551" s="319" t="s">
        <v>832</v>
      </c>
      <c r="G551" s="320" t="s">
        <v>876</v>
      </c>
      <c r="H551" s="318" t="s">
        <v>1133</v>
      </c>
      <c r="I551" s="318"/>
      <c r="J551" s="318" t="s">
        <v>1133</v>
      </c>
      <c r="K551" s="318" t="s">
        <v>1132</v>
      </c>
      <c r="L551" s="293" t="s">
        <v>1145</v>
      </c>
      <c r="M551" s="293" t="s">
        <v>49</v>
      </c>
      <c r="N551" s="293" t="s">
        <v>49</v>
      </c>
      <c r="O551" s="293" t="s">
        <v>1163</v>
      </c>
      <c r="P551" s="318">
        <v>0</v>
      </c>
      <c r="Q551" s="319">
        <v>5</v>
      </c>
      <c r="R551" s="103">
        <f t="shared" si="35"/>
        <v>1</v>
      </c>
      <c r="S551" s="320"/>
      <c r="T551" s="103">
        <f t="shared" si="34"/>
        <v>0</v>
      </c>
      <c r="U551" s="319">
        <v>3</v>
      </c>
      <c r="V551" s="103">
        <f t="shared" si="33"/>
        <v>1</v>
      </c>
      <c r="W551" s="327" t="s">
        <v>637</v>
      </c>
      <c r="X551" s="324">
        <f t="shared" ref="X551:X612" si="36">IF(W551&lt;&gt;"",1,0)</f>
        <v>1</v>
      </c>
      <c r="Y551" s="338" t="s">
        <v>832</v>
      </c>
      <c r="Z551" s="343" t="s">
        <v>876</v>
      </c>
      <c r="AA551" s="319" t="s">
        <v>45</v>
      </c>
      <c r="AB551" s="294"/>
      <c r="AC551" s="321"/>
      <c r="AD551" s="321"/>
      <c r="AE551" s="319"/>
      <c r="AF551" s="319"/>
      <c r="AG551" s="319"/>
    </row>
    <row r="552" spans="1:33" ht="17" x14ac:dyDescent="0.2">
      <c r="A552" s="194" t="s">
        <v>1134</v>
      </c>
      <c r="B552" s="319">
        <v>261</v>
      </c>
      <c r="C552" s="65" t="s">
        <v>44</v>
      </c>
      <c r="D552" s="319" t="s">
        <v>45</v>
      </c>
      <c r="E552" s="318">
        <v>0</v>
      </c>
      <c r="F552" s="319" t="s">
        <v>846</v>
      </c>
      <c r="G552" s="320" t="s">
        <v>877</v>
      </c>
      <c r="H552" s="318" t="s">
        <v>1133</v>
      </c>
      <c r="I552" s="318"/>
      <c r="J552" s="318" t="s">
        <v>1133</v>
      </c>
      <c r="K552" s="318" t="s">
        <v>1132</v>
      </c>
      <c r="L552" s="293" t="s">
        <v>52</v>
      </c>
      <c r="M552" s="293" t="s">
        <v>52</v>
      </c>
      <c r="N552" s="293" t="s">
        <v>1143</v>
      </c>
      <c r="O552" s="293" t="s">
        <v>1143</v>
      </c>
      <c r="P552" s="318">
        <v>0</v>
      </c>
      <c r="Q552" s="319">
        <v>3</v>
      </c>
      <c r="R552" s="103">
        <f t="shared" si="35"/>
        <v>1</v>
      </c>
      <c r="S552" s="321" t="s">
        <v>58</v>
      </c>
      <c r="T552" s="103">
        <f t="shared" si="34"/>
        <v>0</v>
      </c>
      <c r="U552" s="319">
        <v>2</v>
      </c>
      <c r="V552" s="103">
        <f t="shared" si="33"/>
        <v>1</v>
      </c>
      <c r="W552" s="327" t="s">
        <v>58</v>
      </c>
      <c r="X552" s="324">
        <f t="shared" si="36"/>
        <v>1</v>
      </c>
      <c r="Y552" s="338" t="s">
        <v>846</v>
      </c>
      <c r="Z552" s="343" t="s">
        <v>877</v>
      </c>
      <c r="AA552" s="319" t="s">
        <v>45</v>
      </c>
      <c r="AB552" s="294"/>
      <c r="AC552" s="321"/>
      <c r="AD552" s="321"/>
      <c r="AE552" s="319"/>
      <c r="AF552" s="319"/>
      <c r="AG552" s="319"/>
    </row>
    <row r="553" spans="1:33" ht="51" x14ac:dyDescent="0.2">
      <c r="A553" s="194" t="s">
        <v>1134</v>
      </c>
      <c r="B553" s="319">
        <v>261</v>
      </c>
      <c r="C553" s="65" t="s">
        <v>44</v>
      </c>
      <c r="D553" s="319" t="s">
        <v>45</v>
      </c>
      <c r="E553" s="318">
        <v>0</v>
      </c>
      <c r="F553" s="319" t="s">
        <v>832</v>
      </c>
      <c r="G553" s="320" t="s">
        <v>878</v>
      </c>
      <c r="H553" s="318" t="s">
        <v>1133</v>
      </c>
      <c r="I553" s="318"/>
      <c r="J553" s="318" t="s">
        <v>1133</v>
      </c>
      <c r="K553" s="318" t="s">
        <v>1132</v>
      </c>
      <c r="L553" s="293" t="s">
        <v>52</v>
      </c>
      <c r="M553" s="293" t="s">
        <v>52</v>
      </c>
      <c r="N553" s="293" t="s">
        <v>1143</v>
      </c>
      <c r="O553" s="293" t="s">
        <v>1143</v>
      </c>
      <c r="P553" s="318">
        <v>0</v>
      </c>
      <c r="Q553" s="319">
        <v>3</v>
      </c>
      <c r="R553" s="103">
        <f t="shared" si="35"/>
        <v>1</v>
      </c>
      <c r="S553" s="320"/>
      <c r="T553" s="103">
        <f t="shared" si="34"/>
        <v>1</v>
      </c>
      <c r="U553" s="319">
        <v>2</v>
      </c>
      <c r="V553" s="103">
        <f t="shared" si="33"/>
        <v>1</v>
      </c>
      <c r="W553" s="327"/>
      <c r="X553" s="324">
        <f t="shared" si="36"/>
        <v>0</v>
      </c>
      <c r="Y553" s="338" t="s">
        <v>832</v>
      </c>
      <c r="Z553" s="343" t="s">
        <v>878</v>
      </c>
      <c r="AA553" s="319" t="s">
        <v>45</v>
      </c>
      <c r="AB553" s="294"/>
      <c r="AC553" s="321"/>
      <c r="AD553" s="321"/>
      <c r="AE553" s="319"/>
      <c r="AF553" s="319"/>
      <c r="AG553" s="319"/>
    </row>
    <row r="554" spans="1:33" ht="34" x14ac:dyDescent="0.2">
      <c r="A554" s="194" t="s">
        <v>1134</v>
      </c>
      <c r="B554" s="319">
        <v>261</v>
      </c>
      <c r="C554" s="65" t="s">
        <v>44</v>
      </c>
      <c r="D554" s="319" t="s">
        <v>45</v>
      </c>
      <c r="E554" s="318">
        <v>0</v>
      </c>
      <c r="F554" s="319" t="s">
        <v>829</v>
      </c>
      <c r="G554" s="320" t="s">
        <v>879</v>
      </c>
      <c r="H554" s="318" t="s">
        <v>1133</v>
      </c>
      <c r="I554" s="318"/>
      <c r="J554" s="318" t="s">
        <v>1133</v>
      </c>
      <c r="K554" s="318" t="s">
        <v>1132</v>
      </c>
      <c r="L554" s="293" t="s">
        <v>52</v>
      </c>
      <c r="M554" s="293" t="s">
        <v>52</v>
      </c>
      <c r="N554" s="293" t="s">
        <v>1143</v>
      </c>
      <c r="O554" s="293" t="s">
        <v>1143</v>
      </c>
      <c r="P554" s="318">
        <v>0</v>
      </c>
      <c r="Q554" s="319"/>
      <c r="R554" s="103">
        <f t="shared" si="35"/>
        <v>0</v>
      </c>
      <c r="S554" s="320"/>
      <c r="T554" s="103">
        <f t="shared" si="34"/>
        <v>0</v>
      </c>
      <c r="U554" s="319">
        <v>2</v>
      </c>
      <c r="V554" s="103">
        <f t="shared" si="33"/>
        <v>1</v>
      </c>
      <c r="W554" s="327" t="s">
        <v>58</v>
      </c>
      <c r="X554" s="324">
        <f t="shared" si="36"/>
        <v>1</v>
      </c>
      <c r="Y554" s="338" t="s">
        <v>829</v>
      </c>
      <c r="Z554" s="343" t="s">
        <v>879</v>
      </c>
      <c r="AA554" s="319" t="s">
        <v>45</v>
      </c>
      <c r="AB554" s="294" t="s">
        <v>261</v>
      </c>
      <c r="AC554" s="321" t="s">
        <v>112</v>
      </c>
      <c r="AD554" s="321"/>
      <c r="AE554" s="319"/>
      <c r="AF554" s="319"/>
      <c r="AG554" s="319"/>
    </row>
    <row r="555" spans="1:33" ht="34" x14ac:dyDescent="0.2">
      <c r="A555" s="194" t="s">
        <v>1134</v>
      </c>
      <c r="B555" s="319">
        <v>261</v>
      </c>
      <c r="C555" s="65" t="s">
        <v>44</v>
      </c>
      <c r="D555" s="319" t="s">
        <v>45</v>
      </c>
      <c r="E555" s="318">
        <v>0</v>
      </c>
      <c r="F555" s="319" t="s">
        <v>832</v>
      </c>
      <c r="G555" s="320" t="s">
        <v>880</v>
      </c>
      <c r="H555" s="318" t="s">
        <v>1133</v>
      </c>
      <c r="I555" s="318"/>
      <c r="J555" s="318" t="s">
        <v>1133</v>
      </c>
      <c r="K555" s="318" t="s">
        <v>1132</v>
      </c>
      <c r="L555" s="293" t="s">
        <v>52</v>
      </c>
      <c r="M555" s="293" t="s">
        <v>52</v>
      </c>
      <c r="N555" s="293" t="s">
        <v>1143</v>
      </c>
      <c r="O555" s="293" t="s">
        <v>1143</v>
      </c>
      <c r="P555" s="318">
        <v>0</v>
      </c>
      <c r="Q555" s="319"/>
      <c r="R555" s="103">
        <f t="shared" si="35"/>
        <v>0</v>
      </c>
      <c r="S555" s="294" t="s">
        <v>305</v>
      </c>
      <c r="T555" s="103">
        <f t="shared" si="34"/>
        <v>0</v>
      </c>
      <c r="U555" s="319">
        <v>2</v>
      </c>
      <c r="V555" s="103">
        <f t="shared" si="33"/>
        <v>1</v>
      </c>
      <c r="W555" s="327" t="s">
        <v>302</v>
      </c>
      <c r="X555" s="324">
        <f t="shared" si="36"/>
        <v>1</v>
      </c>
      <c r="Y555" s="338" t="s">
        <v>832</v>
      </c>
      <c r="Z555" s="343" t="s">
        <v>880</v>
      </c>
      <c r="AA555" s="319" t="s">
        <v>45</v>
      </c>
      <c r="AB555" s="294"/>
      <c r="AC555" s="321"/>
      <c r="AD555" s="321"/>
      <c r="AE555" s="319"/>
      <c r="AF555" s="319"/>
      <c r="AG555" s="319"/>
    </row>
    <row r="556" spans="1:33" ht="17" x14ac:dyDescent="0.2">
      <c r="A556" s="194" t="s">
        <v>1134</v>
      </c>
      <c r="B556" s="319">
        <v>261</v>
      </c>
      <c r="C556" s="65" t="s">
        <v>44</v>
      </c>
      <c r="D556" s="319" t="s">
        <v>45</v>
      </c>
      <c r="E556" s="318">
        <v>0</v>
      </c>
      <c r="F556" s="319" t="s">
        <v>829</v>
      </c>
      <c r="G556" s="320" t="s">
        <v>881</v>
      </c>
      <c r="H556" s="318" t="s">
        <v>1133</v>
      </c>
      <c r="I556" s="318"/>
      <c r="J556" s="318" t="s">
        <v>1133</v>
      </c>
      <c r="K556" s="318" t="s">
        <v>1132</v>
      </c>
      <c r="L556" s="293" t="s">
        <v>1145</v>
      </c>
      <c r="M556" s="293" t="s">
        <v>49</v>
      </c>
      <c r="N556" s="293" t="s">
        <v>49</v>
      </c>
      <c r="O556" s="293" t="s">
        <v>1163</v>
      </c>
      <c r="P556" s="318">
        <v>0</v>
      </c>
      <c r="Q556" s="319"/>
      <c r="R556" s="103">
        <f t="shared" si="35"/>
        <v>0</v>
      </c>
      <c r="S556" s="320"/>
      <c r="T556" s="103">
        <f t="shared" si="34"/>
        <v>1</v>
      </c>
      <c r="U556" s="319">
        <v>2</v>
      </c>
      <c r="V556" s="103">
        <f t="shared" si="33"/>
        <v>1</v>
      </c>
      <c r="W556" s="327" t="s">
        <v>637</v>
      </c>
      <c r="X556" s="324">
        <f t="shared" si="36"/>
        <v>1</v>
      </c>
      <c r="Y556" s="338" t="s">
        <v>829</v>
      </c>
      <c r="Z556" s="343" t="s">
        <v>881</v>
      </c>
      <c r="AA556" s="319" t="s">
        <v>45</v>
      </c>
      <c r="AB556" s="294"/>
      <c r="AC556" s="321"/>
      <c r="AD556" s="321"/>
      <c r="AE556" s="319"/>
      <c r="AF556" s="319"/>
      <c r="AG556" s="319"/>
    </row>
    <row r="557" spans="1:33" ht="187" x14ac:dyDescent="0.2">
      <c r="A557" s="194" t="s">
        <v>1134</v>
      </c>
      <c r="B557" s="319">
        <v>261</v>
      </c>
      <c r="C557" s="65" t="s">
        <v>44</v>
      </c>
      <c r="D557" s="319" t="s">
        <v>45</v>
      </c>
      <c r="E557" s="318">
        <v>0</v>
      </c>
      <c r="F557" s="319" t="s">
        <v>846</v>
      </c>
      <c r="G557" s="320" t="s">
        <v>882</v>
      </c>
      <c r="H557" s="318" t="s">
        <v>1133</v>
      </c>
      <c r="I557" s="318"/>
      <c r="J557" s="318" t="s">
        <v>1133</v>
      </c>
      <c r="K557" s="318" t="s">
        <v>1132</v>
      </c>
      <c r="L557" s="293" t="s">
        <v>52</v>
      </c>
      <c r="M557" s="293" t="s">
        <v>52</v>
      </c>
      <c r="N557" s="293" t="s">
        <v>1143</v>
      </c>
      <c r="O557" s="293" t="s">
        <v>1143</v>
      </c>
      <c r="P557" s="318">
        <v>0</v>
      </c>
      <c r="Q557" s="319">
        <v>3</v>
      </c>
      <c r="R557" s="103">
        <f t="shared" si="35"/>
        <v>1</v>
      </c>
      <c r="S557" s="294" t="s">
        <v>340</v>
      </c>
      <c r="T557" s="103">
        <f t="shared" si="34"/>
        <v>0</v>
      </c>
      <c r="U557" s="319">
        <v>2</v>
      </c>
      <c r="V557" s="103">
        <f t="shared" si="33"/>
        <v>1</v>
      </c>
      <c r="W557" s="327" t="s">
        <v>637</v>
      </c>
      <c r="X557" s="324">
        <f t="shared" si="36"/>
        <v>1</v>
      </c>
      <c r="Y557" s="338" t="s">
        <v>846</v>
      </c>
      <c r="Z557" s="343" t="s">
        <v>882</v>
      </c>
      <c r="AA557" s="319" t="s">
        <v>45</v>
      </c>
      <c r="AB557" s="294"/>
      <c r="AC557" s="321"/>
      <c r="AD557" s="321"/>
      <c r="AE557" s="319"/>
      <c r="AF557" s="319"/>
      <c r="AG557" s="319"/>
    </row>
    <row r="558" spans="1:33" ht="17" x14ac:dyDescent="0.2">
      <c r="A558" s="194" t="s">
        <v>1134</v>
      </c>
      <c r="B558" s="319">
        <v>261</v>
      </c>
      <c r="C558" s="65" t="s">
        <v>44</v>
      </c>
      <c r="D558" s="319" t="s">
        <v>45</v>
      </c>
      <c r="E558" s="318">
        <v>0</v>
      </c>
      <c r="F558" s="319" t="s">
        <v>832</v>
      </c>
      <c r="G558" s="320" t="s">
        <v>883</v>
      </c>
      <c r="H558" s="318" t="s">
        <v>1133</v>
      </c>
      <c r="I558" s="318"/>
      <c r="J558" s="318" t="s">
        <v>1133</v>
      </c>
      <c r="K558" s="318" t="s">
        <v>1132</v>
      </c>
      <c r="L558" s="293" t="s">
        <v>52</v>
      </c>
      <c r="M558" s="293" t="s">
        <v>52</v>
      </c>
      <c r="N558" s="293" t="s">
        <v>1143</v>
      </c>
      <c r="O558" s="293" t="s">
        <v>1143</v>
      </c>
      <c r="P558" s="318">
        <v>0</v>
      </c>
      <c r="Q558" s="319">
        <v>3</v>
      </c>
      <c r="R558" s="103">
        <f t="shared" si="35"/>
        <v>1</v>
      </c>
      <c r="S558" s="321" t="s">
        <v>58</v>
      </c>
      <c r="T558" s="103">
        <f t="shared" si="34"/>
        <v>1</v>
      </c>
      <c r="U558" s="319">
        <v>2</v>
      </c>
      <c r="V558" s="103">
        <f t="shared" si="33"/>
        <v>1</v>
      </c>
      <c r="W558" s="327" t="s">
        <v>58</v>
      </c>
      <c r="X558" s="324">
        <f t="shared" si="36"/>
        <v>1</v>
      </c>
      <c r="Y558" s="338" t="s">
        <v>832</v>
      </c>
      <c r="Z558" s="343" t="s">
        <v>883</v>
      </c>
      <c r="AA558" s="319" t="s">
        <v>45</v>
      </c>
      <c r="AB558" s="294"/>
      <c r="AC558" s="321"/>
      <c r="AD558" s="321"/>
      <c r="AE558" s="319"/>
      <c r="AF558" s="319"/>
      <c r="AG558" s="319"/>
    </row>
    <row r="559" spans="1:33" ht="17" x14ac:dyDescent="0.2">
      <c r="A559" s="194" t="s">
        <v>1134</v>
      </c>
      <c r="B559" s="319">
        <v>261</v>
      </c>
      <c r="C559" s="65" t="s">
        <v>44</v>
      </c>
      <c r="D559" s="319" t="s">
        <v>45</v>
      </c>
      <c r="E559" s="318">
        <v>0</v>
      </c>
      <c r="F559" s="319" t="s">
        <v>829</v>
      </c>
      <c r="G559" s="320" t="s">
        <v>884</v>
      </c>
      <c r="H559" s="318" t="s">
        <v>1133</v>
      </c>
      <c r="I559" s="318"/>
      <c r="J559" s="318" t="s">
        <v>1133</v>
      </c>
      <c r="K559" s="318" t="s">
        <v>1132</v>
      </c>
      <c r="L559" s="293" t="s">
        <v>52</v>
      </c>
      <c r="M559" s="293" t="s">
        <v>52</v>
      </c>
      <c r="N559" s="293" t="s">
        <v>1143</v>
      </c>
      <c r="O559" s="293" t="s">
        <v>1143</v>
      </c>
      <c r="P559" s="318">
        <v>0</v>
      </c>
      <c r="Q559" s="319">
        <v>3</v>
      </c>
      <c r="R559" s="103">
        <f t="shared" si="35"/>
        <v>1</v>
      </c>
      <c r="S559" s="321" t="s">
        <v>58</v>
      </c>
      <c r="T559" s="103">
        <f t="shared" si="34"/>
        <v>1</v>
      </c>
      <c r="U559" s="319">
        <v>2</v>
      </c>
      <c r="V559" s="103">
        <f t="shared" si="33"/>
        <v>1</v>
      </c>
      <c r="W559" s="327" t="s">
        <v>58</v>
      </c>
      <c r="X559" s="324">
        <f t="shared" si="36"/>
        <v>1</v>
      </c>
      <c r="Y559" s="338" t="s">
        <v>829</v>
      </c>
      <c r="Z559" s="343" t="s">
        <v>884</v>
      </c>
      <c r="AA559" s="319" t="s">
        <v>45</v>
      </c>
      <c r="AB559" s="294"/>
      <c r="AC559" s="321"/>
      <c r="AD559" s="321"/>
      <c r="AE559" s="319"/>
      <c r="AF559" s="319"/>
      <c r="AG559" s="319"/>
    </row>
    <row r="560" spans="1:33" ht="34" x14ac:dyDescent="0.2">
      <c r="A560" s="194" t="s">
        <v>1134</v>
      </c>
      <c r="B560" s="319">
        <v>261</v>
      </c>
      <c r="C560" s="65" t="s">
        <v>44</v>
      </c>
      <c r="D560" s="319" t="s">
        <v>45</v>
      </c>
      <c r="E560" s="318">
        <v>0</v>
      </c>
      <c r="F560" s="319" t="s">
        <v>832</v>
      </c>
      <c r="G560" s="320" t="s">
        <v>885</v>
      </c>
      <c r="H560" s="318" t="s">
        <v>1133</v>
      </c>
      <c r="I560" s="318"/>
      <c r="J560" s="318" t="s">
        <v>1133</v>
      </c>
      <c r="K560" s="318" t="s">
        <v>1132</v>
      </c>
      <c r="L560" s="293" t="s">
        <v>52</v>
      </c>
      <c r="M560" s="293" t="s">
        <v>52</v>
      </c>
      <c r="N560" s="293" t="s">
        <v>1143</v>
      </c>
      <c r="O560" s="293" t="s">
        <v>1143</v>
      </c>
      <c r="P560" s="318">
        <v>0</v>
      </c>
      <c r="Q560" s="319">
        <v>6</v>
      </c>
      <c r="R560" s="103">
        <f t="shared" si="35"/>
        <v>1</v>
      </c>
      <c r="S560" s="320"/>
      <c r="T560" s="103">
        <f t="shared" si="34"/>
        <v>1</v>
      </c>
      <c r="U560" s="319">
        <v>4</v>
      </c>
      <c r="V560" s="103">
        <f t="shared" si="33"/>
        <v>1</v>
      </c>
      <c r="W560" s="327"/>
      <c r="X560" s="324">
        <f t="shared" si="36"/>
        <v>0</v>
      </c>
      <c r="Y560" s="338" t="s">
        <v>832</v>
      </c>
      <c r="Z560" s="343" t="s">
        <v>885</v>
      </c>
      <c r="AA560" s="319" t="s">
        <v>45</v>
      </c>
      <c r="AB560" s="294" t="s">
        <v>120</v>
      </c>
      <c r="AC560" s="321" t="s">
        <v>120</v>
      </c>
      <c r="AD560" s="321"/>
      <c r="AE560" s="319"/>
      <c r="AF560" s="319"/>
      <c r="AG560" s="319"/>
    </row>
    <row r="561" spans="1:33" ht="51" x14ac:dyDescent="0.2">
      <c r="A561" s="194" t="s">
        <v>1134</v>
      </c>
      <c r="B561" s="319">
        <v>261</v>
      </c>
      <c r="C561" s="65" t="s">
        <v>44</v>
      </c>
      <c r="D561" s="319" t="s">
        <v>45</v>
      </c>
      <c r="E561" s="318">
        <v>0</v>
      </c>
      <c r="F561" s="319" t="s">
        <v>846</v>
      </c>
      <c r="G561" s="320" t="s">
        <v>886</v>
      </c>
      <c r="H561" s="318" t="s">
        <v>1133</v>
      </c>
      <c r="I561" s="318"/>
      <c r="J561" s="318" t="s">
        <v>1133</v>
      </c>
      <c r="K561" s="318" t="s">
        <v>1132</v>
      </c>
      <c r="L561" s="293" t="s">
        <v>52</v>
      </c>
      <c r="M561" s="293" t="s">
        <v>52</v>
      </c>
      <c r="N561" s="293" t="s">
        <v>1143</v>
      </c>
      <c r="O561" s="293" t="s">
        <v>1143</v>
      </c>
      <c r="P561" s="318">
        <v>0</v>
      </c>
      <c r="Q561" s="319">
        <v>6</v>
      </c>
      <c r="R561" s="103">
        <f t="shared" si="35"/>
        <v>1</v>
      </c>
      <c r="S561" s="294" t="s">
        <v>305</v>
      </c>
      <c r="T561" s="103">
        <f t="shared" si="34"/>
        <v>0</v>
      </c>
      <c r="U561" s="319">
        <v>4</v>
      </c>
      <c r="V561" s="103">
        <f t="shared" si="33"/>
        <v>1</v>
      </c>
      <c r="W561" s="327" t="s">
        <v>58</v>
      </c>
      <c r="X561" s="324">
        <f t="shared" si="36"/>
        <v>1</v>
      </c>
      <c r="Y561" s="338" t="s">
        <v>846</v>
      </c>
      <c r="Z561" s="343" t="s">
        <v>886</v>
      </c>
      <c r="AA561" s="319" t="s">
        <v>45</v>
      </c>
      <c r="AB561" s="294"/>
      <c r="AC561" s="321"/>
      <c r="AD561" s="321"/>
      <c r="AE561" s="319"/>
      <c r="AF561" s="319"/>
      <c r="AG561" s="319"/>
    </row>
    <row r="562" spans="1:33" ht="34" x14ac:dyDescent="0.2">
      <c r="A562" s="194" t="s">
        <v>1134</v>
      </c>
      <c r="B562" s="319">
        <v>261</v>
      </c>
      <c r="C562" s="65" t="s">
        <v>44</v>
      </c>
      <c r="D562" s="319" t="s">
        <v>45</v>
      </c>
      <c r="E562" s="318">
        <v>0</v>
      </c>
      <c r="F562" s="319" t="s">
        <v>832</v>
      </c>
      <c r="G562" s="320" t="s">
        <v>887</v>
      </c>
      <c r="H562" s="318" t="s">
        <v>1133</v>
      </c>
      <c r="I562" s="318"/>
      <c r="J562" s="318" t="s">
        <v>1133</v>
      </c>
      <c r="K562" s="318" t="s">
        <v>1132</v>
      </c>
      <c r="L562" s="293" t="s">
        <v>52</v>
      </c>
      <c r="M562" s="293" t="s">
        <v>52</v>
      </c>
      <c r="N562" s="293" t="s">
        <v>1143</v>
      </c>
      <c r="O562" s="293" t="s">
        <v>1143</v>
      </c>
      <c r="P562" s="318">
        <v>0</v>
      </c>
      <c r="Q562" s="319">
        <v>6</v>
      </c>
      <c r="R562" s="103">
        <f t="shared" si="35"/>
        <v>1</v>
      </c>
      <c r="S562" s="320"/>
      <c r="T562" s="103">
        <f t="shared" si="34"/>
        <v>1</v>
      </c>
      <c r="U562" s="319">
        <v>4</v>
      </c>
      <c r="V562" s="103">
        <f t="shared" si="33"/>
        <v>1</v>
      </c>
      <c r="W562" s="327"/>
      <c r="X562" s="324">
        <f t="shared" si="36"/>
        <v>0</v>
      </c>
      <c r="Y562" s="338" t="s">
        <v>832</v>
      </c>
      <c r="Z562" s="343" t="s">
        <v>887</v>
      </c>
      <c r="AA562" s="319" t="s">
        <v>45</v>
      </c>
      <c r="AB562" s="294"/>
      <c r="AC562" s="321"/>
      <c r="AD562" s="321"/>
      <c r="AE562" s="319"/>
      <c r="AF562" s="319"/>
      <c r="AG562" s="319"/>
    </row>
    <row r="563" spans="1:33" ht="34" x14ac:dyDescent="0.2">
      <c r="A563" s="194" t="s">
        <v>1134</v>
      </c>
      <c r="B563" s="319">
        <v>261</v>
      </c>
      <c r="C563" s="65" t="s">
        <v>44</v>
      </c>
      <c r="D563" s="319" t="s">
        <v>45</v>
      </c>
      <c r="E563" s="318">
        <v>0</v>
      </c>
      <c r="F563" s="319" t="s">
        <v>832</v>
      </c>
      <c r="G563" s="320" t="s">
        <v>888</v>
      </c>
      <c r="H563" s="318" t="s">
        <v>1133</v>
      </c>
      <c r="I563" s="318"/>
      <c r="J563" s="318" t="s">
        <v>1133</v>
      </c>
      <c r="K563" s="318" t="s">
        <v>1132</v>
      </c>
      <c r="L563" s="294" t="s">
        <v>1145</v>
      </c>
      <c r="M563" s="293" t="s">
        <v>638</v>
      </c>
      <c r="N563" s="293" t="s">
        <v>638</v>
      </c>
      <c r="O563" s="293" t="s">
        <v>1163</v>
      </c>
      <c r="P563" s="318">
        <v>0</v>
      </c>
      <c r="Q563" s="319">
        <v>6</v>
      </c>
      <c r="R563" s="103">
        <f t="shared" si="35"/>
        <v>1</v>
      </c>
      <c r="S563" s="320"/>
      <c r="T563" s="103">
        <f t="shared" si="34"/>
        <v>0</v>
      </c>
      <c r="U563" s="319">
        <v>4</v>
      </c>
      <c r="V563" s="103">
        <f t="shared" si="33"/>
        <v>1</v>
      </c>
      <c r="W563" s="327" t="s">
        <v>58</v>
      </c>
      <c r="X563" s="324">
        <f t="shared" si="36"/>
        <v>1</v>
      </c>
      <c r="Y563" s="338" t="s">
        <v>832</v>
      </c>
      <c r="Z563" s="343" t="s">
        <v>888</v>
      </c>
      <c r="AA563" s="319" t="s">
        <v>45</v>
      </c>
      <c r="AB563" s="294"/>
      <c r="AC563" s="321"/>
      <c r="AD563" s="321"/>
      <c r="AE563" s="319"/>
      <c r="AF563" s="319"/>
      <c r="AG563" s="319"/>
    </row>
    <row r="564" spans="1:33" ht="85" x14ac:dyDescent="0.2">
      <c r="A564" s="194" t="s">
        <v>1134</v>
      </c>
      <c r="B564" s="319">
        <v>261</v>
      </c>
      <c r="C564" s="65" t="s">
        <v>44</v>
      </c>
      <c r="D564" s="319" t="s">
        <v>45</v>
      </c>
      <c r="E564" s="318">
        <v>0</v>
      </c>
      <c r="F564" s="319" t="s">
        <v>846</v>
      </c>
      <c r="G564" s="320" t="s">
        <v>889</v>
      </c>
      <c r="H564" s="318" t="s">
        <v>1133</v>
      </c>
      <c r="I564" s="318"/>
      <c r="J564" s="318" t="s">
        <v>1133</v>
      </c>
      <c r="K564" s="318" t="s">
        <v>1132</v>
      </c>
      <c r="L564" s="293" t="s">
        <v>52</v>
      </c>
      <c r="M564" s="293" t="s">
        <v>52</v>
      </c>
      <c r="N564" s="293" t="s">
        <v>1143</v>
      </c>
      <c r="O564" s="293" t="s">
        <v>1143</v>
      </c>
      <c r="P564" s="318">
        <v>0</v>
      </c>
      <c r="Q564" s="319">
        <v>6</v>
      </c>
      <c r="R564" s="103">
        <f t="shared" si="35"/>
        <v>1</v>
      </c>
      <c r="S564" s="320"/>
      <c r="T564" s="103">
        <f t="shared" si="34"/>
        <v>0</v>
      </c>
      <c r="U564" s="319">
        <v>4</v>
      </c>
      <c r="V564" s="103">
        <f t="shared" si="33"/>
        <v>1</v>
      </c>
      <c r="W564" s="327"/>
      <c r="X564" s="324">
        <f t="shared" si="36"/>
        <v>0</v>
      </c>
      <c r="Y564" s="338" t="s">
        <v>846</v>
      </c>
      <c r="Z564" s="343" t="s">
        <v>889</v>
      </c>
      <c r="AA564" s="319" t="s">
        <v>45</v>
      </c>
      <c r="AB564" s="294"/>
      <c r="AC564" s="321"/>
      <c r="AD564" s="321"/>
      <c r="AE564" s="319"/>
      <c r="AF564" s="319"/>
      <c r="AG564" s="319"/>
    </row>
    <row r="565" spans="1:33" ht="68" x14ac:dyDescent="0.2">
      <c r="A565" s="194" t="s">
        <v>1134</v>
      </c>
      <c r="B565" s="319">
        <v>261</v>
      </c>
      <c r="C565" s="65" t="s">
        <v>44</v>
      </c>
      <c r="D565" s="319" t="s">
        <v>45</v>
      </c>
      <c r="E565" s="318">
        <v>0</v>
      </c>
      <c r="F565" s="319" t="s">
        <v>829</v>
      </c>
      <c r="G565" s="320" t="s">
        <v>890</v>
      </c>
      <c r="H565" s="318" t="s">
        <v>1133</v>
      </c>
      <c r="I565" s="318"/>
      <c r="J565" s="318" t="s">
        <v>1133</v>
      </c>
      <c r="K565" s="318" t="s">
        <v>1132</v>
      </c>
      <c r="L565" s="293" t="s">
        <v>52</v>
      </c>
      <c r="M565" s="293" t="s">
        <v>52</v>
      </c>
      <c r="N565" s="293" t="s">
        <v>1143</v>
      </c>
      <c r="O565" s="293" t="s">
        <v>1143</v>
      </c>
      <c r="P565" s="318">
        <v>0</v>
      </c>
      <c r="Q565" s="319">
        <v>6</v>
      </c>
      <c r="R565" s="103">
        <f t="shared" si="35"/>
        <v>1</v>
      </c>
      <c r="S565" s="294" t="s">
        <v>58</v>
      </c>
      <c r="T565" s="103">
        <f t="shared" si="34"/>
        <v>0</v>
      </c>
      <c r="U565" s="319">
        <v>4</v>
      </c>
      <c r="V565" s="103">
        <f t="shared" si="33"/>
        <v>1</v>
      </c>
      <c r="W565" s="327" t="s">
        <v>58</v>
      </c>
      <c r="X565" s="324">
        <f t="shared" si="36"/>
        <v>1</v>
      </c>
      <c r="Y565" s="338" t="s">
        <v>829</v>
      </c>
      <c r="Z565" s="343" t="s">
        <v>890</v>
      </c>
      <c r="AA565" s="319" t="s">
        <v>45</v>
      </c>
      <c r="AB565" s="294"/>
      <c r="AC565" s="321"/>
      <c r="AD565" s="321"/>
      <c r="AE565" s="319"/>
      <c r="AF565" s="319"/>
      <c r="AG565" s="319"/>
    </row>
    <row r="566" spans="1:33" ht="17" x14ac:dyDescent="0.2">
      <c r="A566" s="194" t="s">
        <v>1134</v>
      </c>
      <c r="B566" s="319">
        <v>261</v>
      </c>
      <c r="C566" s="65" t="s">
        <v>44</v>
      </c>
      <c r="D566" s="319" t="s">
        <v>45</v>
      </c>
      <c r="E566" s="318">
        <v>0</v>
      </c>
      <c r="F566" s="319" t="s">
        <v>832</v>
      </c>
      <c r="G566" s="320" t="s">
        <v>891</v>
      </c>
      <c r="H566" s="318" t="s">
        <v>1133</v>
      </c>
      <c r="I566" s="318"/>
      <c r="J566" s="318" t="s">
        <v>1133</v>
      </c>
      <c r="K566" s="318" t="s">
        <v>1132</v>
      </c>
      <c r="L566" s="293" t="s">
        <v>1145</v>
      </c>
      <c r="M566" s="293" t="s">
        <v>49</v>
      </c>
      <c r="N566" s="293" t="s">
        <v>49</v>
      </c>
      <c r="O566" s="293" t="s">
        <v>1163</v>
      </c>
      <c r="P566" s="318">
        <v>0</v>
      </c>
      <c r="Q566" s="319">
        <v>6</v>
      </c>
      <c r="R566" s="103">
        <f t="shared" si="35"/>
        <v>1</v>
      </c>
      <c r="S566" s="321" t="s">
        <v>637</v>
      </c>
      <c r="T566" s="103">
        <f t="shared" si="34"/>
        <v>1</v>
      </c>
      <c r="U566" s="319">
        <v>4</v>
      </c>
      <c r="V566" s="103">
        <f t="shared" si="33"/>
        <v>1</v>
      </c>
      <c r="W566" s="327" t="s">
        <v>58</v>
      </c>
      <c r="X566" s="324">
        <f t="shared" si="36"/>
        <v>1</v>
      </c>
      <c r="Y566" s="338" t="s">
        <v>832</v>
      </c>
      <c r="Z566" s="343" t="s">
        <v>891</v>
      </c>
      <c r="AA566" s="319" t="s">
        <v>45</v>
      </c>
      <c r="AB566" s="294"/>
      <c r="AC566" s="321"/>
      <c r="AD566" s="321"/>
      <c r="AE566" s="319"/>
      <c r="AF566" s="319"/>
      <c r="AG566" s="319"/>
    </row>
    <row r="567" spans="1:33" ht="51" x14ac:dyDescent="0.2">
      <c r="A567" s="194" t="s">
        <v>1134</v>
      </c>
      <c r="B567" s="319">
        <v>261</v>
      </c>
      <c r="C567" s="65" t="s">
        <v>44</v>
      </c>
      <c r="D567" s="319" t="s">
        <v>45</v>
      </c>
      <c r="E567" s="318">
        <v>0</v>
      </c>
      <c r="F567" s="319" t="s">
        <v>846</v>
      </c>
      <c r="G567" s="320" t="s">
        <v>892</v>
      </c>
      <c r="H567" s="318" t="s">
        <v>1133</v>
      </c>
      <c r="I567" s="318"/>
      <c r="J567" s="318" t="s">
        <v>1133</v>
      </c>
      <c r="K567" s="318" t="s">
        <v>1132</v>
      </c>
      <c r="L567" s="293" t="s">
        <v>52</v>
      </c>
      <c r="M567" s="293" t="s">
        <v>893</v>
      </c>
      <c r="N567" s="293" t="s">
        <v>108</v>
      </c>
      <c r="O567" s="293" t="s">
        <v>108</v>
      </c>
      <c r="P567" s="318">
        <v>0</v>
      </c>
      <c r="Q567" s="319">
        <v>7</v>
      </c>
      <c r="R567" s="103">
        <f t="shared" si="35"/>
        <v>1</v>
      </c>
      <c r="S567" s="320"/>
      <c r="T567" s="103">
        <f t="shared" si="34"/>
        <v>1</v>
      </c>
      <c r="U567" s="319">
        <v>4</v>
      </c>
      <c r="V567" s="103">
        <f t="shared" si="33"/>
        <v>1</v>
      </c>
      <c r="W567" s="327" t="s">
        <v>331</v>
      </c>
      <c r="X567" s="324">
        <f t="shared" si="36"/>
        <v>1</v>
      </c>
      <c r="Y567" s="338" t="s">
        <v>846</v>
      </c>
      <c r="Z567" s="343" t="s">
        <v>892</v>
      </c>
      <c r="AA567" s="319" t="s">
        <v>45</v>
      </c>
      <c r="AB567" s="294" t="s">
        <v>120</v>
      </c>
      <c r="AC567" s="321" t="s">
        <v>120</v>
      </c>
      <c r="AD567" s="321"/>
      <c r="AE567" s="319"/>
      <c r="AF567" s="319"/>
      <c r="AG567" s="319"/>
    </row>
    <row r="568" spans="1:33" ht="34" x14ac:dyDescent="0.2">
      <c r="A568" s="194" t="s">
        <v>1134</v>
      </c>
      <c r="B568" s="319">
        <v>261</v>
      </c>
      <c r="C568" s="65" t="s">
        <v>44</v>
      </c>
      <c r="D568" s="319" t="s">
        <v>45</v>
      </c>
      <c r="E568" s="318">
        <v>0</v>
      </c>
      <c r="F568" s="319" t="s">
        <v>829</v>
      </c>
      <c r="G568" s="320" t="s">
        <v>894</v>
      </c>
      <c r="H568" s="318" t="s">
        <v>1133</v>
      </c>
      <c r="I568" s="318"/>
      <c r="J568" s="318" t="s">
        <v>1133</v>
      </c>
      <c r="K568" s="318" t="s">
        <v>1132</v>
      </c>
      <c r="L568" s="293" t="s">
        <v>52</v>
      </c>
      <c r="M568" s="293" t="s">
        <v>52</v>
      </c>
      <c r="N568" s="293" t="s">
        <v>1143</v>
      </c>
      <c r="O568" s="293" t="s">
        <v>1143</v>
      </c>
      <c r="P568" s="318">
        <v>0</v>
      </c>
      <c r="Q568" s="319">
        <v>7</v>
      </c>
      <c r="R568" s="103">
        <f t="shared" si="35"/>
        <v>1</v>
      </c>
      <c r="S568" s="320"/>
      <c r="T568" s="103">
        <f t="shared" si="34"/>
        <v>0</v>
      </c>
      <c r="U568" s="319">
        <v>4</v>
      </c>
      <c r="V568" s="103">
        <f t="shared" si="33"/>
        <v>1</v>
      </c>
      <c r="W568" s="327" t="s">
        <v>331</v>
      </c>
      <c r="X568" s="324">
        <f t="shared" si="36"/>
        <v>1</v>
      </c>
      <c r="Y568" s="338" t="s">
        <v>829</v>
      </c>
      <c r="Z568" s="343" t="s">
        <v>894</v>
      </c>
      <c r="AA568" s="319" t="s">
        <v>45</v>
      </c>
      <c r="AB568" s="294"/>
      <c r="AC568" s="321"/>
      <c r="AD568" s="321"/>
      <c r="AE568" s="319"/>
      <c r="AF568" s="319"/>
      <c r="AG568" s="319"/>
    </row>
    <row r="569" spans="1:33" ht="34" x14ac:dyDescent="0.2">
      <c r="A569" s="194" t="s">
        <v>1134</v>
      </c>
      <c r="B569" s="319">
        <v>261</v>
      </c>
      <c r="C569" s="65" t="s">
        <v>44</v>
      </c>
      <c r="D569" s="319" t="s">
        <v>45</v>
      </c>
      <c r="E569" s="318">
        <v>0</v>
      </c>
      <c r="F569" s="319" t="s">
        <v>829</v>
      </c>
      <c r="G569" s="320" t="s">
        <v>895</v>
      </c>
      <c r="H569" s="318" t="s">
        <v>1133</v>
      </c>
      <c r="I569" s="318"/>
      <c r="J569" s="318" t="s">
        <v>1133</v>
      </c>
      <c r="K569" s="318" t="s">
        <v>1132</v>
      </c>
      <c r="L569" s="293" t="s">
        <v>52</v>
      </c>
      <c r="M569" s="293" t="s">
        <v>52</v>
      </c>
      <c r="N569" s="293" t="s">
        <v>1143</v>
      </c>
      <c r="O569" s="293" t="s">
        <v>1143</v>
      </c>
      <c r="P569" s="318">
        <v>0</v>
      </c>
      <c r="Q569" s="319">
        <v>7</v>
      </c>
      <c r="R569" s="103">
        <f t="shared" si="35"/>
        <v>1</v>
      </c>
      <c r="S569" s="320"/>
      <c r="T569" s="103">
        <f t="shared" si="34"/>
        <v>0</v>
      </c>
      <c r="U569" s="319">
        <v>4</v>
      </c>
      <c r="V569" s="103">
        <f t="shared" si="33"/>
        <v>1</v>
      </c>
      <c r="W569" s="327" t="s">
        <v>331</v>
      </c>
      <c r="X569" s="324">
        <f t="shared" si="36"/>
        <v>1</v>
      </c>
      <c r="Y569" s="338" t="s">
        <v>829</v>
      </c>
      <c r="Z569" s="343" t="s">
        <v>895</v>
      </c>
      <c r="AA569" s="319" t="s">
        <v>45</v>
      </c>
      <c r="AB569" s="294"/>
      <c r="AC569" s="321"/>
      <c r="AD569" s="321"/>
      <c r="AE569" s="319"/>
      <c r="AF569" s="319"/>
      <c r="AG569" s="319"/>
    </row>
    <row r="570" spans="1:33" ht="51" x14ac:dyDescent="0.2">
      <c r="A570" s="194" t="s">
        <v>1134</v>
      </c>
      <c r="B570" s="319">
        <v>261</v>
      </c>
      <c r="C570" s="65" t="s">
        <v>44</v>
      </c>
      <c r="D570" s="319" t="s">
        <v>45</v>
      </c>
      <c r="E570" s="318">
        <v>0</v>
      </c>
      <c r="F570" s="319" t="s">
        <v>832</v>
      </c>
      <c r="G570" s="320" t="s">
        <v>896</v>
      </c>
      <c r="H570" s="318" t="s">
        <v>1133</v>
      </c>
      <c r="I570" s="318"/>
      <c r="J570" s="318" t="s">
        <v>1133</v>
      </c>
      <c r="K570" s="318" t="s">
        <v>1132</v>
      </c>
      <c r="L570" s="293" t="s">
        <v>52</v>
      </c>
      <c r="M570" s="293" t="s">
        <v>52</v>
      </c>
      <c r="N570" s="293" t="s">
        <v>1143</v>
      </c>
      <c r="O570" s="293" t="s">
        <v>1143</v>
      </c>
      <c r="P570" s="318">
        <v>0</v>
      </c>
      <c r="Q570" s="319">
        <v>7</v>
      </c>
      <c r="R570" s="103">
        <f t="shared" si="35"/>
        <v>1</v>
      </c>
      <c r="S570" s="294" t="s">
        <v>302</v>
      </c>
      <c r="T570" s="103">
        <f t="shared" si="34"/>
        <v>0</v>
      </c>
      <c r="U570" s="319">
        <v>4</v>
      </c>
      <c r="V570" s="103">
        <f t="shared" si="33"/>
        <v>1</v>
      </c>
      <c r="W570" s="327" t="s">
        <v>302</v>
      </c>
      <c r="X570" s="324">
        <f t="shared" si="36"/>
        <v>1</v>
      </c>
      <c r="Y570" s="338" t="s">
        <v>832</v>
      </c>
      <c r="Z570" s="343" t="s">
        <v>896</v>
      </c>
      <c r="AA570" s="319" t="s">
        <v>45</v>
      </c>
      <c r="AB570" s="294"/>
      <c r="AC570" s="321"/>
      <c r="AD570" s="321"/>
      <c r="AE570" s="319"/>
      <c r="AF570" s="319"/>
      <c r="AG570" s="319"/>
    </row>
    <row r="571" spans="1:33" ht="31" x14ac:dyDescent="0.2">
      <c r="A571" s="194" t="s">
        <v>1134</v>
      </c>
      <c r="B571" s="319">
        <v>261</v>
      </c>
      <c r="C571" s="65" t="s">
        <v>44</v>
      </c>
      <c r="D571" s="319" t="s">
        <v>45</v>
      </c>
      <c r="E571" s="318">
        <v>0</v>
      </c>
      <c r="F571" s="319" t="s">
        <v>832</v>
      </c>
      <c r="G571" s="320" t="s">
        <v>897</v>
      </c>
      <c r="H571" s="318" t="s">
        <v>1133</v>
      </c>
      <c r="I571" s="318"/>
      <c r="J571" s="318" t="s">
        <v>1133</v>
      </c>
      <c r="K571" s="318" t="s">
        <v>1132</v>
      </c>
      <c r="L571" s="294" t="s">
        <v>1145</v>
      </c>
      <c r="M571" s="293" t="s">
        <v>52</v>
      </c>
      <c r="N571" s="293" t="s">
        <v>1143</v>
      </c>
      <c r="O571" s="293" t="s">
        <v>1143</v>
      </c>
      <c r="P571" s="318">
        <v>0</v>
      </c>
      <c r="Q571" s="319">
        <v>7</v>
      </c>
      <c r="R571" s="103">
        <f t="shared" si="35"/>
        <v>1</v>
      </c>
      <c r="S571" s="320"/>
      <c r="T571" s="103">
        <f t="shared" si="34"/>
        <v>1</v>
      </c>
      <c r="U571" s="319">
        <v>4</v>
      </c>
      <c r="V571" s="103">
        <f t="shared" si="33"/>
        <v>1</v>
      </c>
      <c r="W571" s="327" t="s">
        <v>305</v>
      </c>
      <c r="X571" s="324">
        <f t="shared" si="36"/>
        <v>1</v>
      </c>
      <c r="Y571" s="338" t="s">
        <v>832</v>
      </c>
      <c r="Z571" s="343" t="s">
        <v>897</v>
      </c>
      <c r="AA571" s="319" t="s">
        <v>45</v>
      </c>
      <c r="AB571" s="294"/>
      <c r="AC571" s="321"/>
      <c r="AD571" s="321"/>
      <c r="AE571" s="319"/>
      <c r="AF571" s="319"/>
      <c r="AG571" s="319"/>
    </row>
    <row r="572" spans="1:33" ht="18" customHeight="1" x14ac:dyDescent="0.2">
      <c r="A572" s="194" t="s">
        <v>1134</v>
      </c>
      <c r="B572" s="319">
        <v>261</v>
      </c>
      <c r="C572" s="65" t="s">
        <v>44</v>
      </c>
      <c r="D572" s="319" t="s">
        <v>45</v>
      </c>
      <c r="E572" s="318">
        <v>0</v>
      </c>
      <c r="F572" s="319" t="s">
        <v>846</v>
      </c>
      <c r="G572" s="320" t="s">
        <v>898</v>
      </c>
      <c r="H572" s="318" t="s">
        <v>1133</v>
      </c>
      <c r="I572" s="318"/>
      <c r="J572" s="318" t="s">
        <v>1133</v>
      </c>
      <c r="K572" s="318" t="s">
        <v>1132</v>
      </c>
      <c r="L572" s="293" t="s">
        <v>1145</v>
      </c>
      <c r="M572" s="293" t="s">
        <v>52</v>
      </c>
      <c r="N572" s="293" t="s">
        <v>1143</v>
      </c>
      <c r="O572" s="293" t="s">
        <v>1143</v>
      </c>
      <c r="P572" s="318">
        <v>0</v>
      </c>
      <c r="Q572" s="319"/>
      <c r="R572" s="103">
        <f t="shared" si="35"/>
        <v>0</v>
      </c>
      <c r="S572" s="320"/>
      <c r="T572" s="103">
        <f t="shared" si="34"/>
        <v>0</v>
      </c>
      <c r="U572" s="319">
        <v>4</v>
      </c>
      <c r="V572" s="103">
        <f t="shared" si="33"/>
        <v>1</v>
      </c>
      <c r="W572" s="327" t="s">
        <v>331</v>
      </c>
      <c r="X572" s="324">
        <f t="shared" si="36"/>
        <v>1</v>
      </c>
      <c r="Y572" s="338" t="s">
        <v>846</v>
      </c>
      <c r="Z572" s="343" t="s">
        <v>898</v>
      </c>
      <c r="AA572" s="319" t="s">
        <v>45</v>
      </c>
      <c r="AB572" s="321" t="s">
        <v>112</v>
      </c>
      <c r="AC572" s="321" t="s">
        <v>112</v>
      </c>
      <c r="AD572" s="321"/>
      <c r="AE572" s="319"/>
      <c r="AF572" s="319"/>
      <c r="AG572" s="319"/>
    </row>
    <row r="573" spans="1:33" ht="34" x14ac:dyDescent="0.2">
      <c r="A573" s="194" t="s">
        <v>1134</v>
      </c>
      <c r="B573" s="319">
        <v>261</v>
      </c>
      <c r="C573" s="65" t="s">
        <v>44</v>
      </c>
      <c r="D573" s="319" t="s">
        <v>45</v>
      </c>
      <c r="E573" s="318">
        <v>0</v>
      </c>
      <c r="F573" s="319" t="s">
        <v>832</v>
      </c>
      <c r="G573" s="320" t="s">
        <v>899</v>
      </c>
      <c r="H573" s="318" t="s">
        <v>1133</v>
      </c>
      <c r="I573" s="318"/>
      <c r="J573" s="318" t="s">
        <v>1133</v>
      </c>
      <c r="K573" s="318" t="s">
        <v>1132</v>
      </c>
      <c r="L573" s="293" t="s">
        <v>52</v>
      </c>
      <c r="M573" s="293" t="s">
        <v>52</v>
      </c>
      <c r="N573" s="293" t="s">
        <v>1143</v>
      </c>
      <c r="O573" s="293" t="s">
        <v>1143</v>
      </c>
      <c r="P573" s="318">
        <v>0</v>
      </c>
      <c r="Q573" s="319">
        <v>7</v>
      </c>
      <c r="R573" s="103">
        <f t="shared" si="35"/>
        <v>1</v>
      </c>
      <c r="S573" s="320"/>
      <c r="T573" s="103">
        <f t="shared" si="34"/>
        <v>0</v>
      </c>
      <c r="U573" s="319">
        <v>4</v>
      </c>
      <c r="V573" s="103">
        <f t="shared" si="33"/>
        <v>1</v>
      </c>
      <c r="W573" s="327" t="s">
        <v>331</v>
      </c>
      <c r="X573" s="324">
        <f t="shared" si="36"/>
        <v>1</v>
      </c>
      <c r="Y573" s="338" t="s">
        <v>832</v>
      </c>
      <c r="Z573" s="343" t="s">
        <v>899</v>
      </c>
      <c r="AA573" s="319" t="s">
        <v>45</v>
      </c>
      <c r="AB573" s="294" t="s">
        <v>112</v>
      </c>
      <c r="AC573" s="294" t="s">
        <v>112</v>
      </c>
      <c r="AD573" s="294"/>
      <c r="AE573" s="319"/>
      <c r="AF573" s="319"/>
      <c r="AG573" s="319"/>
    </row>
    <row r="574" spans="1:33" ht="85" x14ac:dyDescent="0.2">
      <c r="A574" s="194" t="s">
        <v>1134</v>
      </c>
      <c r="B574" s="319">
        <v>261</v>
      </c>
      <c r="C574" s="65" t="s">
        <v>44</v>
      </c>
      <c r="D574" s="319" t="s">
        <v>45</v>
      </c>
      <c r="E574" s="318">
        <v>0</v>
      </c>
      <c r="F574" s="319" t="s">
        <v>846</v>
      </c>
      <c r="G574" s="320" t="s">
        <v>900</v>
      </c>
      <c r="H574" s="318" t="s">
        <v>1133</v>
      </c>
      <c r="I574" s="318"/>
      <c r="J574" s="318" t="s">
        <v>1133</v>
      </c>
      <c r="K574" s="318" t="s">
        <v>1132</v>
      </c>
      <c r="L574" s="293" t="s">
        <v>52</v>
      </c>
      <c r="M574" s="293" t="s">
        <v>52</v>
      </c>
      <c r="N574" s="293" t="s">
        <v>1143</v>
      </c>
      <c r="O574" s="293" t="s">
        <v>1143</v>
      </c>
      <c r="P574" s="318">
        <v>0</v>
      </c>
      <c r="Q574" s="319">
        <v>7</v>
      </c>
      <c r="R574" s="103">
        <f t="shared" si="35"/>
        <v>1</v>
      </c>
      <c r="S574" s="294" t="s">
        <v>58</v>
      </c>
      <c r="T574" s="103">
        <f t="shared" si="34"/>
        <v>0</v>
      </c>
      <c r="U574" s="319">
        <v>4</v>
      </c>
      <c r="V574" s="103">
        <f t="shared" si="33"/>
        <v>1</v>
      </c>
      <c r="W574" s="327" t="s">
        <v>58</v>
      </c>
      <c r="X574" s="324">
        <f t="shared" si="36"/>
        <v>1</v>
      </c>
      <c r="Y574" s="338" t="s">
        <v>846</v>
      </c>
      <c r="Z574" s="343" t="s">
        <v>900</v>
      </c>
      <c r="AA574" s="319" t="s">
        <v>45</v>
      </c>
      <c r="AB574" s="294"/>
      <c r="AC574" s="321"/>
      <c r="AD574" s="321"/>
      <c r="AE574" s="319"/>
      <c r="AF574" s="319"/>
      <c r="AG574" s="319"/>
    </row>
    <row r="575" spans="1:33" ht="34" x14ac:dyDescent="0.2">
      <c r="A575" s="194" t="s">
        <v>1134</v>
      </c>
      <c r="B575" s="319">
        <v>261</v>
      </c>
      <c r="C575" s="65" t="s">
        <v>44</v>
      </c>
      <c r="D575" s="319" t="s">
        <v>45</v>
      </c>
      <c r="E575" s="318">
        <v>0</v>
      </c>
      <c r="F575" s="319" t="s">
        <v>846</v>
      </c>
      <c r="G575" s="320" t="s">
        <v>901</v>
      </c>
      <c r="H575" s="318" t="s">
        <v>1133</v>
      </c>
      <c r="I575" s="318"/>
      <c r="J575" s="318" t="s">
        <v>1133</v>
      </c>
      <c r="K575" s="318" t="s">
        <v>1132</v>
      </c>
      <c r="L575" s="293" t="s">
        <v>52</v>
      </c>
      <c r="M575" s="293" t="s">
        <v>52</v>
      </c>
      <c r="N575" s="293" t="s">
        <v>1143</v>
      </c>
      <c r="O575" s="293" t="s">
        <v>1143</v>
      </c>
      <c r="P575" s="318">
        <v>0</v>
      </c>
      <c r="Q575" s="319">
        <v>7</v>
      </c>
      <c r="R575" s="103">
        <f t="shared" si="35"/>
        <v>1</v>
      </c>
      <c r="S575" s="320"/>
      <c r="T575" s="103">
        <f t="shared" si="34"/>
        <v>1</v>
      </c>
      <c r="U575" s="319">
        <v>4</v>
      </c>
      <c r="V575" s="103">
        <f t="shared" ref="V575:V612" si="37">IF(U575&lt;&gt;"",1,0)</f>
        <v>1</v>
      </c>
      <c r="W575" s="327" t="s">
        <v>305</v>
      </c>
      <c r="X575" s="324">
        <f t="shared" si="36"/>
        <v>1</v>
      </c>
      <c r="Y575" s="338" t="s">
        <v>846</v>
      </c>
      <c r="Z575" s="343" t="s">
        <v>901</v>
      </c>
      <c r="AA575" s="319" t="s">
        <v>45</v>
      </c>
      <c r="AB575" s="294"/>
      <c r="AC575" s="321"/>
      <c r="AD575" s="321"/>
      <c r="AE575" s="319"/>
      <c r="AF575" s="319"/>
      <c r="AG575" s="319"/>
    </row>
    <row r="576" spans="1:33" ht="119" x14ac:dyDescent="0.2">
      <c r="A576" s="194" t="s">
        <v>1134</v>
      </c>
      <c r="B576" s="319">
        <v>261</v>
      </c>
      <c r="C576" s="65" t="s">
        <v>44</v>
      </c>
      <c r="D576" s="319" t="s">
        <v>45</v>
      </c>
      <c r="E576" s="318">
        <v>0</v>
      </c>
      <c r="F576" s="319" t="s">
        <v>846</v>
      </c>
      <c r="G576" s="320" t="s">
        <v>902</v>
      </c>
      <c r="H576" s="318" t="s">
        <v>1133</v>
      </c>
      <c r="I576" s="318"/>
      <c r="J576" s="318" t="s">
        <v>1133</v>
      </c>
      <c r="K576" s="318" t="s">
        <v>1132</v>
      </c>
      <c r="L576" s="293" t="s">
        <v>52</v>
      </c>
      <c r="M576" s="293" t="s">
        <v>52</v>
      </c>
      <c r="N576" s="293" t="s">
        <v>1143</v>
      </c>
      <c r="O576" s="293" t="s">
        <v>1143</v>
      </c>
      <c r="P576" s="318">
        <v>0</v>
      </c>
      <c r="Q576" s="319">
        <v>7</v>
      </c>
      <c r="R576" s="103">
        <f t="shared" si="35"/>
        <v>1</v>
      </c>
      <c r="S576" s="320"/>
      <c r="T576" s="103">
        <f t="shared" ref="T576:T612" si="38">IF(S575&lt;&gt;"",1,0)</f>
        <v>0</v>
      </c>
      <c r="U576" s="319">
        <v>4</v>
      </c>
      <c r="V576" s="103">
        <f t="shared" si="37"/>
        <v>1</v>
      </c>
      <c r="W576" s="327" t="s">
        <v>305</v>
      </c>
      <c r="X576" s="324">
        <f t="shared" si="36"/>
        <v>1</v>
      </c>
      <c r="Y576" s="338" t="s">
        <v>846</v>
      </c>
      <c r="Z576" s="343" t="s">
        <v>902</v>
      </c>
      <c r="AA576" s="319" t="s">
        <v>45</v>
      </c>
      <c r="AB576" s="294"/>
      <c r="AC576" s="321"/>
      <c r="AD576" s="321"/>
      <c r="AE576" s="319"/>
      <c r="AF576" s="319"/>
      <c r="AG576" s="319"/>
    </row>
    <row r="577" spans="1:33" ht="34" x14ac:dyDescent="0.2">
      <c r="A577" s="194" t="s">
        <v>1134</v>
      </c>
      <c r="B577" s="319">
        <v>261</v>
      </c>
      <c r="C577" s="65" t="s">
        <v>44</v>
      </c>
      <c r="D577" s="319" t="s">
        <v>45</v>
      </c>
      <c r="E577" s="318">
        <v>0</v>
      </c>
      <c r="F577" s="319" t="s">
        <v>832</v>
      </c>
      <c r="G577" s="320" t="s">
        <v>903</v>
      </c>
      <c r="H577" s="318" t="s">
        <v>1133</v>
      </c>
      <c r="I577" s="318"/>
      <c r="J577" s="318" t="s">
        <v>1133</v>
      </c>
      <c r="K577" s="318" t="s">
        <v>1132</v>
      </c>
      <c r="L577" s="293" t="s">
        <v>52</v>
      </c>
      <c r="M577" s="293" t="s">
        <v>52</v>
      </c>
      <c r="N577" s="293" t="s">
        <v>1143</v>
      </c>
      <c r="O577" s="293" t="s">
        <v>1143</v>
      </c>
      <c r="P577" s="318">
        <v>0</v>
      </c>
      <c r="Q577" s="319">
        <v>8</v>
      </c>
      <c r="R577" s="103">
        <f t="shared" si="35"/>
        <v>1</v>
      </c>
      <c r="S577" s="320"/>
      <c r="T577" s="103">
        <f t="shared" si="38"/>
        <v>0</v>
      </c>
      <c r="U577" s="319">
        <v>5</v>
      </c>
      <c r="V577" s="103">
        <f t="shared" si="37"/>
        <v>1</v>
      </c>
      <c r="W577" s="327"/>
      <c r="X577" s="324">
        <f t="shared" si="36"/>
        <v>0</v>
      </c>
      <c r="Y577" s="338" t="s">
        <v>832</v>
      </c>
      <c r="Z577" s="343" t="s">
        <v>903</v>
      </c>
      <c r="AA577" s="319" t="s">
        <v>45</v>
      </c>
      <c r="AB577" s="294"/>
      <c r="AC577" s="321"/>
      <c r="AD577" s="321"/>
      <c r="AE577" s="319"/>
      <c r="AF577" s="319"/>
      <c r="AG577" s="319"/>
    </row>
    <row r="578" spans="1:33" ht="17" x14ac:dyDescent="0.2">
      <c r="A578" s="194" t="s">
        <v>1134</v>
      </c>
      <c r="B578" s="319">
        <v>261</v>
      </c>
      <c r="C578" s="65" t="s">
        <v>44</v>
      </c>
      <c r="D578" s="319" t="s">
        <v>45</v>
      </c>
      <c r="E578" s="318">
        <v>0</v>
      </c>
      <c r="F578" s="319" t="s">
        <v>832</v>
      </c>
      <c r="G578" s="320" t="s">
        <v>904</v>
      </c>
      <c r="H578" s="318" t="s">
        <v>1133</v>
      </c>
      <c r="I578" s="318"/>
      <c r="J578" s="318" t="s">
        <v>1133</v>
      </c>
      <c r="K578" s="318" t="s">
        <v>1132</v>
      </c>
      <c r="L578" s="293" t="s">
        <v>52</v>
      </c>
      <c r="M578" s="293" t="s">
        <v>52</v>
      </c>
      <c r="N578" s="293" t="s">
        <v>1143</v>
      </c>
      <c r="O578" s="293" t="s">
        <v>1143</v>
      </c>
      <c r="P578" s="318">
        <v>0</v>
      </c>
      <c r="Q578" s="319">
        <v>8</v>
      </c>
      <c r="R578" s="103">
        <f t="shared" ref="R578:R612" si="39">IF(Q578&lt;&gt;"",1,0)</f>
        <v>1</v>
      </c>
      <c r="S578" s="320"/>
      <c r="T578" s="103">
        <f t="shared" si="38"/>
        <v>0</v>
      </c>
      <c r="U578" s="319">
        <v>5</v>
      </c>
      <c r="V578" s="103">
        <f t="shared" si="37"/>
        <v>1</v>
      </c>
      <c r="W578" s="328"/>
      <c r="X578" s="324">
        <f t="shared" si="36"/>
        <v>0</v>
      </c>
      <c r="Y578" s="338" t="s">
        <v>832</v>
      </c>
      <c r="Z578" s="343" t="s">
        <v>904</v>
      </c>
      <c r="AA578" s="319" t="s">
        <v>45</v>
      </c>
      <c r="AB578" s="294" t="s">
        <v>112</v>
      </c>
      <c r="AC578" s="294" t="s">
        <v>112</v>
      </c>
      <c r="AD578" s="294"/>
      <c r="AE578" s="319"/>
      <c r="AF578" s="319"/>
      <c r="AG578" s="319"/>
    </row>
    <row r="579" spans="1:33" ht="34" x14ac:dyDescent="0.2">
      <c r="A579" s="194" t="s">
        <v>1134</v>
      </c>
      <c r="B579" s="319">
        <v>261</v>
      </c>
      <c r="C579" s="65" t="s">
        <v>44</v>
      </c>
      <c r="D579" s="319" t="s">
        <v>45</v>
      </c>
      <c r="E579" s="318">
        <v>0</v>
      </c>
      <c r="F579" s="319" t="s">
        <v>846</v>
      </c>
      <c r="G579" s="320" t="s">
        <v>905</v>
      </c>
      <c r="H579" s="318" t="s">
        <v>1133</v>
      </c>
      <c r="I579" s="318"/>
      <c r="J579" s="318" t="s">
        <v>1133</v>
      </c>
      <c r="K579" s="318" t="s">
        <v>1132</v>
      </c>
      <c r="L579" s="293" t="s">
        <v>52</v>
      </c>
      <c r="M579" s="293" t="s">
        <v>52</v>
      </c>
      <c r="N579" s="293" t="s">
        <v>1143</v>
      </c>
      <c r="O579" s="293" t="s">
        <v>1143</v>
      </c>
      <c r="P579" s="318">
        <v>0</v>
      </c>
      <c r="Q579" s="319">
        <v>8</v>
      </c>
      <c r="R579" s="103">
        <f t="shared" si="39"/>
        <v>1</v>
      </c>
      <c r="S579" s="294" t="s">
        <v>58</v>
      </c>
      <c r="T579" s="103">
        <f t="shared" si="38"/>
        <v>0</v>
      </c>
      <c r="U579" s="319">
        <v>5</v>
      </c>
      <c r="V579" s="103">
        <f t="shared" si="37"/>
        <v>1</v>
      </c>
      <c r="W579" s="327" t="s">
        <v>58</v>
      </c>
      <c r="X579" s="324">
        <f t="shared" si="36"/>
        <v>1</v>
      </c>
      <c r="Y579" s="338" t="s">
        <v>846</v>
      </c>
      <c r="Z579" s="343" t="s">
        <v>905</v>
      </c>
      <c r="AA579" s="319" t="s">
        <v>45</v>
      </c>
      <c r="AB579" s="294"/>
      <c r="AC579" s="321"/>
      <c r="AD579" s="321"/>
      <c r="AE579" s="319"/>
      <c r="AF579" s="319"/>
      <c r="AG579" s="319"/>
    </row>
    <row r="580" spans="1:33" ht="17" x14ac:dyDescent="0.2">
      <c r="A580" s="194" t="s">
        <v>1134</v>
      </c>
      <c r="B580" s="319">
        <v>261</v>
      </c>
      <c r="C580" s="65" t="s">
        <v>44</v>
      </c>
      <c r="D580" s="319" t="s">
        <v>45</v>
      </c>
      <c r="E580" s="318">
        <v>0</v>
      </c>
      <c r="F580" s="319" t="s">
        <v>832</v>
      </c>
      <c r="G580" s="320" t="s">
        <v>906</v>
      </c>
      <c r="H580" s="318" t="s">
        <v>1133</v>
      </c>
      <c r="I580" s="318"/>
      <c r="J580" s="318" t="s">
        <v>1133</v>
      </c>
      <c r="K580" s="318" t="s">
        <v>1132</v>
      </c>
      <c r="L580" s="293" t="s">
        <v>52</v>
      </c>
      <c r="M580" s="293" t="s">
        <v>52</v>
      </c>
      <c r="N580" s="293" t="s">
        <v>1143</v>
      </c>
      <c r="O580" s="293" t="s">
        <v>1143</v>
      </c>
      <c r="P580" s="318">
        <v>0</v>
      </c>
      <c r="Q580" s="319">
        <v>8</v>
      </c>
      <c r="R580" s="103">
        <f t="shared" si="39"/>
        <v>1</v>
      </c>
      <c r="S580" s="321" t="s">
        <v>58</v>
      </c>
      <c r="T580" s="103">
        <f t="shared" si="38"/>
        <v>1</v>
      </c>
      <c r="U580" s="319"/>
      <c r="V580" s="103">
        <f t="shared" si="37"/>
        <v>0</v>
      </c>
      <c r="W580" s="327" t="s">
        <v>58</v>
      </c>
      <c r="X580" s="324">
        <f t="shared" si="36"/>
        <v>1</v>
      </c>
      <c r="Y580" s="338" t="s">
        <v>832</v>
      </c>
      <c r="Z580" s="343" t="s">
        <v>906</v>
      </c>
      <c r="AA580" s="319" t="s">
        <v>45</v>
      </c>
      <c r="AB580" s="294"/>
      <c r="AC580" s="321"/>
      <c r="AD580" s="321"/>
      <c r="AE580" s="319"/>
      <c r="AF580" s="319"/>
      <c r="AG580" s="319"/>
    </row>
    <row r="581" spans="1:33" ht="17" x14ac:dyDescent="0.2">
      <c r="A581" s="194" t="s">
        <v>1134</v>
      </c>
      <c r="B581" s="319">
        <v>261</v>
      </c>
      <c r="C581" s="65" t="s">
        <v>44</v>
      </c>
      <c r="D581" s="319" t="s">
        <v>45</v>
      </c>
      <c r="E581" s="318">
        <v>0</v>
      </c>
      <c r="F581" s="319" t="s">
        <v>832</v>
      </c>
      <c r="G581" s="320" t="s">
        <v>907</v>
      </c>
      <c r="H581" s="318" t="s">
        <v>1133</v>
      </c>
      <c r="I581" s="318"/>
      <c r="J581" s="318" t="s">
        <v>1133</v>
      </c>
      <c r="K581" s="318" t="s">
        <v>1132</v>
      </c>
      <c r="L581" s="293" t="s">
        <v>1145</v>
      </c>
      <c r="M581" s="293" t="s">
        <v>49</v>
      </c>
      <c r="N581" s="293" t="s">
        <v>49</v>
      </c>
      <c r="O581" s="293" t="s">
        <v>1163</v>
      </c>
      <c r="P581" s="318">
        <v>0</v>
      </c>
      <c r="Q581" s="319"/>
      <c r="R581" s="103">
        <f t="shared" si="39"/>
        <v>0</v>
      </c>
      <c r="S581" s="320"/>
      <c r="T581" s="103">
        <f t="shared" si="38"/>
        <v>1</v>
      </c>
      <c r="U581" s="319"/>
      <c r="V581" s="103">
        <f t="shared" si="37"/>
        <v>0</v>
      </c>
      <c r="W581" s="327"/>
      <c r="X581" s="324">
        <f t="shared" si="36"/>
        <v>0</v>
      </c>
      <c r="Y581" s="338" t="s">
        <v>832</v>
      </c>
      <c r="Z581" s="343" t="s">
        <v>907</v>
      </c>
      <c r="AA581" s="319" t="s">
        <v>45</v>
      </c>
      <c r="AB581" s="294"/>
      <c r="AC581" s="321"/>
      <c r="AD581" s="321"/>
      <c r="AE581" s="319"/>
      <c r="AF581" s="319"/>
      <c r="AG581" s="319"/>
    </row>
    <row r="582" spans="1:33" ht="34" x14ac:dyDescent="0.2">
      <c r="A582" s="194" t="s">
        <v>1134</v>
      </c>
      <c r="B582" s="319">
        <v>261</v>
      </c>
      <c r="C582" s="65" t="s">
        <v>44</v>
      </c>
      <c r="D582" s="319" t="s">
        <v>45</v>
      </c>
      <c r="E582" s="318">
        <v>0</v>
      </c>
      <c r="F582" s="319" t="s">
        <v>846</v>
      </c>
      <c r="G582" s="320" t="s">
        <v>908</v>
      </c>
      <c r="H582" s="318" t="s">
        <v>1133</v>
      </c>
      <c r="I582" s="318"/>
      <c r="J582" s="318" t="s">
        <v>1133</v>
      </c>
      <c r="K582" s="318" t="s">
        <v>1132</v>
      </c>
      <c r="L582" s="294" t="s">
        <v>1145</v>
      </c>
      <c r="M582" s="294" t="s">
        <v>68</v>
      </c>
      <c r="N582" s="294" t="s">
        <v>68</v>
      </c>
      <c r="O582" s="294" t="s">
        <v>1163</v>
      </c>
      <c r="P582" s="318">
        <v>0</v>
      </c>
      <c r="Q582" s="319">
        <v>9</v>
      </c>
      <c r="R582" s="103">
        <f t="shared" si="39"/>
        <v>1</v>
      </c>
      <c r="S582" s="320"/>
      <c r="T582" s="103">
        <f t="shared" si="38"/>
        <v>0</v>
      </c>
      <c r="U582" s="319"/>
      <c r="V582" s="103">
        <f t="shared" si="37"/>
        <v>0</v>
      </c>
      <c r="W582" s="327"/>
      <c r="X582" s="324">
        <f t="shared" si="36"/>
        <v>0</v>
      </c>
      <c r="Y582" s="338" t="s">
        <v>846</v>
      </c>
      <c r="Z582" s="343" t="s">
        <v>908</v>
      </c>
      <c r="AA582" s="319" t="s">
        <v>45</v>
      </c>
      <c r="AB582" s="294"/>
      <c r="AC582" s="321"/>
      <c r="AD582" s="321"/>
      <c r="AE582" s="319"/>
      <c r="AF582" s="319"/>
      <c r="AG582" s="319"/>
    </row>
    <row r="583" spans="1:33" ht="17" x14ac:dyDescent="0.2">
      <c r="A583" s="194" t="s">
        <v>1134</v>
      </c>
      <c r="B583" s="319">
        <v>261</v>
      </c>
      <c r="C583" s="65" t="s">
        <v>44</v>
      </c>
      <c r="D583" s="319" t="s">
        <v>45</v>
      </c>
      <c r="E583" s="318">
        <v>0</v>
      </c>
      <c r="F583" s="319" t="s">
        <v>832</v>
      </c>
      <c r="G583" s="320" t="s">
        <v>909</v>
      </c>
      <c r="H583" s="318" t="s">
        <v>1133</v>
      </c>
      <c r="I583" s="318"/>
      <c r="J583" s="318" t="s">
        <v>1133</v>
      </c>
      <c r="K583" s="318" t="s">
        <v>1132</v>
      </c>
      <c r="L583" s="293" t="s">
        <v>1145</v>
      </c>
      <c r="M583" s="293" t="s">
        <v>49</v>
      </c>
      <c r="N583" s="293" t="s">
        <v>49</v>
      </c>
      <c r="O583" s="293" t="s">
        <v>1163</v>
      </c>
      <c r="P583" s="318">
        <v>0</v>
      </c>
      <c r="Q583" s="319">
        <v>9</v>
      </c>
      <c r="R583" s="103">
        <f t="shared" si="39"/>
        <v>1</v>
      </c>
      <c r="S583" s="320"/>
      <c r="T583" s="103">
        <f t="shared" si="38"/>
        <v>0</v>
      </c>
      <c r="U583" s="319"/>
      <c r="V583" s="103">
        <f t="shared" si="37"/>
        <v>0</v>
      </c>
      <c r="W583" s="327" t="s">
        <v>637</v>
      </c>
      <c r="X583" s="324">
        <f t="shared" si="36"/>
        <v>1</v>
      </c>
      <c r="Y583" s="338" t="s">
        <v>832</v>
      </c>
      <c r="Z583" s="343" t="s">
        <v>909</v>
      </c>
      <c r="AA583" s="319" t="s">
        <v>45</v>
      </c>
      <c r="AB583" s="294"/>
      <c r="AC583" s="321"/>
      <c r="AD583" s="321"/>
      <c r="AE583" s="319"/>
      <c r="AF583" s="319"/>
      <c r="AG583" s="319"/>
    </row>
    <row r="584" spans="1:33" ht="17" x14ac:dyDescent="0.2">
      <c r="A584" s="194" t="s">
        <v>1134</v>
      </c>
      <c r="B584" s="319">
        <v>261</v>
      </c>
      <c r="C584" s="65" t="s">
        <v>44</v>
      </c>
      <c r="D584" s="319" t="s">
        <v>45</v>
      </c>
      <c r="E584" s="318">
        <v>0</v>
      </c>
      <c r="F584" s="319" t="s">
        <v>832</v>
      </c>
      <c r="G584" s="320" t="s">
        <v>910</v>
      </c>
      <c r="H584" s="318" t="s">
        <v>1133</v>
      </c>
      <c r="I584" s="318"/>
      <c r="J584" s="318" t="s">
        <v>1133</v>
      </c>
      <c r="K584" s="318" t="s">
        <v>1132</v>
      </c>
      <c r="L584" s="293" t="s">
        <v>1145</v>
      </c>
      <c r="M584" s="293" t="s">
        <v>49</v>
      </c>
      <c r="N584" s="293" t="s">
        <v>49</v>
      </c>
      <c r="O584" s="293" t="s">
        <v>1163</v>
      </c>
      <c r="P584" s="318">
        <v>0</v>
      </c>
      <c r="Q584" s="319">
        <v>9</v>
      </c>
      <c r="R584" s="103">
        <f t="shared" si="39"/>
        <v>1</v>
      </c>
      <c r="S584" s="320"/>
      <c r="T584" s="103">
        <f t="shared" si="38"/>
        <v>0</v>
      </c>
      <c r="U584" s="319"/>
      <c r="V584" s="103">
        <f t="shared" si="37"/>
        <v>0</v>
      </c>
      <c r="W584" s="327" t="s">
        <v>637</v>
      </c>
      <c r="X584" s="324">
        <f t="shared" si="36"/>
        <v>1</v>
      </c>
      <c r="Y584" s="338" t="s">
        <v>832</v>
      </c>
      <c r="Z584" s="343" t="s">
        <v>910</v>
      </c>
      <c r="AA584" s="319" t="s">
        <v>45</v>
      </c>
      <c r="AB584" s="294"/>
      <c r="AC584" s="321"/>
      <c r="AD584" s="321"/>
      <c r="AE584" s="319"/>
      <c r="AF584" s="319"/>
      <c r="AG584" s="319"/>
    </row>
    <row r="585" spans="1:33" ht="17" x14ac:dyDescent="0.2">
      <c r="A585" s="194" t="s">
        <v>1134</v>
      </c>
      <c r="B585" s="319">
        <v>261</v>
      </c>
      <c r="C585" s="65" t="s">
        <v>44</v>
      </c>
      <c r="D585" s="319" t="s">
        <v>45</v>
      </c>
      <c r="E585" s="318">
        <v>0</v>
      </c>
      <c r="F585" s="319" t="s">
        <v>832</v>
      </c>
      <c r="G585" s="320" t="s">
        <v>911</v>
      </c>
      <c r="H585" s="318" t="s">
        <v>1133</v>
      </c>
      <c r="I585" s="318"/>
      <c r="J585" s="318" t="s">
        <v>1133</v>
      </c>
      <c r="K585" s="318" t="s">
        <v>1132</v>
      </c>
      <c r="L585" s="293" t="s">
        <v>1145</v>
      </c>
      <c r="M585" s="293" t="s">
        <v>49</v>
      </c>
      <c r="N585" s="293" t="s">
        <v>49</v>
      </c>
      <c r="O585" s="293" t="s">
        <v>1163</v>
      </c>
      <c r="P585" s="318">
        <v>0</v>
      </c>
      <c r="Q585" s="319">
        <v>9</v>
      </c>
      <c r="R585" s="103">
        <f t="shared" si="39"/>
        <v>1</v>
      </c>
      <c r="S585" s="320"/>
      <c r="T585" s="103">
        <f t="shared" si="38"/>
        <v>0</v>
      </c>
      <c r="U585" s="319"/>
      <c r="V585" s="103">
        <f t="shared" si="37"/>
        <v>0</v>
      </c>
      <c r="W585" s="327" t="s">
        <v>637</v>
      </c>
      <c r="X585" s="324">
        <f t="shared" si="36"/>
        <v>1</v>
      </c>
      <c r="Y585" s="338" t="s">
        <v>832</v>
      </c>
      <c r="Z585" s="343" t="s">
        <v>911</v>
      </c>
      <c r="AA585" s="319" t="s">
        <v>45</v>
      </c>
      <c r="AB585" s="294"/>
      <c r="AC585" s="321"/>
      <c r="AD585" s="321"/>
      <c r="AE585" s="319"/>
      <c r="AF585" s="319"/>
      <c r="AG585" s="319"/>
    </row>
    <row r="586" spans="1:33" ht="34" x14ac:dyDescent="0.2">
      <c r="A586" s="194" t="s">
        <v>1134</v>
      </c>
      <c r="B586" s="319">
        <v>261</v>
      </c>
      <c r="C586" s="65" t="s">
        <v>44</v>
      </c>
      <c r="D586" s="319" t="s">
        <v>45</v>
      </c>
      <c r="E586" s="318">
        <v>0</v>
      </c>
      <c r="F586" s="319" t="s">
        <v>846</v>
      </c>
      <c r="G586" s="320" t="s">
        <v>912</v>
      </c>
      <c r="H586" s="318" t="s">
        <v>1133</v>
      </c>
      <c r="I586" s="318"/>
      <c r="J586" s="318" t="s">
        <v>1133</v>
      </c>
      <c r="K586" s="318" t="s">
        <v>1132</v>
      </c>
      <c r="L586" s="293" t="s">
        <v>1145</v>
      </c>
      <c r="M586" s="293" t="s">
        <v>49</v>
      </c>
      <c r="N586" s="293" t="s">
        <v>49</v>
      </c>
      <c r="O586" s="293" t="s">
        <v>1163</v>
      </c>
      <c r="P586" s="318">
        <v>0</v>
      </c>
      <c r="Q586" s="319">
        <v>9</v>
      </c>
      <c r="R586" s="103">
        <f t="shared" si="39"/>
        <v>1</v>
      </c>
      <c r="S586" s="320"/>
      <c r="T586" s="103">
        <f t="shared" si="38"/>
        <v>0</v>
      </c>
      <c r="U586" s="319"/>
      <c r="V586" s="103">
        <f t="shared" si="37"/>
        <v>0</v>
      </c>
      <c r="W586" s="327" t="s">
        <v>637</v>
      </c>
      <c r="X586" s="324">
        <f t="shared" si="36"/>
        <v>1</v>
      </c>
      <c r="Y586" s="338" t="s">
        <v>846</v>
      </c>
      <c r="Z586" s="343" t="s">
        <v>912</v>
      </c>
      <c r="AA586" s="319" t="s">
        <v>45</v>
      </c>
      <c r="AB586" s="294"/>
      <c r="AC586" s="321"/>
      <c r="AD586" s="321"/>
      <c r="AE586" s="319"/>
      <c r="AF586" s="319"/>
      <c r="AG586" s="319"/>
    </row>
    <row r="587" spans="1:33" ht="17" x14ac:dyDescent="0.2">
      <c r="A587" s="194" t="s">
        <v>1134</v>
      </c>
      <c r="B587" s="319">
        <v>261</v>
      </c>
      <c r="C587" s="65" t="s">
        <v>44</v>
      </c>
      <c r="D587" s="319" t="s">
        <v>45</v>
      </c>
      <c r="E587" s="318">
        <v>0</v>
      </c>
      <c r="F587" s="319" t="s">
        <v>846</v>
      </c>
      <c r="G587" s="320" t="s">
        <v>913</v>
      </c>
      <c r="H587" s="318" t="s">
        <v>1133</v>
      </c>
      <c r="I587" s="318"/>
      <c r="J587" s="318" t="s">
        <v>1133</v>
      </c>
      <c r="K587" s="318" t="s">
        <v>1132</v>
      </c>
      <c r="L587" s="293" t="s">
        <v>1145</v>
      </c>
      <c r="M587" s="293" t="s">
        <v>49</v>
      </c>
      <c r="N587" s="293" t="s">
        <v>49</v>
      </c>
      <c r="O587" s="293" t="s">
        <v>1163</v>
      </c>
      <c r="P587" s="318">
        <v>0</v>
      </c>
      <c r="Q587" s="319">
        <v>9</v>
      </c>
      <c r="R587" s="103">
        <f t="shared" si="39"/>
        <v>1</v>
      </c>
      <c r="S587" s="320"/>
      <c r="T587" s="103">
        <f t="shared" si="38"/>
        <v>0</v>
      </c>
      <c r="U587" s="319"/>
      <c r="V587" s="103">
        <f t="shared" si="37"/>
        <v>0</v>
      </c>
      <c r="W587" s="327" t="s">
        <v>637</v>
      </c>
      <c r="X587" s="324">
        <f t="shared" si="36"/>
        <v>1</v>
      </c>
      <c r="Y587" s="338" t="s">
        <v>846</v>
      </c>
      <c r="Z587" s="343" t="s">
        <v>913</v>
      </c>
      <c r="AA587" s="319" t="s">
        <v>45</v>
      </c>
      <c r="AB587" s="294"/>
      <c r="AC587" s="321"/>
      <c r="AD587" s="321"/>
      <c r="AE587" s="319"/>
      <c r="AF587" s="319"/>
      <c r="AG587" s="319"/>
    </row>
    <row r="588" spans="1:33" ht="17" x14ac:dyDescent="0.2">
      <c r="A588" s="194" t="s">
        <v>1134</v>
      </c>
      <c r="B588" s="319">
        <v>261</v>
      </c>
      <c r="C588" s="65" t="s">
        <v>44</v>
      </c>
      <c r="D588" s="319" t="s">
        <v>45</v>
      </c>
      <c r="E588" s="318">
        <v>0</v>
      </c>
      <c r="F588" s="319" t="s">
        <v>832</v>
      </c>
      <c r="G588" s="320" t="s">
        <v>914</v>
      </c>
      <c r="H588" s="318" t="s">
        <v>1133</v>
      </c>
      <c r="I588" s="318"/>
      <c r="J588" s="318" t="s">
        <v>1133</v>
      </c>
      <c r="K588" s="318" t="s">
        <v>1132</v>
      </c>
      <c r="L588" s="293" t="s">
        <v>1145</v>
      </c>
      <c r="M588" s="293" t="s">
        <v>49</v>
      </c>
      <c r="N588" s="293" t="s">
        <v>49</v>
      </c>
      <c r="O588" s="293" t="s">
        <v>1163</v>
      </c>
      <c r="P588" s="318">
        <v>0</v>
      </c>
      <c r="Q588" s="319">
        <v>9</v>
      </c>
      <c r="R588" s="103">
        <f t="shared" si="39"/>
        <v>1</v>
      </c>
      <c r="S588" s="320"/>
      <c r="T588" s="103">
        <f t="shared" si="38"/>
        <v>0</v>
      </c>
      <c r="U588" s="319"/>
      <c r="V588" s="103">
        <f t="shared" si="37"/>
        <v>0</v>
      </c>
      <c r="W588" s="327" t="s">
        <v>637</v>
      </c>
      <c r="X588" s="324">
        <f t="shared" si="36"/>
        <v>1</v>
      </c>
      <c r="Y588" s="338" t="s">
        <v>832</v>
      </c>
      <c r="Z588" s="343" t="s">
        <v>914</v>
      </c>
      <c r="AA588" s="319" t="s">
        <v>45</v>
      </c>
      <c r="AB588" s="294"/>
      <c r="AC588" s="321"/>
      <c r="AD588" s="321"/>
      <c r="AE588" s="319"/>
      <c r="AF588" s="319"/>
      <c r="AG588" s="319"/>
    </row>
    <row r="589" spans="1:33" ht="31" x14ac:dyDescent="0.2">
      <c r="A589" s="194" t="s">
        <v>1134</v>
      </c>
      <c r="B589" s="319">
        <v>261</v>
      </c>
      <c r="C589" s="65" t="s">
        <v>44</v>
      </c>
      <c r="D589" s="319" t="s">
        <v>45</v>
      </c>
      <c r="E589" s="318">
        <v>0</v>
      </c>
      <c r="F589" s="319" t="s">
        <v>829</v>
      </c>
      <c r="G589" s="320" t="s">
        <v>915</v>
      </c>
      <c r="H589" s="318" t="s">
        <v>1133</v>
      </c>
      <c r="I589" s="318"/>
      <c r="J589" s="318" t="s">
        <v>1133</v>
      </c>
      <c r="K589" s="318" t="s">
        <v>1132</v>
      </c>
      <c r="L589" s="294" t="s">
        <v>1145</v>
      </c>
      <c r="M589" s="294" t="s">
        <v>638</v>
      </c>
      <c r="N589" s="294" t="s">
        <v>638</v>
      </c>
      <c r="O589" s="294" t="s">
        <v>1163</v>
      </c>
      <c r="P589" s="318">
        <v>0</v>
      </c>
      <c r="Q589" s="319"/>
      <c r="R589" s="103">
        <f t="shared" si="39"/>
        <v>0</v>
      </c>
      <c r="S589" s="320"/>
      <c r="T589" s="103">
        <f t="shared" si="38"/>
        <v>0</v>
      </c>
      <c r="U589" s="319"/>
      <c r="V589" s="103">
        <f t="shared" si="37"/>
        <v>0</v>
      </c>
      <c r="W589" s="327" t="s">
        <v>637</v>
      </c>
      <c r="X589" s="324">
        <f t="shared" si="36"/>
        <v>1</v>
      </c>
      <c r="Y589" s="338" t="s">
        <v>829</v>
      </c>
      <c r="Z589" s="343" t="s">
        <v>915</v>
      </c>
      <c r="AA589" s="319" t="s">
        <v>45</v>
      </c>
      <c r="AB589" s="294"/>
      <c r="AC589" s="321"/>
      <c r="AD589" s="321"/>
      <c r="AE589" s="319"/>
      <c r="AF589" s="319"/>
      <c r="AG589" s="319"/>
    </row>
    <row r="590" spans="1:33" ht="17" x14ac:dyDescent="0.2">
      <c r="A590" s="194" t="s">
        <v>1134</v>
      </c>
      <c r="B590" s="319">
        <v>261</v>
      </c>
      <c r="C590" s="65" t="s">
        <v>44</v>
      </c>
      <c r="D590" s="319" t="s">
        <v>45</v>
      </c>
      <c r="E590" s="318">
        <v>0</v>
      </c>
      <c r="F590" s="319" t="s">
        <v>829</v>
      </c>
      <c r="G590" s="320" t="s">
        <v>916</v>
      </c>
      <c r="H590" s="318" t="s">
        <v>1133</v>
      </c>
      <c r="I590" s="318"/>
      <c r="J590" s="318" t="s">
        <v>1133</v>
      </c>
      <c r="K590" s="318" t="s">
        <v>1132</v>
      </c>
      <c r="L590" s="293" t="s">
        <v>1145</v>
      </c>
      <c r="M590" s="293" t="s">
        <v>49</v>
      </c>
      <c r="N590" s="293" t="s">
        <v>49</v>
      </c>
      <c r="O590" s="293" t="s">
        <v>1163</v>
      </c>
      <c r="P590" s="318">
        <v>0</v>
      </c>
      <c r="Q590" s="319"/>
      <c r="R590" s="103">
        <f t="shared" si="39"/>
        <v>0</v>
      </c>
      <c r="S590" s="320"/>
      <c r="T590" s="103">
        <f t="shared" si="38"/>
        <v>0</v>
      </c>
      <c r="U590" s="319"/>
      <c r="V590" s="103">
        <f t="shared" si="37"/>
        <v>0</v>
      </c>
      <c r="W590" s="327"/>
      <c r="X590" s="324">
        <f t="shared" si="36"/>
        <v>0</v>
      </c>
      <c r="Y590" s="338" t="s">
        <v>829</v>
      </c>
      <c r="Z590" s="343" t="s">
        <v>916</v>
      </c>
      <c r="AA590" s="319" t="s">
        <v>45</v>
      </c>
      <c r="AB590" s="294"/>
      <c r="AC590" s="321"/>
      <c r="AD590" s="321"/>
      <c r="AE590" s="319"/>
      <c r="AF590" s="319"/>
      <c r="AG590" s="319"/>
    </row>
    <row r="591" spans="1:33" ht="34" x14ac:dyDescent="0.2">
      <c r="A591" s="194" t="s">
        <v>1134</v>
      </c>
      <c r="B591" s="319">
        <v>261</v>
      </c>
      <c r="C591" s="65" t="s">
        <v>44</v>
      </c>
      <c r="D591" s="319" t="s">
        <v>45</v>
      </c>
      <c r="E591" s="318">
        <v>0</v>
      </c>
      <c r="F591" s="319" t="s">
        <v>829</v>
      </c>
      <c r="G591" s="320" t="s">
        <v>917</v>
      </c>
      <c r="H591" s="318" t="s">
        <v>1133</v>
      </c>
      <c r="I591" s="318"/>
      <c r="J591" s="318" t="s">
        <v>1133</v>
      </c>
      <c r="K591" s="318" t="s">
        <v>1132</v>
      </c>
      <c r="L591" s="293" t="s">
        <v>52</v>
      </c>
      <c r="M591" s="293" t="s">
        <v>52</v>
      </c>
      <c r="N591" s="293" t="s">
        <v>1143</v>
      </c>
      <c r="O591" s="293" t="s">
        <v>1143</v>
      </c>
      <c r="P591" s="318">
        <v>0</v>
      </c>
      <c r="Q591" s="319">
        <v>8</v>
      </c>
      <c r="R591" s="103">
        <f t="shared" si="39"/>
        <v>1</v>
      </c>
      <c r="S591" s="294" t="s">
        <v>58</v>
      </c>
      <c r="T591" s="103">
        <f t="shared" si="38"/>
        <v>0</v>
      </c>
      <c r="U591" s="319">
        <v>5</v>
      </c>
      <c r="V591" s="103">
        <f t="shared" si="37"/>
        <v>1</v>
      </c>
      <c r="W591" s="327" t="s">
        <v>58</v>
      </c>
      <c r="X591" s="324">
        <f t="shared" si="36"/>
        <v>1</v>
      </c>
      <c r="Y591" s="338" t="s">
        <v>829</v>
      </c>
      <c r="Z591" s="343" t="s">
        <v>917</v>
      </c>
      <c r="AA591" s="319" t="s">
        <v>45</v>
      </c>
      <c r="AB591" s="294"/>
      <c r="AC591" s="321"/>
      <c r="AD591" s="321"/>
      <c r="AE591" s="319"/>
      <c r="AF591" s="319"/>
      <c r="AG591" s="319"/>
    </row>
    <row r="592" spans="1:33" ht="34" x14ac:dyDescent="0.2">
      <c r="A592" s="194" t="s">
        <v>1134</v>
      </c>
      <c r="B592" s="319">
        <v>261</v>
      </c>
      <c r="C592" s="65" t="s">
        <v>44</v>
      </c>
      <c r="D592" s="319" t="s">
        <v>45</v>
      </c>
      <c r="E592" s="318">
        <v>0</v>
      </c>
      <c r="F592" s="319" t="s">
        <v>829</v>
      </c>
      <c r="G592" s="320" t="s">
        <v>918</v>
      </c>
      <c r="H592" s="318" t="s">
        <v>1133</v>
      </c>
      <c r="I592" s="318"/>
      <c r="J592" s="318" t="s">
        <v>1133</v>
      </c>
      <c r="K592" s="318" t="s">
        <v>1132</v>
      </c>
      <c r="L592" s="293" t="s">
        <v>52</v>
      </c>
      <c r="M592" s="293" t="s">
        <v>52</v>
      </c>
      <c r="N592" s="293" t="s">
        <v>1143</v>
      </c>
      <c r="O592" s="293" t="s">
        <v>1143</v>
      </c>
      <c r="P592" s="318">
        <v>0</v>
      </c>
      <c r="Q592" s="319">
        <v>8</v>
      </c>
      <c r="R592" s="103">
        <f t="shared" si="39"/>
        <v>1</v>
      </c>
      <c r="S592" s="320"/>
      <c r="T592" s="103">
        <f t="shared" si="38"/>
        <v>1</v>
      </c>
      <c r="U592" s="319"/>
      <c r="V592" s="103">
        <f t="shared" si="37"/>
        <v>0</v>
      </c>
      <c r="W592" s="327"/>
      <c r="X592" s="324">
        <f t="shared" si="36"/>
        <v>0</v>
      </c>
      <c r="Y592" s="338" t="s">
        <v>829</v>
      </c>
      <c r="Z592" s="343" t="s">
        <v>918</v>
      </c>
      <c r="AA592" s="319" t="s">
        <v>45</v>
      </c>
      <c r="AB592" s="294"/>
      <c r="AC592" s="321"/>
      <c r="AD592" s="321"/>
      <c r="AE592" s="319"/>
      <c r="AF592" s="319"/>
      <c r="AG592" s="319"/>
    </row>
    <row r="593" spans="1:33" ht="17" x14ac:dyDescent="0.2">
      <c r="A593" s="194" t="s">
        <v>1134</v>
      </c>
      <c r="B593" s="319">
        <v>261</v>
      </c>
      <c r="C593" s="65" t="s">
        <v>44</v>
      </c>
      <c r="D593" s="319" t="s">
        <v>45</v>
      </c>
      <c r="E593" s="318">
        <v>0</v>
      </c>
      <c r="F593" s="319" t="s">
        <v>829</v>
      </c>
      <c r="G593" s="320" t="s">
        <v>919</v>
      </c>
      <c r="H593" s="318" t="s">
        <v>1133</v>
      </c>
      <c r="I593" s="318"/>
      <c r="J593" s="318" t="s">
        <v>1133</v>
      </c>
      <c r="K593" s="318" t="s">
        <v>1132</v>
      </c>
      <c r="L593" s="293" t="s">
        <v>1145</v>
      </c>
      <c r="M593" s="293" t="s">
        <v>49</v>
      </c>
      <c r="N593" s="293" t="s">
        <v>49</v>
      </c>
      <c r="O593" s="293" t="s">
        <v>1163</v>
      </c>
      <c r="P593" s="318">
        <v>0</v>
      </c>
      <c r="Q593" s="319">
        <v>9</v>
      </c>
      <c r="R593" s="103">
        <f t="shared" si="39"/>
        <v>1</v>
      </c>
      <c r="S593" s="320"/>
      <c r="T593" s="103">
        <f t="shared" si="38"/>
        <v>0</v>
      </c>
      <c r="U593" s="319"/>
      <c r="V593" s="103">
        <f t="shared" si="37"/>
        <v>0</v>
      </c>
      <c r="W593" s="327"/>
      <c r="X593" s="324">
        <f t="shared" si="36"/>
        <v>0</v>
      </c>
      <c r="Y593" s="338" t="s">
        <v>829</v>
      </c>
      <c r="Z593" s="343" t="s">
        <v>919</v>
      </c>
      <c r="AA593" s="319" t="s">
        <v>45</v>
      </c>
      <c r="AB593" s="294"/>
      <c r="AC593" s="321"/>
      <c r="AD593" s="321"/>
      <c r="AE593" s="319"/>
      <c r="AF593" s="319"/>
      <c r="AG593" s="319"/>
    </row>
    <row r="594" spans="1:33" ht="17" x14ac:dyDescent="0.2">
      <c r="A594" s="194" t="s">
        <v>1134</v>
      </c>
      <c r="B594" s="319">
        <v>261</v>
      </c>
      <c r="C594" s="65" t="s">
        <v>44</v>
      </c>
      <c r="D594" s="319" t="s">
        <v>45</v>
      </c>
      <c r="E594" s="318">
        <v>0</v>
      </c>
      <c r="F594" s="319" t="s">
        <v>829</v>
      </c>
      <c r="G594" s="320" t="s">
        <v>920</v>
      </c>
      <c r="H594" s="318" t="s">
        <v>1133</v>
      </c>
      <c r="I594" s="318"/>
      <c r="J594" s="318" t="s">
        <v>1133</v>
      </c>
      <c r="K594" s="318" t="s">
        <v>1132</v>
      </c>
      <c r="L594" s="293" t="s">
        <v>1145</v>
      </c>
      <c r="M594" s="293" t="s">
        <v>49</v>
      </c>
      <c r="N594" s="293" t="s">
        <v>49</v>
      </c>
      <c r="O594" s="293" t="s">
        <v>1163</v>
      </c>
      <c r="P594" s="318">
        <v>0</v>
      </c>
      <c r="Q594" s="319">
        <v>9</v>
      </c>
      <c r="R594" s="103">
        <f t="shared" si="39"/>
        <v>1</v>
      </c>
      <c r="S594" s="320"/>
      <c r="T594" s="103">
        <f t="shared" si="38"/>
        <v>0</v>
      </c>
      <c r="U594" s="319"/>
      <c r="V594" s="103">
        <f t="shared" si="37"/>
        <v>0</v>
      </c>
      <c r="W594" s="327"/>
      <c r="X594" s="324">
        <f t="shared" si="36"/>
        <v>0</v>
      </c>
      <c r="Y594" s="338" t="s">
        <v>829</v>
      </c>
      <c r="Z594" s="343" t="s">
        <v>920</v>
      </c>
      <c r="AA594" s="319" t="s">
        <v>45</v>
      </c>
      <c r="AB594" s="294"/>
      <c r="AC594" s="321"/>
      <c r="AD594" s="321"/>
      <c r="AE594" s="319"/>
      <c r="AF594" s="319"/>
      <c r="AG594" s="319"/>
    </row>
    <row r="595" spans="1:33" ht="17" x14ac:dyDescent="0.2">
      <c r="A595" s="194" t="s">
        <v>1134</v>
      </c>
      <c r="B595" s="319">
        <v>261</v>
      </c>
      <c r="C595" s="65" t="s">
        <v>44</v>
      </c>
      <c r="D595" s="319" t="s">
        <v>45</v>
      </c>
      <c r="E595" s="318">
        <v>0</v>
      </c>
      <c r="F595" s="319" t="s">
        <v>829</v>
      </c>
      <c r="G595" s="320" t="s">
        <v>921</v>
      </c>
      <c r="H595" s="318" t="s">
        <v>1133</v>
      </c>
      <c r="I595" s="318"/>
      <c r="J595" s="318" t="s">
        <v>1133</v>
      </c>
      <c r="K595" s="318" t="s">
        <v>1132</v>
      </c>
      <c r="L595" s="293" t="s">
        <v>1145</v>
      </c>
      <c r="M595" s="293" t="s">
        <v>49</v>
      </c>
      <c r="N595" s="293" t="s">
        <v>49</v>
      </c>
      <c r="O595" s="293" t="s">
        <v>1163</v>
      </c>
      <c r="P595" s="318">
        <v>0</v>
      </c>
      <c r="Q595" s="319">
        <v>9</v>
      </c>
      <c r="R595" s="103">
        <f t="shared" si="39"/>
        <v>1</v>
      </c>
      <c r="S595" s="320"/>
      <c r="T595" s="103">
        <f t="shared" si="38"/>
        <v>0</v>
      </c>
      <c r="U595" s="319"/>
      <c r="V595" s="103">
        <f t="shared" si="37"/>
        <v>0</v>
      </c>
      <c r="W595" s="327"/>
      <c r="X595" s="324">
        <f t="shared" si="36"/>
        <v>0</v>
      </c>
      <c r="Y595" s="338" t="s">
        <v>829</v>
      </c>
      <c r="Z595" s="343" t="s">
        <v>921</v>
      </c>
      <c r="AA595" s="319" t="s">
        <v>45</v>
      </c>
      <c r="AB595" s="294"/>
      <c r="AC595" s="321"/>
      <c r="AD595" s="321"/>
      <c r="AE595" s="319"/>
      <c r="AF595" s="319"/>
      <c r="AG595" s="319"/>
    </row>
    <row r="596" spans="1:33" ht="17" x14ac:dyDescent="0.2">
      <c r="A596" s="194" t="s">
        <v>1134</v>
      </c>
      <c r="B596" s="319">
        <v>261</v>
      </c>
      <c r="C596" s="65" t="s">
        <v>44</v>
      </c>
      <c r="D596" s="319" t="s">
        <v>45</v>
      </c>
      <c r="E596" s="318">
        <v>0</v>
      </c>
      <c r="F596" s="319" t="s">
        <v>832</v>
      </c>
      <c r="G596" s="320" t="s">
        <v>922</v>
      </c>
      <c r="H596" s="318" t="s">
        <v>1133</v>
      </c>
      <c r="I596" s="318"/>
      <c r="J596" s="318" t="s">
        <v>1133</v>
      </c>
      <c r="K596" s="318" t="s">
        <v>1132</v>
      </c>
      <c r="L596" s="293" t="s">
        <v>1145</v>
      </c>
      <c r="M596" s="293" t="s">
        <v>49</v>
      </c>
      <c r="N596" s="293" t="s">
        <v>49</v>
      </c>
      <c r="O596" s="293" t="s">
        <v>1163</v>
      </c>
      <c r="P596" s="318">
        <v>0</v>
      </c>
      <c r="Q596" s="319">
        <v>9</v>
      </c>
      <c r="R596" s="103">
        <f t="shared" si="39"/>
        <v>1</v>
      </c>
      <c r="S596" s="320"/>
      <c r="T596" s="103">
        <f t="shared" si="38"/>
        <v>0</v>
      </c>
      <c r="U596" s="319"/>
      <c r="V596" s="103">
        <f t="shared" si="37"/>
        <v>0</v>
      </c>
      <c r="W596" s="327"/>
      <c r="X596" s="324">
        <f t="shared" si="36"/>
        <v>0</v>
      </c>
      <c r="Y596" s="338" t="s">
        <v>832</v>
      </c>
      <c r="Z596" s="343" t="s">
        <v>922</v>
      </c>
      <c r="AA596" s="319" t="s">
        <v>45</v>
      </c>
      <c r="AB596" s="294"/>
      <c r="AC596" s="321"/>
      <c r="AD596" s="321"/>
      <c r="AE596" s="319"/>
      <c r="AF596" s="319"/>
      <c r="AG596" s="319"/>
    </row>
    <row r="597" spans="1:33" ht="68" x14ac:dyDescent="0.2">
      <c r="A597" s="194" t="s">
        <v>1134</v>
      </c>
      <c r="B597" s="319">
        <v>261</v>
      </c>
      <c r="C597" s="65" t="s">
        <v>44</v>
      </c>
      <c r="D597" s="319" t="s">
        <v>45</v>
      </c>
      <c r="E597" s="318">
        <v>0</v>
      </c>
      <c r="F597" s="319" t="s">
        <v>923</v>
      </c>
      <c r="G597" s="320" t="s">
        <v>924</v>
      </c>
      <c r="H597" s="318" t="s">
        <v>1133</v>
      </c>
      <c r="I597" s="318"/>
      <c r="J597" s="318" t="s">
        <v>1133</v>
      </c>
      <c r="K597" s="318" t="s">
        <v>1132</v>
      </c>
      <c r="L597" s="293" t="s">
        <v>1145</v>
      </c>
      <c r="M597" s="293" t="s">
        <v>49</v>
      </c>
      <c r="N597" s="293" t="s">
        <v>49</v>
      </c>
      <c r="O597" s="293" t="s">
        <v>1163</v>
      </c>
      <c r="P597" s="318">
        <v>0</v>
      </c>
      <c r="Q597" s="319"/>
      <c r="R597" s="103">
        <f t="shared" si="39"/>
        <v>0</v>
      </c>
      <c r="S597" s="320"/>
      <c r="T597" s="103">
        <f t="shared" si="38"/>
        <v>0</v>
      </c>
      <c r="U597" s="319"/>
      <c r="V597" s="103">
        <f t="shared" si="37"/>
        <v>0</v>
      </c>
      <c r="W597" s="327"/>
      <c r="X597" s="324">
        <f t="shared" si="36"/>
        <v>0</v>
      </c>
      <c r="Y597" s="338" t="s">
        <v>923</v>
      </c>
      <c r="Z597" s="343" t="s">
        <v>924</v>
      </c>
      <c r="AA597" s="319" t="s">
        <v>45</v>
      </c>
      <c r="AB597" s="294"/>
      <c r="AC597" s="321"/>
      <c r="AD597" s="321"/>
      <c r="AE597" s="319"/>
      <c r="AF597" s="319"/>
      <c r="AG597" s="319"/>
    </row>
    <row r="598" spans="1:33" ht="51" x14ac:dyDescent="0.2">
      <c r="A598" s="194" t="s">
        <v>1134</v>
      </c>
      <c r="B598" s="319">
        <v>261</v>
      </c>
      <c r="C598" s="65" t="s">
        <v>44</v>
      </c>
      <c r="D598" s="319" t="s">
        <v>45</v>
      </c>
      <c r="E598" s="318">
        <v>0</v>
      </c>
      <c r="F598" s="319" t="s">
        <v>923</v>
      </c>
      <c r="G598" s="320" t="s">
        <v>925</v>
      </c>
      <c r="H598" s="318" t="s">
        <v>1133</v>
      </c>
      <c r="I598" s="318"/>
      <c r="J598" s="318" t="s">
        <v>1133</v>
      </c>
      <c r="K598" s="318" t="s">
        <v>1132</v>
      </c>
      <c r="L598" s="321" t="s">
        <v>52</v>
      </c>
      <c r="M598" s="293" t="s">
        <v>52</v>
      </c>
      <c r="N598" s="293" t="s">
        <v>1143</v>
      </c>
      <c r="O598" s="293" t="s">
        <v>1143</v>
      </c>
      <c r="P598" s="318">
        <v>0</v>
      </c>
      <c r="Q598" s="319"/>
      <c r="R598" s="103">
        <f t="shared" si="39"/>
        <v>0</v>
      </c>
      <c r="S598" s="321" t="s">
        <v>58</v>
      </c>
      <c r="T598" s="103">
        <f t="shared" si="38"/>
        <v>0</v>
      </c>
      <c r="U598" s="319"/>
      <c r="V598" s="103">
        <f t="shared" si="37"/>
        <v>0</v>
      </c>
      <c r="W598" s="327" t="s">
        <v>58</v>
      </c>
      <c r="X598" s="324">
        <f t="shared" si="36"/>
        <v>1</v>
      </c>
      <c r="Y598" s="338" t="s">
        <v>923</v>
      </c>
      <c r="Z598" s="343" t="s">
        <v>925</v>
      </c>
      <c r="AA598" s="319" t="s">
        <v>45</v>
      </c>
      <c r="AB598" s="294"/>
      <c r="AC598" s="321"/>
      <c r="AD598" s="321"/>
      <c r="AE598" s="319"/>
      <c r="AF598" s="319"/>
      <c r="AG598" s="319"/>
    </row>
    <row r="599" spans="1:33" ht="68" x14ac:dyDescent="0.2">
      <c r="A599" s="194" t="s">
        <v>1134</v>
      </c>
      <c r="B599" s="319">
        <v>261</v>
      </c>
      <c r="C599" s="65" t="s">
        <v>44</v>
      </c>
      <c r="D599" s="319" t="s">
        <v>45</v>
      </c>
      <c r="E599" s="318">
        <v>0</v>
      </c>
      <c r="F599" s="319" t="s">
        <v>923</v>
      </c>
      <c r="G599" s="320" t="s">
        <v>926</v>
      </c>
      <c r="H599" s="318" t="s">
        <v>1133</v>
      </c>
      <c r="I599" s="318"/>
      <c r="J599" s="318" t="s">
        <v>1133</v>
      </c>
      <c r="K599" s="318" t="s">
        <v>1132</v>
      </c>
      <c r="L599" s="293" t="s">
        <v>52</v>
      </c>
      <c r="M599" s="293" t="s">
        <v>52</v>
      </c>
      <c r="N599" s="293" t="s">
        <v>1143</v>
      </c>
      <c r="O599" s="293" t="s">
        <v>1143</v>
      </c>
      <c r="P599" s="318">
        <v>0</v>
      </c>
      <c r="Q599" s="319"/>
      <c r="R599" s="103">
        <f t="shared" si="39"/>
        <v>0</v>
      </c>
      <c r="S599" s="320"/>
      <c r="T599" s="103">
        <f t="shared" si="38"/>
        <v>1</v>
      </c>
      <c r="U599" s="319"/>
      <c r="V599" s="103">
        <f t="shared" si="37"/>
        <v>0</v>
      </c>
      <c r="W599" s="327"/>
      <c r="X599" s="324">
        <f t="shared" si="36"/>
        <v>0</v>
      </c>
      <c r="Y599" s="338" t="s">
        <v>923</v>
      </c>
      <c r="Z599" s="343" t="s">
        <v>926</v>
      </c>
      <c r="AA599" s="319" t="s">
        <v>45</v>
      </c>
      <c r="AB599" s="294"/>
      <c r="AC599" s="321"/>
      <c r="AD599" s="321"/>
      <c r="AE599" s="319"/>
      <c r="AF599" s="319"/>
      <c r="AG599" s="319"/>
    </row>
    <row r="600" spans="1:33" ht="68" x14ac:dyDescent="0.2">
      <c r="A600" s="194" t="s">
        <v>1134</v>
      </c>
      <c r="B600" s="319">
        <v>261</v>
      </c>
      <c r="C600" s="65" t="s">
        <v>44</v>
      </c>
      <c r="D600" s="319" t="s">
        <v>45</v>
      </c>
      <c r="E600" s="318">
        <v>0</v>
      </c>
      <c r="F600" s="319" t="s">
        <v>923</v>
      </c>
      <c r="G600" s="320" t="s">
        <v>927</v>
      </c>
      <c r="H600" s="318" t="s">
        <v>1133</v>
      </c>
      <c r="I600" s="318"/>
      <c r="J600" s="318" t="s">
        <v>1133</v>
      </c>
      <c r="K600" s="318" t="s">
        <v>1132</v>
      </c>
      <c r="L600" s="293" t="s">
        <v>52</v>
      </c>
      <c r="M600" s="293" t="s">
        <v>52</v>
      </c>
      <c r="N600" s="293" t="s">
        <v>1143</v>
      </c>
      <c r="O600" s="293" t="s">
        <v>1143</v>
      </c>
      <c r="P600" s="318">
        <v>0</v>
      </c>
      <c r="Q600" s="319"/>
      <c r="R600" s="103">
        <f t="shared" si="39"/>
        <v>0</v>
      </c>
      <c r="S600" s="294" t="s">
        <v>340</v>
      </c>
      <c r="T600" s="103">
        <f t="shared" si="38"/>
        <v>0</v>
      </c>
      <c r="U600" s="319"/>
      <c r="V600" s="103">
        <f t="shared" si="37"/>
        <v>0</v>
      </c>
      <c r="W600" s="327"/>
      <c r="X600" s="324">
        <f t="shared" si="36"/>
        <v>0</v>
      </c>
      <c r="Y600" s="338" t="s">
        <v>923</v>
      </c>
      <c r="Z600" s="343" t="s">
        <v>927</v>
      </c>
      <c r="AA600" s="319" t="s">
        <v>45</v>
      </c>
      <c r="AB600" s="294"/>
      <c r="AC600" s="321"/>
      <c r="AD600" s="321"/>
      <c r="AE600" s="319"/>
      <c r="AF600" s="319"/>
      <c r="AG600" s="319"/>
    </row>
    <row r="601" spans="1:33" ht="85" x14ac:dyDescent="0.2">
      <c r="A601" s="194" t="s">
        <v>1134</v>
      </c>
      <c r="B601" s="319">
        <v>261</v>
      </c>
      <c r="C601" s="65" t="s">
        <v>44</v>
      </c>
      <c r="D601" s="319" t="s">
        <v>45</v>
      </c>
      <c r="E601" s="318">
        <v>0</v>
      </c>
      <c r="F601" s="319" t="s">
        <v>923</v>
      </c>
      <c r="G601" s="320" t="s">
        <v>928</v>
      </c>
      <c r="H601" s="318" t="s">
        <v>1133</v>
      </c>
      <c r="I601" s="318"/>
      <c r="J601" s="318" t="s">
        <v>1133</v>
      </c>
      <c r="K601" s="318" t="s">
        <v>1132</v>
      </c>
      <c r="L601" s="293" t="s">
        <v>52</v>
      </c>
      <c r="M601" s="293" t="s">
        <v>52</v>
      </c>
      <c r="N601" s="293" t="s">
        <v>1143</v>
      </c>
      <c r="O601" s="293" t="s">
        <v>1143</v>
      </c>
      <c r="P601" s="318">
        <v>0</v>
      </c>
      <c r="Q601" s="319"/>
      <c r="R601" s="103">
        <f t="shared" si="39"/>
        <v>0</v>
      </c>
      <c r="S601" s="320"/>
      <c r="T601" s="103">
        <f t="shared" si="38"/>
        <v>1</v>
      </c>
      <c r="U601" s="319"/>
      <c r="V601" s="103">
        <f t="shared" si="37"/>
        <v>0</v>
      </c>
      <c r="W601" s="327"/>
      <c r="X601" s="324">
        <f t="shared" si="36"/>
        <v>0</v>
      </c>
      <c r="Y601" s="338" t="s">
        <v>923</v>
      </c>
      <c r="Z601" s="343" t="s">
        <v>928</v>
      </c>
      <c r="AA601" s="319" t="s">
        <v>45</v>
      </c>
      <c r="AB601" s="294"/>
      <c r="AC601" s="321"/>
      <c r="AD601" s="321"/>
      <c r="AE601" s="319"/>
      <c r="AF601" s="319"/>
      <c r="AG601" s="319"/>
    </row>
    <row r="602" spans="1:33" ht="68" x14ac:dyDescent="0.2">
      <c r="A602" s="194" t="s">
        <v>1134</v>
      </c>
      <c r="B602" s="319">
        <v>261</v>
      </c>
      <c r="C602" s="65" t="s">
        <v>44</v>
      </c>
      <c r="D602" s="319" t="s">
        <v>45</v>
      </c>
      <c r="E602" s="318">
        <v>0</v>
      </c>
      <c r="F602" s="319" t="s">
        <v>923</v>
      </c>
      <c r="G602" s="320" t="s">
        <v>929</v>
      </c>
      <c r="H602" s="318" t="s">
        <v>1133</v>
      </c>
      <c r="I602" s="318"/>
      <c r="J602" s="318" t="s">
        <v>1133</v>
      </c>
      <c r="K602" s="318" t="s">
        <v>1132</v>
      </c>
      <c r="L602" s="293" t="s">
        <v>52</v>
      </c>
      <c r="M602" s="293" t="s">
        <v>52</v>
      </c>
      <c r="N602" s="293" t="s">
        <v>1143</v>
      </c>
      <c r="O602" s="293" t="s">
        <v>1143</v>
      </c>
      <c r="P602" s="318">
        <v>0</v>
      </c>
      <c r="Q602" s="319"/>
      <c r="R602" s="103">
        <f t="shared" si="39"/>
        <v>0</v>
      </c>
      <c r="S602" s="294" t="s">
        <v>58</v>
      </c>
      <c r="T602" s="103">
        <f t="shared" si="38"/>
        <v>0</v>
      </c>
      <c r="U602" s="319"/>
      <c r="V602" s="103">
        <f t="shared" si="37"/>
        <v>0</v>
      </c>
      <c r="W602" s="327" t="s">
        <v>58</v>
      </c>
      <c r="X602" s="324">
        <f t="shared" si="36"/>
        <v>1</v>
      </c>
      <c r="Y602" s="338" t="s">
        <v>923</v>
      </c>
      <c r="Z602" s="343" t="s">
        <v>929</v>
      </c>
      <c r="AA602" s="319" t="s">
        <v>45</v>
      </c>
      <c r="AB602" s="294"/>
      <c r="AC602" s="321"/>
      <c r="AD602" s="321"/>
      <c r="AE602" s="319"/>
      <c r="AF602" s="319"/>
      <c r="AG602" s="319"/>
    </row>
    <row r="603" spans="1:33" ht="51" x14ac:dyDescent="0.2">
      <c r="A603" s="194" t="s">
        <v>1134</v>
      </c>
      <c r="B603" s="319">
        <v>261</v>
      </c>
      <c r="C603" s="65" t="s">
        <v>44</v>
      </c>
      <c r="D603" s="319" t="s">
        <v>45</v>
      </c>
      <c r="E603" s="318">
        <v>0</v>
      </c>
      <c r="F603" s="319" t="s">
        <v>923</v>
      </c>
      <c r="G603" s="320" t="s">
        <v>930</v>
      </c>
      <c r="H603" s="318" t="s">
        <v>1133</v>
      </c>
      <c r="I603" s="318"/>
      <c r="J603" s="318" t="s">
        <v>1133</v>
      </c>
      <c r="K603" s="318" t="s">
        <v>1132</v>
      </c>
      <c r="L603" s="293" t="s">
        <v>52</v>
      </c>
      <c r="M603" s="293" t="s">
        <v>52</v>
      </c>
      <c r="N603" s="293" t="s">
        <v>1143</v>
      </c>
      <c r="O603" s="293" t="s">
        <v>1143</v>
      </c>
      <c r="P603" s="318">
        <v>0</v>
      </c>
      <c r="Q603" s="319"/>
      <c r="R603" s="103">
        <f t="shared" si="39"/>
        <v>0</v>
      </c>
      <c r="S603" s="320"/>
      <c r="T603" s="103">
        <f t="shared" si="38"/>
        <v>1</v>
      </c>
      <c r="U603" s="319"/>
      <c r="V603" s="103">
        <f t="shared" si="37"/>
        <v>0</v>
      </c>
      <c r="W603" s="327"/>
      <c r="X603" s="324">
        <f t="shared" si="36"/>
        <v>0</v>
      </c>
      <c r="Y603" s="338" t="s">
        <v>923</v>
      </c>
      <c r="Z603" s="343" t="s">
        <v>930</v>
      </c>
      <c r="AA603" s="319" t="s">
        <v>45</v>
      </c>
      <c r="AB603" s="294"/>
      <c r="AC603" s="321"/>
      <c r="AD603" s="321"/>
      <c r="AE603" s="319"/>
      <c r="AF603" s="319"/>
      <c r="AG603" s="319"/>
    </row>
    <row r="604" spans="1:33" ht="51" x14ac:dyDescent="0.2">
      <c r="A604" s="194" t="s">
        <v>1134</v>
      </c>
      <c r="B604" s="319">
        <v>261</v>
      </c>
      <c r="C604" s="65" t="s">
        <v>44</v>
      </c>
      <c r="D604" s="319" t="s">
        <v>45</v>
      </c>
      <c r="E604" s="318">
        <v>0</v>
      </c>
      <c r="F604" s="319" t="s">
        <v>923</v>
      </c>
      <c r="G604" s="320" t="s">
        <v>931</v>
      </c>
      <c r="H604" s="318" t="s">
        <v>1133</v>
      </c>
      <c r="I604" s="318"/>
      <c r="J604" s="318" t="s">
        <v>1133</v>
      </c>
      <c r="K604" s="318" t="s">
        <v>1132</v>
      </c>
      <c r="L604" s="293" t="s">
        <v>1145</v>
      </c>
      <c r="M604" s="293" t="s">
        <v>49</v>
      </c>
      <c r="N604" s="293" t="s">
        <v>49</v>
      </c>
      <c r="O604" s="293" t="s">
        <v>1163</v>
      </c>
      <c r="P604" s="318">
        <v>0</v>
      </c>
      <c r="Q604" s="319"/>
      <c r="R604" s="103">
        <f t="shared" si="39"/>
        <v>0</v>
      </c>
      <c r="S604" s="320"/>
      <c r="T604" s="103">
        <f t="shared" si="38"/>
        <v>0</v>
      </c>
      <c r="U604" s="319"/>
      <c r="V604" s="103">
        <f t="shared" si="37"/>
        <v>0</v>
      </c>
      <c r="W604" s="327"/>
      <c r="X604" s="324">
        <f t="shared" si="36"/>
        <v>0</v>
      </c>
      <c r="Y604" s="338" t="s">
        <v>923</v>
      </c>
      <c r="Z604" s="343" t="s">
        <v>931</v>
      </c>
      <c r="AA604" s="319" t="s">
        <v>45</v>
      </c>
      <c r="AB604" s="294"/>
      <c r="AC604" s="321"/>
      <c r="AD604" s="321"/>
      <c r="AE604" s="319"/>
      <c r="AF604" s="319"/>
      <c r="AG604" s="319"/>
    </row>
    <row r="605" spans="1:33" ht="17" x14ac:dyDescent="0.2">
      <c r="A605" s="322" t="s">
        <v>1135</v>
      </c>
      <c r="B605" s="184">
        <v>261</v>
      </c>
      <c r="C605" s="185"/>
      <c r="D605" s="184" t="s">
        <v>45</v>
      </c>
      <c r="E605" s="184">
        <v>0</v>
      </c>
      <c r="F605" s="184" t="s">
        <v>932</v>
      </c>
      <c r="G605" s="185" t="s">
        <v>933</v>
      </c>
      <c r="H605" s="186">
        <v>44623.446574074071</v>
      </c>
      <c r="I605" s="186"/>
      <c r="J605" s="184">
        <v>10</v>
      </c>
      <c r="K605" s="322" t="s">
        <v>1132</v>
      </c>
      <c r="L605" s="190" t="s">
        <v>52</v>
      </c>
      <c r="M605" s="190" t="s">
        <v>52</v>
      </c>
      <c r="N605" s="190" t="s">
        <v>1143</v>
      </c>
      <c r="O605" s="190" t="s">
        <v>1143</v>
      </c>
      <c r="P605" s="184">
        <v>0</v>
      </c>
      <c r="Q605" s="184"/>
      <c r="R605" s="103">
        <f t="shared" si="39"/>
        <v>0</v>
      </c>
      <c r="S605" s="184"/>
      <c r="T605" s="103">
        <f t="shared" si="38"/>
        <v>0</v>
      </c>
      <c r="U605" s="184"/>
      <c r="V605" s="103">
        <f t="shared" si="37"/>
        <v>0</v>
      </c>
      <c r="W605" s="329"/>
      <c r="X605" s="324">
        <f t="shared" si="36"/>
        <v>0</v>
      </c>
      <c r="Y605" s="329" t="s">
        <v>932</v>
      </c>
      <c r="Z605" s="344" t="s">
        <v>933</v>
      </c>
      <c r="AA605" s="184" t="s">
        <v>45</v>
      </c>
      <c r="AB605" s="184"/>
      <c r="AC605" s="184"/>
      <c r="AD605" s="184"/>
      <c r="AE605" s="184"/>
      <c r="AF605" s="184"/>
      <c r="AG605" s="184"/>
    </row>
    <row r="606" spans="1:33" ht="51" x14ac:dyDescent="0.2">
      <c r="A606" s="322" t="s">
        <v>1135</v>
      </c>
      <c r="B606" s="184">
        <v>261</v>
      </c>
      <c r="C606" s="185"/>
      <c r="D606" s="184" t="s">
        <v>45</v>
      </c>
      <c r="E606" s="184">
        <v>0</v>
      </c>
      <c r="F606" s="184" t="s">
        <v>932</v>
      </c>
      <c r="G606" s="185" t="s">
        <v>934</v>
      </c>
      <c r="H606" s="186">
        <v>44623.447650462964</v>
      </c>
      <c r="I606" s="186"/>
      <c r="J606" s="184">
        <v>10</v>
      </c>
      <c r="K606" s="322" t="s">
        <v>1132</v>
      </c>
      <c r="L606" s="190" t="s">
        <v>52</v>
      </c>
      <c r="M606" s="190" t="s">
        <v>52</v>
      </c>
      <c r="N606" s="190" t="s">
        <v>1143</v>
      </c>
      <c r="O606" s="190" t="s">
        <v>1143</v>
      </c>
      <c r="P606" s="184">
        <v>0</v>
      </c>
      <c r="Q606" s="184"/>
      <c r="R606" s="103">
        <f t="shared" si="39"/>
        <v>0</v>
      </c>
      <c r="S606" s="184"/>
      <c r="T606" s="103">
        <f t="shared" si="38"/>
        <v>0</v>
      </c>
      <c r="U606" s="184"/>
      <c r="V606" s="103">
        <f t="shared" si="37"/>
        <v>0</v>
      </c>
      <c r="W606" s="329"/>
      <c r="X606" s="324">
        <f t="shared" si="36"/>
        <v>0</v>
      </c>
      <c r="Y606" s="329" t="s">
        <v>932</v>
      </c>
      <c r="Z606" s="344" t="s">
        <v>934</v>
      </c>
      <c r="AA606" s="184" t="s">
        <v>45</v>
      </c>
      <c r="AB606" s="184"/>
      <c r="AC606" s="184"/>
      <c r="AD606" s="184"/>
      <c r="AE606" s="184"/>
      <c r="AF606" s="184"/>
      <c r="AG606" s="184"/>
    </row>
    <row r="607" spans="1:33" ht="34" x14ac:dyDescent="0.2">
      <c r="A607" s="322" t="s">
        <v>1135</v>
      </c>
      <c r="B607" s="184">
        <v>261</v>
      </c>
      <c r="C607" s="185"/>
      <c r="D607" s="184" t="s">
        <v>45</v>
      </c>
      <c r="E607" s="184">
        <v>0</v>
      </c>
      <c r="F607" s="184" t="s">
        <v>935</v>
      </c>
      <c r="G607" s="185" t="s">
        <v>936</v>
      </c>
      <c r="H607" s="186">
        <v>44627.847418981481</v>
      </c>
      <c r="I607" s="186"/>
      <c r="J607" s="184">
        <v>8</v>
      </c>
      <c r="K607" s="322" t="s">
        <v>1132</v>
      </c>
      <c r="L607" s="190" t="s">
        <v>52</v>
      </c>
      <c r="M607" s="190" t="s">
        <v>52</v>
      </c>
      <c r="N607" s="190" t="s">
        <v>1143</v>
      </c>
      <c r="O607" s="190" t="s">
        <v>1143</v>
      </c>
      <c r="P607" s="184">
        <v>0</v>
      </c>
      <c r="Q607" s="184"/>
      <c r="R607" s="103">
        <f t="shared" si="39"/>
        <v>0</v>
      </c>
      <c r="S607" s="184"/>
      <c r="T607" s="103">
        <f t="shared" si="38"/>
        <v>0</v>
      </c>
      <c r="U607" s="184"/>
      <c r="V607" s="103">
        <f t="shared" si="37"/>
        <v>0</v>
      </c>
      <c r="W607" s="329"/>
      <c r="X607" s="324">
        <f t="shared" si="36"/>
        <v>0</v>
      </c>
      <c r="Y607" s="329" t="s">
        <v>935</v>
      </c>
      <c r="Z607" s="344" t="s">
        <v>936</v>
      </c>
      <c r="AA607" s="184" t="s">
        <v>45</v>
      </c>
      <c r="AB607" s="184"/>
      <c r="AC607" s="184"/>
      <c r="AD607" s="184"/>
      <c r="AE607" s="184"/>
      <c r="AF607" s="184"/>
      <c r="AG607" s="184"/>
    </row>
    <row r="608" spans="1:33" ht="68" x14ac:dyDescent="0.2">
      <c r="A608" s="322" t="s">
        <v>1135</v>
      </c>
      <c r="B608" s="184">
        <v>261</v>
      </c>
      <c r="C608" s="185"/>
      <c r="D608" s="184" t="s">
        <v>45</v>
      </c>
      <c r="E608" s="184">
        <v>0</v>
      </c>
      <c r="F608" s="184" t="s">
        <v>935</v>
      </c>
      <c r="G608" s="185" t="s">
        <v>937</v>
      </c>
      <c r="H608" s="186">
        <v>44627.848761574074</v>
      </c>
      <c r="I608" s="186"/>
      <c r="J608" s="184">
        <v>8</v>
      </c>
      <c r="K608" s="322" t="s">
        <v>1132</v>
      </c>
      <c r="L608" s="190" t="s">
        <v>52</v>
      </c>
      <c r="M608" s="190" t="s">
        <v>52</v>
      </c>
      <c r="N608" s="190" t="s">
        <v>1143</v>
      </c>
      <c r="O608" s="190" t="s">
        <v>1143</v>
      </c>
      <c r="P608" s="184">
        <v>0</v>
      </c>
      <c r="Q608" s="184"/>
      <c r="R608" s="103">
        <f t="shared" si="39"/>
        <v>0</v>
      </c>
      <c r="S608" s="184"/>
      <c r="T608" s="103">
        <f t="shared" si="38"/>
        <v>0</v>
      </c>
      <c r="U608" s="184"/>
      <c r="V608" s="103">
        <f t="shared" si="37"/>
        <v>0</v>
      </c>
      <c r="W608" s="329"/>
      <c r="X608" s="324">
        <f t="shared" si="36"/>
        <v>0</v>
      </c>
      <c r="Y608" s="329" t="s">
        <v>935</v>
      </c>
      <c r="Z608" s="344" t="s">
        <v>937</v>
      </c>
      <c r="AA608" s="184" t="s">
        <v>45</v>
      </c>
      <c r="AB608" s="184"/>
      <c r="AC608" s="184"/>
      <c r="AD608" s="184"/>
      <c r="AE608" s="184"/>
      <c r="AF608" s="184"/>
      <c r="AG608" s="184"/>
    </row>
    <row r="609" spans="1:33" ht="85" x14ac:dyDescent="0.2">
      <c r="A609" s="322" t="s">
        <v>1135</v>
      </c>
      <c r="B609" s="184">
        <v>261</v>
      </c>
      <c r="C609" s="185"/>
      <c r="D609" s="184" t="s">
        <v>45</v>
      </c>
      <c r="E609" s="184">
        <v>0</v>
      </c>
      <c r="F609" s="184" t="s">
        <v>938</v>
      </c>
      <c r="G609" s="185" t="s">
        <v>939</v>
      </c>
      <c r="H609" s="186">
        <v>44628.926435185182</v>
      </c>
      <c r="I609" s="186"/>
      <c r="J609" s="184">
        <v>10</v>
      </c>
      <c r="K609" s="322" t="s">
        <v>1132</v>
      </c>
      <c r="L609" s="190" t="s">
        <v>52</v>
      </c>
      <c r="M609" s="190" t="s">
        <v>52</v>
      </c>
      <c r="N609" s="190" t="s">
        <v>1143</v>
      </c>
      <c r="O609" s="190" t="s">
        <v>1143</v>
      </c>
      <c r="P609" s="184">
        <v>0</v>
      </c>
      <c r="Q609" s="184"/>
      <c r="R609" s="103">
        <f t="shared" si="39"/>
        <v>0</v>
      </c>
      <c r="S609" s="184"/>
      <c r="T609" s="103">
        <f t="shared" si="38"/>
        <v>0</v>
      </c>
      <c r="U609" s="184"/>
      <c r="V609" s="103">
        <f t="shared" si="37"/>
        <v>0</v>
      </c>
      <c r="W609" s="329"/>
      <c r="X609" s="324">
        <f t="shared" si="36"/>
        <v>0</v>
      </c>
      <c r="Y609" s="329" t="s">
        <v>938</v>
      </c>
      <c r="Z609" s="344" t="s">
        <v>939</v>
      </c>
      <c r="AA609" s="184" t="s">
        <v>45</v>
      </c>
      <c r="AB609" s="184"/>
      <c r="AC609" s="184"/>
      <c r="AD609" s="184"/>
      <c r="AE609" s="184"/>
      <c r="AF609" s="184"/>
      <c r="AG609" s="184"/>
    </row>
    <row r="610" spans="1:33" ht="68" x14ac:dyDescent="0.2">
      <c r="A610" s="322" t="s">
        <v>1135</v>
      </c>
      <c r="B610" s="184">
        <v>261</v>
      </c>
      <c r="C610" s="185"/>
      <c r="D610" s="184" t="s">
        <v>45</v>
      </c>
      <c r="E610" s="184">
        <v>0</v>
      </c>
      <c r="F610" s="184" t="s">
        <v>938</v>
      </c>
      <c r="G610" s="185" t="s">
        <v>940</v>
      </c>
      <c r="H610" s="186">
        <v>44628.928587962961</v>
      </c>
      <c r="I610" s="186"/>
      <c r="J610" s="184">
        <v>10</v>
      </c>
      <c r="K610" s="322" t="s">
        <v>1132</v>
      </c>
      <c r="L610" s="190" t="s">
        <v>52</v>
      </c>
      <c r="M610" s="190" t="s">
        <v>52</v>
      </c>
      <c r="N610" s="190" t="s">
        <v>1143</v>
      </c>
      <c r="O610" s="190" t="s">
        <v>1143</v>
      </c>
      <c r="P610" s="184">
        <v>0</v>
      </c>
      <c r="Q610" s="184"/>
      <c r="R610" s="103">
        <f t="shared" si="39"/>
        <v>0</v>
      </c>
      <c r="S610" s="184"/>
      <c r="T610" s="103">
        <f t="shared" si="38"/>
        <v>0</v>
      </c>
      <c r="U610" s="184"/>
      <c r="V610" s="103">
        <f t="shared" si="37"/>
        <v>0</v>
      </c>
      <c r="W610" s="329"/>
      <c r="X610" s="324">
        <f t="shared" si="36"/>
        <v>0</v>
      </c>
      <c r="Y610" s="329" t="s">
        <v>938</v>
      </c>
      <c r="Z610" s="344" t="s">
        <v>940</v>
      </c>
      <c r="AA610" s="184" t="s">
        <v>45</v>
      </c>
      <c r="AB610" s="184"/>
      <c r="AC610" s="184"/>
      <c r="AD610" s="184"/>
      <c r="AE610" s="184"/>
      <c r="AF610" s="184"/>
      <c r="AG610" s="184"/>
    </row>
    <row r="611" spans="1:33" ht="68" x14ac:dyDescent="0.2">
      <c r="A611" s="322" t="s">
        <v>1135</v>
      </c>
      <c r="B611" s="184">
        <v>261</v>
      </c>
      <c r="C611" s="185"/>
      <c r="D611" s="184" t="s">
        <v>45</v>
      </c>
      <c r="E611" s="184">
        <v>0</v>
      </c>
      <c r="F611" s="184" t="s">
        <v>941</v>
      </c>
      <c r="G611" s="185" t="s">
        <v>942</v>
      </c>
      <c r="H611" s="186">
        <v>44631.742939814816</v>
      </c>
      <c r="I611" s="186"/>
      <c r="J611" s="184">
        <v>10</v>
      </c>
      <c r="K611" s="322" t="s">
        <v>1132</v>
      </c>
      <c r="L611" s="190" t="s">
        <v>52</v>
      </c>
      <c r="M611" s="190" t="s">
        <v>52</v>
      </c>
      <c r="N611" s="190" t="s">
        <v>1143</v>
      </c>
      <c r="O611" s="190" t="s">
        <v>1143</v>
      </c>
      <c r="P611" s="184">
        <v>0</v>
      </c>
      <c r="Q611" s="184"/>
      <c r="R611" s="103">
        <f t="shared" si="39"/>
        <v>0</v>
      </c>
      <c r="S611" s="184"/>
      <c r="T611" s="103">
        <f t="shared" si="38"/>
        <v>0</v>
      </c>
      <c r="U611" s="184"/>
      <c r="V611" s="103">
        <f t="shared" si="37"/>
        <v>0</v>
      </c>
      <c r="W611" s="329"/>
      <c r="X611" s="324">
        <f t="shared" si="36"/>
        <v>0</v>
      </c>
      <c r="Y611" s="329" t="s">
        <v>941</v>
      </c>
      <c r="Z611" s="344" t="s">
        <v>942</v>
      </c>
      <c r="AA611" s="184" t="s">
        <v>45</v>
      </c>
      <c r="AB611" s="184"/>
      <c r="AC611" s="184"/>
      <c r="AD611" s="184"/>
      <c r="AE611" s="184"/>
      <c r="AF611" s="184"/>
      <c r="AG611" s="184"/>
    </row>
    <row r="612" spans="1:33" ht="119" x14ac:dyDescent="0.2">
      <c r="A612" s="322" t="s">
        <v>1135</v>
      </c>
      <c r="B612" s="184">
        <v>261</v>
      </c>
      <c r="C612" s="185"/>
      <c r="D612" s="184" t="s">
        <v>45</v>
      </c>
      <c r="E612" s="184">
        <v>0</v>
      </c>
      <c r="F612" s="184" t="s">
        <v>941</v>
      </c>
      <c r="G612" s="185" t="s">
        <v>943</v>
      </c>
      <c r="H612" s="186">
        <v>44631.746817129628</v>
      </c>
      <c r="I612" s="186"/>
      <c r="J612" s="184">
        <v>10</v>
      </c>
      <c r="K612" s="322" t="s">
        <v>1132</v>
      </c>
      <c r="L612" s="190" t="s">
        <v>52</v>
      </c>
      <c r="M612" s="190" t="s">
        <v>52</v>
      </c>
      <c r="N612" s="190" t="s">
        <v>1143</v>
      </c>
      <c r="O612" s="190" t="s">
        <v>1143</v>
      </c>
      <c r="P612" s="184">
        <v>0</v>
      </c>
      <c r="Q612" s="184"/>
      <c r="R612" s="103">
        <f t="shared" si="39"/>
        <v>0</v>
      </c>
      <c r="S612" s="184"/>
      <c r="T612" s="103">
        <f t="shared" si="38"/>
        <v>0</v>
      </c>
      <c r="U612" s="184"/>
      <c r="V612" s="103">
        <f t="shared" si="37"/>
        <v>0</v>
      </c>
      <c r="W612" s="329"/>
      <c r="X612" s="324">
        <f t="shared" si="36"/>
        <v>0</v>
      </c>
      <c r="Y612" s="329" t="s">
        <v>941</v>
      </c>
      <c r="Z612" s="344" t="s">
        <v>943</v>
      </c>
      <c r="AA612" s="184" t="s">
        <v>45</v>
      </c>
      <c r="AB612" s="184"/>
      <c r="AC612" s="184"/>
      <c r="AD612" s="184"/>
      <c r="AE612" s="184"/>
      <c r="AF612" s="184"/>
      <c r="AG612" s="184"/>
    </row>
  </sheetData>
  <dataValidations disablePrompts="1" count="2">
    <dataValidation type="list" allowBlank="1" showInputMessage="1" showErrorMessage="1" sqref="AC48 AC69 AC72:AC133" xr:uid="{A8440295-929D-4E3D-9F97-38D171936CB4}">
      <formula1>" , C-LOT, H-LOT, C-HOT, O-HOT"</formula1>
    </dataValidation>
    <dataValidation type="list" allowBlank="1" showInputMessage="1" showErrorMessage="1" sqref="AC2:AC47 AC49:AC68 AC70:AC71 AC134:AC195" xr:uid="{CC3AC3EF-2913-44C5-92C3-F8AA26A6EF7D}">
      <formula1>" , C-LOT, O-LOT, C-HOT, O-HOT"</formula1>
    </dataValidation>
  </dataValidations>
  <hyperlinks>
    <hyperlink ref="K2" location="'F20 Collaborative Writing'!B2" display="'F20 Collaborative Writing'!B2" xr:uid="{4CAF1443-32B0-4B60-926D-F3B5DA92A4CA}"/>
    <hyperlink ref="K3:K10" location="'F20 Collaborative Writing'!B2" display="'F20 Collaborative Writing'!B2" xr:uid="{69DD95BC-11F2-4533-A5A5-E29A7CAD33B8}"/>
    <hyperlink ref="K11" location="'F20 Collaborative Writing'!B3" display="'F20 Collaborative Writing'!B3" xr:uid="{19142148-F4C9-42A2-8A58-87691BA816D3}"/>
    <hyperlink ref="K12:K73" location="'F20 Collaborative Writing'!B3" display="'F20 Collaborative Writing'!B3" xr:uid="{A36C96B3-A130-4316-9685-53195FC68B40}"/>
    <hyperlink ref="K74" location="'F20 Collaborative Writing'!B4" display="'F20 Collaborative Writing'!B4" xr:uid="{3997C4F4-F17F-4C2E-8EA7-DA0F1FF531C1}"/>
    <hyperlink ref="K75:K79" location="'F20 Collaborative Writing'!B4" display="'F20 Collaborative Writing'!B4" xr:uid="{CA003E23-3C61-44F4-8A03-00CDF65DCF7B}"/>
    <hyperlink ref="K80" location="'F20 Collaborative Writing'!B5" display="'F20 Collaborative Writing'!B5" xr:uid="{8EC9479F-7686-45E1-BB14-84DEE0E79353}"/>
    <hyperlink ref="K81:K177" location="'F20 Collaborative Writing'!B5" display="'F20 Collaborative Writing'!B5" xr:uid="{98D4FDC6-6E19-4572-A6C0-EFABAF6FFED7}"/>
    <hyperlink ref="K178" location="'F20 Collaborative Writing'!B6" display="'F20 Collaborative Writing'!B6" xr:uid="{C0FC95D2-FB46-49CE-B9A6-AE932077A606}"/>
    <hyperlink ref="K179:K195" location="'F20 Collaborative Writing'!B6" display="'F20 Collaborative Writing'!B6" xr:uid="{70B83B5B-F8CD-4A8D-BE28-D709A306783F}"/>
    <hyperlink ref="K196" location="'S21 Collaborative Writing'!B2" display="'S21 Collaborative Writing'!B2" xr:uid="{54E7C627-E4E0-4C4F-88EB-9B200653166F}"/>
    <hyperlink ref="K214" location="'S21 Collaborative Writing'!B3" display="'S21 Collaborative Writing'!B3" xr:uid="{CC1F5363-7684-44EC-8D40-009EE52565DD}"/>
    <hyperlink ref="K221" location="'S21 Collaborative Writing'!B4" display="'S21 Collaborative Writing'!B4" xr:uid="{D5333B87-8058-453E-A3C1-725CEAF9AB19}"/>
    <hyperlink ref="K197:K213" location="'S21 Collaborative Writing'!B2" display="'S21 Collaborative Writing'!B2" xr:uid="{8BEA1754-24E2-4754-B835-8249EC54F000}"/>
    <hyperlink ref="K215:K220" location="'S21 Collaborative Writing'!B3" display="'S21 Collaborative Writing'!B3" xr:uid="{DF19BAD6-B562-4EE7-9377-30759FB5AA80}"/>
    <hyperlink ref="K222:K232" location="'S21 Collaborative Writing'!B4" display="'S21 Collaborative Writing'!B4" xr:uid="{DA97194F-64CC-4C0D-A336-E642A22C9078}"/>
    <hyperlink ref="K233" location="'S21 Collaborative Writing'!B5" display="'S21 Collaborative Writing'!B5" xr:uid="{0686E21F-F16B-49ED-B344-420ACF0341D6}"/>
    <hyperlink ref="K234:K292" location="'S21 Collaborative Writing'!B5" display="'S21 Collaborative Writing'!B5" xr:uid="{20F962BD-6537-403A-A8EB-4D23A4DD86CD}"/>
    <hyperlink ref="K293" location="'S21 Collaborative Writing'!B6" display="'S21 Collaborative Writing'!B6" xr:uid="{56275982-E40E-415E-989A-387A7473ECA4}"/>
    <hyperlink ref="K294:K316" location="'S21 Collaborative Writing'!B6" display="'S21 Collaborative Writing'!B6" xr:uid="{1A0D6509-67CC-447C-9907-DC305FAEE20C}"/>
    <hyperlink ref="K317" location="'S21 Collaborative Writing'!B7" display="'S21 Collaborative Writing'!B7" xr:uid="{53D467A1-FCB6-4E40-8E67-874469258E60}"/>
    <hyperlink ref="K318:K328" location="'S21 Collaborative Writing'!B7" display="'S21 Collaborative Writing'!B7" xr:uid="{F8F80D2E-E0C4-4F5E-B7E1-9ECEFECA0945}"/>
    <hyperlink ref="K329" location="'S21 Collaborative Writing'!B8" display="'S21 Collaborative Writing'!B8" xr:uid="{FE8AEE6F-1EA0-44A6-AAC8-06CA43405C51}"/>
    <hyperlink ref="K330:K422" location="'S21 Collaborative Writing'!B8" display="'S21 Collaborative Writing'!B8" xr:uid="{7C30B3DE-FD88-4E71-AFEA-C1EFB496D512}"/>
  </hyperlinks>
  <pageMargins left="0.7" right="0.7" top="0.75" bottom="0.75" header="0.3" footer="0.3"/>
  <pageSetup orientation="portrait" horizontalDpi="0" verticalDpi="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2980E-7DC0-0643-8388-D69BF6BAC2EA}">
  <dimension ref="A1:AG10"/>
  <sheetViews>
    <sheetView tabSelected="1" workbookViewId="0">
      <selection activeCell="F2" sqref="F2:F10"/>
    </sheetView>
  </sheetViews>
  <sheetFormatPr baseColWidth="10" defaultRowHeight="13" x14ac:dyDescent="0.15"/>
  <cols>
    <col min="8" max="8" width="16.33203125" customWidth="1"/>
  </cols>
  <sheetData>
    <row r="1" spans="1:33" s="296" customFormat="1" ht="30" x14ac:dyDescent="0.15">
      <c r="A1" s="309" t="s">
        <v>21</v>
      </c>
      <c r="B1" s="310" t="s">
        <v>22</v>
      </c>
      <c r="C1" s="311" t="s">
        <v>23</v>
      </c>
      <c r="D1" s="311" t="s">
        <v>24</v>
      </c>
      <c r="E1" s="311" t="s">
        <v>1080</v>
      </c>
      <c r="F1" s="309" t="s">
        <v>25</v>
      </c>
      <c r="G1" s="309" t="s">
        <v>26</v>
      </c>
      <c r="H1" s="309" t="s">
        <v>27</v>
      </c>
      <c r="I1" s="309" t="s">
        <v>28</v>
      </c>
      <c r="J1" s="309" t="s">
        <v>29</v>
      </c>
      <c r="K1" s="312" t="s">
        <v>30</v>
      </c>
      <c r="L1" s="313" t="s">
        <v>31</v>
      </c>
      <c r="M1" s="345" t="s">
        <v>1142</v>
      </c>
      <c r="N1" s="345" t="s">
        <v>1144</v>
      </c>
      <c r="O1" s="345" t="s">
        <v>1161</v>
      </c>
      <c r="P1" s="311" t="s">
        <v>1164</v>
      </c>
      <c r="Q1" s="313" t="s">
        <v>33</v>
      </c>
      <c r="R1" s="323" t="s">
        <v>1136</v>
      </c>
      <c r="S1" s="313" t="s">
        <v>35</v>
      </c>
      <c r="T1" s="323" t="s">
        <v>1138</v>
      </c>
      <c r="U1" s="345" t="s">
        <v>1140</v>
      </c>
      <c r="V1" s="346" t="s">
        <v>1137</v>
      </c>
      <c r="W1" s="345" t="s">
        <v>1141</v>
      </c>
      <c r="X1" s="314" t="s">
        <v>1139</v>
      </c>
      <c r="Y1" s="330" t="s">
        <v>25</v>
      </c>
      <c r="Z1" s="330" t="s">
        <v>26</v>
      </c>
      <c r="AA1" s="311" t="s">
        <v>24</v>
      </c>
      <c r="AB1" s="313" t="s">
        <v>37</v>
      </c>
      <c r="AC1" s="314" t="s">
        <v>38</v>
      </c>
      <c r="AD1" s="315" t="s">
        <v>39</v>
      </c>
      <c r="AE1" s="316" t="s">
        <v>40</v>
      </c>
      <c r="AF1" s="311" t="s">
        <v>41</v>
      </c>
      <c r="AG1" s="309" t="s">
        <v>42</v>
      </c>
    </row>
    <row r="2" spans="1:33" s="106" customFormat="1" ht="30" x14ac:dyDescent="0.15">
      <c r="A2" s="101" t="s">
        <v>43</v>
      </c>
      <c r="B2" s="102">
        <v>260</v>
      </c>
      <c r="C2" s="103" t="s">
        <v>44</v>
      </c>
      <c r="D2" s="103" t="s">
        <v>45</v>
      </c>
      <c r="E2" s="237">
        <v>1</v>
      </c>
      <c r="F2" s="331" t="s">
        <v>1165</v>
      </c>
      <c r="G2" s="101" t="s">
        <v>47</v>
      </c>
      <c r="H2" s="104">
        <v>44124.712500000001</v>
      </c>
      <c r="I2" s="101" t="s">
        <v>48</v>
      </c>
      <c r="J2" s="101">
        <v>10</v>
      </c>
      <c r="K2" s="105">
        <v>3.1</v>
      </c>
      <c r="L2" s="103"/>
      <c r="M2" s="103" t="s">
        <v>49</v>
      </c>
      <c r="N2" s="103" t="s">
        <v>49</v>
      </c>
      <c r="O2" s="103" t="s">
        <v>1163</v>
      </c>
      <c r="P2" s="237">
        <v>1</v>
      </c>
      <c r="Q2" s="103"/>
      <c r="R2" s="103">
        <f>IF(Q2&lt;&gt;"",1,0)</f>
        <v>0</v>
      </c>
      <c r="S2" s="103"/>
      <c r="T2" s="103">
        <f>IF(S1&lt;&gt;"",1,0)</f>
        <v>1</v>
      </c>
      <c r="U2" s="103">
        <v>1</v>
      </c>
      <c r="V2" s="103">
        <f>IF(U2&lt;&gt;"",1,0)</f>
        <v>1</v>
      </c>
      <c r="W2" s="324"/>
      <c r="X2" s="324">
        <f>IF(W2&lt;&gt;"",1,0)</f>
        <v>0</v>
      </c>
      <c r="Y2" s="331" t="s">
        <v>1165</v>
      </c>
      <c r="Z2" s="331" t="s">
        <v>47</v>
      </c>
      <c r="AA2" s="103" t="s">
        <v>45</v>
      </c>
      <c r="AB2" s="103"/>
      <c r="AC2" s="103"/>
      <c r="AD2" s="103"/>
      <c r="AE2" s="103"/>
      <c r="AF2" s="103"/>
      <c r="AG2" s="101" t="s">
        <v>50</v>
      </c>
    </row>
    <row r="3" spans="1:33" s="106" customFormat="1" ht="45" x14ac:dyDescent="0.15">
      <c r="A3" s="101" t="s">
        <v>43</v>
      </c>
      <c r="B3" s="102">
        <v>260</v>
      </c>
      <c r="C3" s="103" t="s">
        <v>44</v>
      </c>
      <c r="D3" s="103" t="s">
        <v>45</v>
      </c>
      <c r="E3" s="237">
        <v>1</v>
      </c>
      <c r="F3" s="331" t="s">
        <v>1165</v>
      </c>
      <c r="G3" s="101" t="s">
        <v>51</v>
      </c>
      <c r="H3" s="104">
        <v>44124.712500000001</v>
      </c>
      <c r="I3" s="101" t="s">
        <v>48</v>
      </c>
      <c r="J3" s="101">
        <v>10</v>
      </c>
      <c r="K3" s="105">
        <v>3.1</v>
      </c>
      <c r="L3" s="103"/>
      <c r="M3" s="103" t="s">
        <v>52</v>
      </c>
      <c r="N3" s="103" t="s">
        <v>1143</v>
      </c>
      <c r="O3" s="103" t="s">
        <v>1143</v>
      </c>
      <c r="P3" s="237">
        <v>1</v>
      </c>
      <c r="Q3" s="103"/>
      <c r="R3" s="103">
        <f t="shared" ref="R3:R9" si="0">IF(Q3&lt;&gt;"",1,0)</f>
        <v>0</v>
      </c>
      <c r="S3" s="103"/>
      <c r="T3" s="103">
        <f>IF(S2&lt;&gt;"",1,0)</f>
        <v>0</v>
      </c>
      <c r="U3" s="103">
        <v>1</v>
      </c>
      <c r="V3" s="103">
        <f>IF(U3&lt;&gt;"",1,0)</f>
        <v>1</v>
      </c>
      <c r="W3" s="324"/>
      <c r="X3" s="324">
        <f t="shared" ref="X3:X10" si="1">IF(W3&lt;&gt;"",1,0)</f>
        <v>0</v>
      </c>
      <c r="Y3" s="331" t="s">
        <v>1165</v>
      </c>
      <c r="Z3" s="331" t="s">
        <v>51</v>
      </c>
      <c r="AA3" s="103" t="s">
        <v>45</v>
      </c>
      <c r="AB3" s="103"/>
      <c r="AC3" s="103"/>
      <c r="AD3" s="103"/>
      <c r="AE3" s="103" t="s">
        <v>1146</v>
      </c>
      <c r="AF3" s="103"/>
      <c r="AG3" s="101" t="s">
        <v>54</v>
      </c>
    </row>
    <row r="4" spans="1:33" s="106" customFormat="1" ht="120" x14ac:dyDescent="0.15">
      <c r="A4" s="101" t="s">
        <v>43</v>
      </c>
      <c r="B4" s="102">
        <v>260</v>
      </c>
      <c r="C4" s="103" t="s">
        <v>44</v>
      </c>
      <c r="D4" s="103" t="s">
        <v>45</v>
      </c>
      <c r="E4" s="237">
        <v>1</v>
      </c>
      <c r="F4" s="331" t="s">
        <v>1166</v>
      </c>
      <c r="G4" s="101" t="s">
        <v>55</v>
      </c>
      <c r="H4" s="104">
        <v>44124.712500000001</v>
      </c>
      <c r="I4" s="101" t="s">
        <v>48</v>
      </c>
      <c r="J4" s="101">
        <v>10</v>
      </c>
      <c r="K4" s="105">
        <v>3.1</v>
      </c>
      <c r="L4" s="103"/>
      <c r="M4" s="103" t="s">
        <v>52</v>
      </c>
      <c r="N4" s="103" t="s">
        <v>1143</v>
      </c>
      <c r="O4" s="103" t="s">
        <v>1143</v>
      </c>
      <c r="P4" s="237">
        <v>1</v>
      </c>
      <c r="Q4" s="103"/>
      <c r="R4" s="103">
        <f t="shared" si="0"/>
        <v>0</v>
      </c>
      <c r="S4" s="103"/>
      <c r="T4" s="103">
        <f t="shared" ref="T4:T10" si="2">IF(S3&lt;&gt;"",1,0)</f>
        <v>0</v>
      </c>
      <c r="U4" s="103">
        <v>1</v>
      </c>
      <c r="V4" s="103">
        <f t="shared" ref="V4:V10" si="3">IF(U4&lt;&gt;"",1,0)</f>
        <v>1</v>
      </c>
      <c r="W4" s="324"/>
      <c r="X4" s="324">
        <f t="shared" si="1"/>
        <v>0</v>
      </c>
      <c r="Y4" s="331" t="s">
        <v>1166</v>
      </c>
      <c r="Z4" s="331" t="s">
        <v>55</v>
      </c>
      <c r="AA4" s="103" t="s">
        <v>45</v>
      </c>
      <c r="AB4" s="103"/>
      <c r="AC4" s="103"/>
      <c r="AD4" s="103"/>
      <c r="AE4" s="103"/>
      <c r="AF4" s="103"/>
      <c r="AG4" s="101" t="s">
        <v>54</v>
      </c>
    </row>
    <row r="5" spans="1:33" s="106" customFormat="1" ht="60" x14ac:dyDescent="0.15">
      <c r="A5" s="101" t="s">
        <v>43</v>
      </c>
      <c r="B5" s="102">
        <v>260</v>
      </c>
      <c r="C5" s="103" t="s">
        <v>44</v>
      </c>
      <c r="D5" s="103" t="s">
        <v>45</v>
      </c>
      <c r="E5" s="237">
        <v>1</v>
      </c>
      <c r="F5" s="331" t="s">
        <v>1167</v>
      </c>
      <c r="G5" s="107" t="s">
        <v>57</v>
      </c>
      <c r="H5" s="104">
        <v>44131.748611111114</v>
      </c>
      <c r="I5" s="101" t="s">
        <v>48</v>
      </c>
      <c r="J5" s="101">
        <v>10</v>
      </c>
      <c r="K5" s="105">
        <v>3.1</v>
      </c>
      <c r="L5" s="103"/>
      <c r="M5" s="103" t="s">
        <v>52</v>
      </c>
      <c r="N5" s="103" t="s">
        <v>1143</v>
      </c>
      <c r="O5" s="103" t="s">
        <v>1143</v>
      </c>
      <c r="P5" s="237">
        <v>1</v>
      </c>
      <c r="Q5" s="103"/>
      <c r="R5" s="103">
        <f t="shared" si="0"/>
        <v>0</v>
      </c>
      <c r="S5" s="103"/>
      <c r="T5" s="103">
        <f t="shared" si="2"/>
        <v>0</v>
      </c>
      <c r="U5" s="103">
        <v>1</v>
      </c>
      <c r="V5" s="103">
        <f t="shared" si="3"/>
        <v>1</v>
      </c>
      <c r="W5" s="324" t="s">
        <v>58</v>
      </c>
      <c r="X5" s="324">
        <f t="shared" si="1"/>
        <v>1</v>
      </c>
      <c r="Y5" s="331" t="s">
        <v>1167</v>
      </c>
      <c r="Z5" s="339" t="s">
        <v>57</v>
      </c>
      <c r="AA5" s="103" t="s">
        <v>45</v>
      </c>
      <c r="AB5" s="103"/>
      <c r="AC5" s="103"/>
      <c r="AD5" s="103"/>
      <c r="AE5" s="103"/>
      <c r="AF5" s="103"/>
      <c r="AG5" s="101" t="s">
        <v>59</v>
      </c>
    </row>
    <row r="6" spans="1:33" s="106" customFormat="1" ht="75" x14ac:dyDescent="0.15">
      <c r="A6" s="101" t="s">
        <v>43</v>
      </c>
      <c r="B6" s="102">
        <v>260</v>
      </c>
      <c r="C6" s="103" t="s">
        <v>44</v>
      </c>
      <c r="D6" s="103" t="s">
        <v>45</v>
      </c>
      <c r="E6" s="237">
        <v>1</v>
      </c>
      <c r="F6" s="331" t="s">
        <v>1167</v>
      </c>
      <c r="G6" s="107" t="s">
        <v>60</v>
      </c>
      <c r="H6" s="104">
        <v>44131.748611111114</v>
      </c>
      <c r="I6" s="101" t="s">
        <v>48</v>
      </c>
      <c r="J6" s="101">
        <v>10</v>
      </c>
      <c r="K6" s="105">
        <v>3.1</v>
      </c>
      <c r="L6" s="103"/>
      <c r="M6" s="103" t="s">
        <v>52</v>
      </c>
      <c r="N6" s="103" t="s">
        <v>1143</v>
      </c>
      <c r="O6" s="103" t="s">
        <v>1143</v>
      </c>
      <c r="P6" s="237">
        <v>1</v>
      </c>
      <c r="Q6" s="103"/>
      <c r="R6" s="103">
        <f t="shared" si="0"/>
        <v>0</v>
      </c>
      <c r="S6" s="103"/>
      <c r="T6" s="103">
        <f t="shared" si="2"/>
        <v>0</v>
      </c>
      <c r="U6" s="103">
        <v>1</v>
      </c>
      <c r="V6" s="103">
        <f t="shared" si="3"/>
        <v>1</v>
      </c>
      <c r="W6" s="324" t="s">
        <v>58</v>
      </c>
      <c r="X6" s="324">
        <f t="shared" si="1"/>
        <v>1</v>
      </c>
      <c r="Y6" s="331" t="s">
        <v>1167</v>
      </c>
      <c r="Z6" s="339" t="s">
        <v>60</v>
      </c>
      <c r="AA6" s="103" t="s">
        <v>45</v>
      </c>
      <c r="AB6" s="103"/>
      <c r="AC6" s="103"/>
      <c r="AD6" s="103"/>
      <c r="AE6" s="103"/>
      <c r="AF6" s="103"/>
      <c r="AG6" s="101" t="s">
        <v>54</v>
      </c>
    </row>
    <row r="7" spans="1:33" s="106" customFormat="1" ht="30" x14ac:dyDescent="0.15">
      <c r="A7" s="101" t="s">
        <v>43</v>
      </c>
      <c r="B7" s="102">
        <v>260</v>
      </c>
      <c r="C7" s="103" t="s">
        <v>44</v>
      </c>
      <c r="D7" s="103" t="s">
        <v>45</v>
      </c>
      <c r="E7" s="237">
        <v>1</v>
      </c>
      <c r="F7" s="331" t="s">
        <v>1168</v>
      </c>
      <c r="G7" s="101" t="s">
        <v>62</v>
      </c>
      <c r="H7" s="104">
        <v>44132.849305555559</v>
      </c>
      <c r="I7" s="101" t="s">
        <v>48</v>
      </c>
      <c r="J7" s="101">
        <v>9</v>
      </c>
      <c r="K7" s="105">
        <v>3.1</v>
      </c>
      <c r="L7" s="103"/>
      <c r="M7" s="103" t="s">
        <v>52</v>
      </c>
      <c r="N7" s="103" t="s">
        <v>1143</v>
      </c>
      <c r="O7" s="103" t="s">
        <v>1143</v>
      </c>
      <c r="P7" s="237">
        <v>1</v>
      </c>
      <c r="Q7" s="103"/>
      <c r="R7" s="103">
        <f t="shared" si="0"/>
        <v>0</v>
      </c>
      <c r="S7" s="103"/>
      <c r="T7" s="103">
        <f t="shared" si="2"/>
        <v>0</v>
      </c>
      <c r="U7" s="103">
        <v>1</v>
      </c>
      <c r="V7" s="103">
        <f t="shared" si="3"/>
        <v>1</v>
      </c>
      <c r="W7" s="324"/>
      <c r="X7" s="324">
        <f t="shared" si="1"/>
        <v>0</v>
      </c>
      <c r="Y7" s="331" t="s">
        <v>1168</v>
      </c>
      <c r="Z7" s="331" t="s">
        <v>62</v>
      </c>
      <c r="AA7" s="103" t="s">
        <v>45</v>
      </c>
      <c r="AB7" s="103"/>
      <c r="AC7" s="103"/>
      <c r="AD7" s="103"/>
      <c r="AE7" s="103"/>
      <c r="AF7" s="103"/>
      <c r="AG7" s="101" t="s">
        <v>63</v>
      </c>
    </row>
    <row r="8" spans="1:33" s="106" customFormat="1" ht="75" x14ac:dyDescent="0.15">
      <c r="A8" s="101" t="s">
        <v>43</v>
      </c>
      <c r="B8" s="102">
        <v>260</v>
      </c>
      <c r="C8" s="103" t="s">
        <v>44</v>
      </c>
      <c r="D8" s="103" t="s">
        <v>45</v>
      </c>
      <c r="E8" s="237">
        <v>1</v>
      </c>
      <c r="F8" s="331" t="s">
        <v>1168</v>
      </c>
      <c r="G8" s="101" t="s">
        <v>64</v>
      </c>
      <c r="H8" s="104">
        <v>44132.849305555559</v>
      </c>
      <c r="I8" s="101" t="s">
        <v>48</v>
      </c>
      <c r="J8" s="101">
        <v>9</v>
      </c>
      <c r="K8" s="105">
        <v>3.1</v>
      </c>
      <c r="L8" s="103"/>
      <c r="M8" s="103" t="s">
        <v>52</v>
      </c>
      <c r="N8" s="103" t="s">
        <v>1143</v>
      </c>
      <c r="O8" s="103" t="s">
        <v>1143</v>
      </c>
      <c r="P8" s="237">
        <v>1</v>
      </c>
      <c r="Q8" s="103"/>
      <c r="R8" s="103">
        <f t="shared" si="0"/>
        <v>0</v>
      </c>
      <c r="S8" s="103"/>
      <c r="T8" s="103">
        <f t="shared" si="2"/>
        <v>0</v>
      </c>
      <c r="U8" s="103">
        <v>1</v>
      </c>
      <c r="V8" s="103">
        <f t="shared" si="3"/>
        <v>1</v>
      </c>
      <c r="W8" s="324"/>
      <c r="X8" s="324">
        <f t="shared" si="1"/>
        <v>0</v>
      </c>
      <c r="Y8" s="331" t="s">
        <v>1168</v>
      </c>
      <c r="Z8" s="331" t="s">
        <v>64</v>
      </c>
      <c r="AA8" s="103" t="s">
        <v>45</v>
      </c>
      <c r="AB8" s="103"/>
      <c r="AC8" s="103"/>
      <c r="AD8" s="103"/>
      <c r="AE8" s="103"/>
      <c r="AF8" s="103"/>
      <c r="AG8" s="101" t="s">
        <v>54</v>
      </c>
    </row>
    <row r="9" spans="1:33" s="106" customFormat="1" ht="150" x14ac:dyDescent="0.15">
      <c r="A9" s="101" t="s">
        <v>43</v>
      </c>
      <c r="B9" s="102">
        <v>260</v>
      </c>
      <c r="C9" s="103" t="s">
        <v>44</v>
      </c>
      <c r="D9" s="103" t="s">
        <v>45</v>
      </c>
      <c r="E9" s="237">
        <v>1</v>
      </c>
      <c r="F9" s="331" t="s">
        <v>1168</v>
      </c>
      <c r="G9" s="101" t="s">
        <v>65</v>
      </c>
      <c r="H9" s="104">
        <v>44132.849305555559</v>
      </c>
      <c r="I9" s="101" t="s">
        <v>48</v>
      </c>
      <c r="J9" s="101">
        <v>9</v>
      </c>
      <c r="K9" s="105">
        <v>3.1</v>
      </c>
      <c r="L9" s="103"/>
      <c r="M9" s="103" t="s">
        <v>52</v>
      </c>
      <c r="N9" s="103" t="s">
        <v>1143</v>
      </c>
      <c r="O9" s="103" t="s">
        <v>1143</v>
      </c>
      <c r="P9" s="237">
        <v>1</v>
      </c>
      <c r="Q9" s="103"/>
      <c r="R9" s="103">
        <f t="shared" si="0"/>
        <v>0</v>
      </c>
      <c r="S9" s="103"/>
      <c r="T9" s="103">
        <f t="shared" si="2"/>
        <v>0</v>
      </c>
      <c r="U9" s="103">
        <v>1</v>
      </c>
      <c r="V9" s="103">
        <f t="shared" si="3"/>
        <v>1</v>
      </c>
      <c r="W9" s="324"/>
      <c r="X9" s="324">
        <f t="shared" si="1"/>
        <v>0</v>
      </c>
      <c r="Y9" s="331" t="s">
        <v>1168</v>
      </c>
      <c r="Z9" s="331" t="s">
        <v>65</v>
      </c>
      <c r="AA9" s="103" t="s">
        <v>45</v>
      </c>
      <c r="AB9" s="103"/>
      <c r="AC9" s="103"/>
      <c r="AD9" s="103"/>
      <c r="AE9" s="103" t="s">
        <v>1147</v>
      </c>
      <c r="AF9" s="103"/>
      <c r="AG9" s="101" t="s">
        <v>54</v>
      </c>
    </row>
    <row r="10" spans="1:33" s="106" customFormat="1" ht="30" x14ac:dyDescent="0.15">
      <c r="A10" s="101" t="s">
        <v>43</v>
      </c>
      <c r="B10" s="102">
        <v>260</v>
      </c>
      <c r="C10" s="103" t="s">
        <v>44</v>
      </c>
      <c r="D10" s="103" t="s">
        <v>45</v>
      </c>
      <c r="E10" s="237">
        <v>1</v>
      </c>
      <c r="F10" s="331" t="s">
        <v>1167</v>
      </c>
      <c r="G10" s="108" t="s">
        <v>67</v>
      </c>
      <c r="H10" s="104">
        <v>44146.540972222225</v>
      </c>
      <c r="I10" s="101" t="s">
        <v>48</v>
      </c>
      <c r="J10" s="101">
        <v>8</v>
      </c>
      <c r="K10" s="105">
        <v>3.1</v>
      </c>
      <c r="L10" s="103"/>
      <c r="M10" s="103" t="s">
        <v>68</v>
      </c>
      <c r="N10" s="103" t="s">
        <v>68</v>
      </c>
      <c r="O10" s="103" t="s">
        <v>1163</v>
      </c>
      <c r="P10" s="237">
        <v>1</v>
      </c>
      <c r="Q10" s="103"/>
      <c r="R10" s="103" t="e">
        <f>-Z4</f>
        <v>#VALUE!</v>
      </c>
      <c r="S10" s="103"/>
      <c r="T10" s="103">
        <f t="shared" si="2"/>
        <v>0</v>
      </c>
      <c r="U10" s="103"/>
      <c r="V10" s="103">
        <f t="shared" si="3"/>
        <v>0</v>
      </c>
      <c r="W10" s="324"/>
      <c r="X10" s="324">
        <f t="shared" si="1"/>
        <v>0</v>
      </c>
      <c r="Y10" s="331" t="s">
        <v>1167</v>
      </c>
      <c r="Z10" s="334" t="s">
        <v>67</v>
      </c>
      <c r="AA10" s="103" t="s">
        <v>45</v>
      </c>
      <c r="AB10" s="103"/>
      <c r="AC10" s="103"/>
      <c r="AD10" s="103"/>
      <c r="AE10" s="103" t="s">
        <v>1146</v>
      </c>
      <c r="AF10" s="103"/>
      <c r="AG10" s="101" t="s">
        <v>69</v>
      </c>
    </row>
  </sheetData>
  <dataValidations count="1">
    <dataValidation type="list" allowBlank="1" showInputMessage="1" showErrorMessage="1" sqref="AC2:AC10" xr:uid="{84B3B88E-239B-9D41-90DC-0B01CC6BFA1F}">
      <formula1>" , C-LOT, O-LOT, C-HOT, O-HOT"</formula1>
    </dataValidation>
  </dataValidations>
  <hyperlinks>
    <hyperlink ref="K2" location="'F20 Collaborative Writing'!B2" display="'F20 Collaborative Writing'!B2" xr:uid="{0782DDCC-17E9-4F47-87CA-55A0107E3150}"/>
    <hyperlink ref="K3:K10" location="'F20 Collaborative Writing'!B2" display="'F20 Collaborative Writing'!B2" xr:uid="{B7CDFCB1-F58A-C345-A156-A19FB34C4A3B}"/>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50D24-7D98-804D-85AD-41B23A29AE40}">
  <dimension ref="A1:P711"/>
  <sheetViews>
    <sheetView workbookViewId="0">
      <pane xSplit="1" ySplit="1" topLeftCell="B681" activePane="bottomRight" state="frozen"/>
      <selection pane="topRight" activeCell="B1" sqref="B1"/>
      <selection pane="bottomLeft" activeCell="A2" sqref="A2"/>
      <selection pane="bottomRight" activeCell="D264" sqref="D1:D1048576"/>
    </sheetView>
  </sheetViews>
  <sheetFormatPr baseColWidth="10" defaultRowHeight="13" x14ac:dyDescent="0.15"/>
  <cols>
    <col min="1" max="1" width="35.1640625" customWidth="1"/>
    <col min="2" max="2" width="23" customWidth="1"/>
    <col min="3" max="3" width="14.5" customWidth="1"/>
    <col min="4" max="4" width="20.1640625" customWidth="1"/>
    <col min="5" max="5" width="24" customWidth="1"/>
    <col min="6" max="6" width="18.6640625" customWidth="1"/>
    <col min="7" max="7" width="15.5" customWidth="1"/>
    <col min="8" max="8" width="24.83203125" customWidth="1"/>
    <col min="9" max="10" width="15.33203125" customWidth="1"/>
    <col min="12" max="12" width="26.6640625" customWidth="1"/>
    <col min="13" max="13" width="30.33203125" customWidth="1"/>
    <col min="15" max="15" width="24.6640625" customWidth="1"/>
    <col min="16" max="16" width="24.33203125" customWidth="1"/>
  </cols>
  <sheetData>
    <row r="1" spans="1:16" s="296" customFormat="1" ht="14" x14ac:dyDescent="0.15">
      <c r="A1" s="117" t="s">
        <v>1117</v>
      </c>
      <c r="B1" s="296" t="s">
        <v>1083</v>
      </c>
      <c r="C1" s="263" t="s">
        <v>1080</v>
      </c>
      <c r="D1" s="296" t="s">
        <v>1118</v>
      </c>
      <c r="E1" s="296" t="s">
        <v>1120</v>
      </c>
      <c r="F1" s="296" t="s">
        <v>1123</v>
      </c>
      <c r="G1" s="296" t="s">
        <v>1119</v>
      </c>
      <c r="H1" s="296" t="s">
        <v>1121</v>
      </c>
      <c r="I1" s="296" t="s">
        <v>1122</v>
      </c>
      <c r="K1" s="296" t="s">
        <v>1124</v>
      </c>
      <c r="L1" s="296" t="s">
        <v>1125</v>
      </c>
      <c r="M1" s="296" t="s">
        <v>1128</v>
      </c>
      <c r="N1" s="296" t="s">
        <v>1124</v>
      </c>
      <c r="O1" s="296" t="s">
        <v>1126</v>
      </c>
      <c r="P1" s="296" t="s">
        <v>1127</v>
      </c>
    </row>
    <row r="2" spans="1:16" ht="16" x14ac:dyDescent="0.2">
      <c r="A2" s="117" t="s">
        <v>650</v>
      </c>
      <c r="B2" s="117">
        <v>0</v>
      </c>
      <c r="C2" s="263">
        <v>0</v>
      </c>
      <c r="D2" s="178" t="s">
        <v>52</v>
      </c>
      <c r="E2" t="str" cm="1">
        <f t="array" ref="E2:E7">_xlfn.UNIQUE(D2:D711)</f>
        <v>Seminar</v>
      </c>
      <c r="F2">
        <f>COUNTIF($D$2:$D$711,E2)</f>
        <v>356</v>
      </c>
      <c r="G2" s="177"/>
      <c r="H2" cm="1">
        <f t="array" ref="H2:H8">_xlfn.UNIQUE(G2:G711)</f>
        <v>0</v>
      </c>
      <c r="L2" t="s">
        <v>52</v>
      </c>
      <c r="M2">
        <v>355</v>
      </c>
      <c r="O2" t="s">
        <v>58</v>
      </c>
      <c r="P2">
        <v>113</v>
      </c>
    </row>
    <row r="3" spans="1:16" ht="16" x14ac:dyDescent="0.2">
      <c r="A3" s="117" t="s">
        <v>650</v>
      </c>
      <c r="B3" s="117">
        <v>0</v>
      </c>
      <c r="C3" s="263">
        <v>0</v>
      </c>
      <c r="D3" s="178" t="s">
        <v>52</v>
      </c>
      <c r="E3" t="str">
        <v>Imaginative entry</v>
      </c>
      <c r="F3">
        <f>COUNTIF($D$2:$D$711,E3)</f>
        <v>15</v>
      </c>
      <c r="G3" s="177" t="s">
        <v>58</v>
      </c>
      <c r="H3" t="str">
        <v>Affirm</v>
      </c>
      <c r="I3">
        <f>COUNTIF($G$2:$G$711,H3)</f>
        <v>113</v>
      </c>
      <c r="L3" t="s">
        <v>108</v>
      </c>
      <c r="M3">
        <v>134</v>
      </c>
      <c r="O3" t="s">
        <v>305</v>
      </c>
      <c r="P3">
        <v>28</v>
      </c>
    </row>
    <row r="4" spans="1:16" ht="16" x14ac:dyDescent="0.2">
      <c r="A4" s="117" t="s">
        <v>650</v>
      </c>
      <c r="B4" s="117">
        <v>0</v>
      </c>
      <c r="C4" s="263">
        <v>0</v>
      </c>
      <c r="D4" s="178" t="s">
        <v>52</v>
      </c>
      <c r="E4" t="str">
        <v>Deliberation</v>
      </c>
      <c r="F4">
        <f>COUNTIF($D$2:$D$711,E4)</f>
        <v>135</v>
      </c>
      <c r="G4" s="177" t="s">
        <v>305</v>
      </c>
      <c r="H4" t="str">
        <v>Elaborate</v>
      </c>
      <c r="I4">
        <f>COUNTIF($G$2:$G$711,H4)</f>
        <v>28</v>
      </c>
      <c r="L4" t="s">
        <v>49</v>
      </c>
      <c r="M4">
        <v>103</v>
      </c>
      <c r="O4" t="s">
        <v>302</v>
      </c>
      <c r="P4">
        <v>7</v>
      </c>
    </row>
    <row r="5" spans="1:16" ht="16" x14ac:dyDescent="0.2">
      <c r="A5" s="117" t="s">
        <v>650</v>
      </c>
      <c r="B5" s="117">
        <v>0</v>
      </c>
      <c r="C5" s="263">
        <v>0</v>
      </c>
      <c r="D5" s="178" t="s">
        <v>52</v>
      </c>
      <c r="E5" t="str">
        <v>Social</v>
      </c>
      <c r="F5">
        <f t="shared" ref="F5:F7" si="0">COUNTIF($D$2:$D$711,E5)</f>
        <v>103</v>
      </c>
      <c r="G5" s="177"/>
      <c r="H5" t="str">
        <v>Disagree</v>
      </c>
      <c r="I5">
        <f t="shared" ref="I5:I8" si="1">COUNTIF($G$2:$G$711,H5)</f>
        <v>7</v>
      </c>
      <c r="L5" t="s">
        <v>634</v>
      </c>
      <c r="M5">
        <v>55</v>
      </c>
      <c r="O5" t="s">
        <v>637</v>
      </c>
      <c r="P5">
        <v>7</v>
      </c>
    </row>
    <row r="6" spans="1:16" ht="16" x14ac:dyDescent="0.2">
      <c r="A6" s="117" t="s">
        <v>650</v>
      </c>
      <c r="B6" s="117">
        <v>0</v>
      </c>
      <c r="C6" s="263">
        <v>0</v>
      </c>
      <c r="D6" s="178" t="s">
        <v>52</v>
      </c>
      <c r="E6" t="str">
        <v>Procedure</v>
      </c>
      <c r="F6">
        <f t="shared" si="0"/>
        <v>55</v>
      </c>
      <c r="G6" s="177" t="s">
        <v>58</v>
      </c>
      <c r="H6" t="str">
        <v>Filler</v>
      </c>
      <c r="I6">
        <f t="shared" si="1"/>
        <v>7</v>
      </c>
      <c r="L6" t="s">
        <v>638</v>
      </c>
      <c r="M6">
        <v>46</v>
      </c>
      <c r="O6" t="s">
        <v>340</v>
      </c>
      <c r="P6">
        <v>4</v>
      </c>
    </row>
    <row r="7" spans="1:16" ht="16" x14ac:dyDescent="0.2">
      <c r="A7" s="117" t="s">
        <v>650</v>
      </c>
      <c r="B7" s="117">
        <v>0</v>
      </c>
      <c r="C7" s="263">
        <v>0</v>
      </c>
      <c r="D7" s="178" t="s">
        <v>52</v>
      </c>
      <c r="E7" t="str">
        <v>UX</v>
      </c>
      <c r="F7">
        <f t="shared" si="0"/>
        <v>46</v>
      </c>
      <c r="G7" s="177" t="s">
        <v>305</v>
      </c>
      <c r="H7" t="str">
        <v>Prompt</v>
      </c>
      <c r="I7">
        <f t="shared" si="1"/>
        <v>4</v>
      </c>
      <c r="L7" t="s">
        <v>166</v>
      </c>
      <c r="M7">
        <v>15</v>
      </c>
      <c r="O7" t="s">
        <v>331</v>
      </c>
      <c r="P7">
        <v>4</v>
      </c>
    </row>
    <row r="8" spans="1:16" ht="16" x14ac:dyDescent="0.2">
      <c r="A8" s="117" t="s">
        <v>650</v>
      </c>
      <c r="B8" s="117">
        <v>0</v>
      </c>
      <c r="C8" s="263">
        <v>0</v>
      </c>
      <c r="D8" s="178" t="s">
        <v>52</v>
      </c>
      <c r="G8" s="177"/>
      <c r="H8" t="str">
        <v>Clarify</v>
      </c>
      <c r="I8">
        <f t="shared" si="1"/>
        <v>4</v>
      </c>
    </row>
    <row r="9" spans="1:16" ht="16" x14ac:dyDescent="0.2">
      <c r="A9" s="117" t="s">
        <v>650</v>
      </c>
      <c r="B9" s="117">
        <v>0</v>
      </c>
      <c r="C9" s="263">
        <v>0</v>
      </c>
      <c r="D9" s="178" t="s">
        <v>52</v>
      </c>
      <c r="G9" s="177" t="s">
        <v>58</v>
      </c>
    </row>
    <row r="10" spans="1:16" ht="16" x14ac:dyDescent="0.2">
      <c r="A10" s="117" t="s">
        <v>650</v>
      </c>
      <c r="B10" s="117">
        <v>0</v>
      </c>
      <c r="C10" s="263">
        <v>0</v>
      </c>
      <c r="D10" s="178" t="s">
        <v>52</v>
      </c>
      <c r="G10" s="177"/>
    </row>
    <row r="11" spans="1:16" ht="16" x14ac:dyDescent="0.2">
      <c r="A11" s="117" t="s">
        <v>650</v>
      </c>
      <c r="B11" s="117">
        <v>0</v>
      </c>
      <c r="C11" s="263">
        <v>0</v>
      </c>
      <c r="D11" s="178" t="s">
        <v>52</v>
      </c>
      <c r="G11" s="177"/>
    </row>
    <row r="12" spans="1:16" ht="16" x14ac:dyDescent="0.2">
      <c r="A12" s="117" t="s">
        <v>650</v>
      </c>
      <c r="B12" s="117">
        <v>0</v>
      </c>
      <c r="C12" s="263">
        <v>0</v>
      </c>
      <c r="D12" s="178" t="s">
        <v>52</v>
      </c>
      <c r="G12" s="177" t="s">
        <v>58</v>
      </c>
    </row>
    <row r="13" spans="1:16" ht="16" x14ac:dyDescent="0.2">
      <c r="A13" s="117" t="s">
        <v>650</v>
      </c>
      <c r="B13" s="117">
        <v>0</v>
      </c>
      <c r="C13" s="263">
        <v>0</v>
      </c>
      <c r="D13" s="178" t="s">
        <v>52</v>
      </c>
      <c r="G13" s="177" t="s">
        <v>305</v>
      </c>
    </row>
    <row r="14" spans="1:16" ht="16" x14ac:dyDescent="0.2">
      <c r="A14" s="117" t="s">
        <v>650</v>
      </c>
      <c r="B14" s="117">
        <v>0</v>
      </c>
      <c r="C14" s="263">
        <v>0</v>
      </c>
      <c r="D14" s="178" t="s">
        <v>52</v>
      </c>
      <c r="G14" s="177"/>
    </row>
    <row r="15" spans="1:16" ht="16" x14ac:dyDescent="0.2">
      <c r="A15" s="117" t="s">
        <v>650</v>
      </c>
      <c r="B15" s="117">
        <v>0</v>
      </c>
      <c r="C15" s="263">
        <v>0</v>
      </c>
      <c r="D15" s="178" t="s">
        <v>52</v>
      </c>
      <c r="G15" s="177"/>
    </row>
    <row r="16" spans="1:16" ht="16" x14ac:dyDescent="0.2">
      <c r="A16" s="117" t="s">
        <v>650</v>
      </c>
      <c r="B16" s="117">
        <v>0</v>
      </c>
      <c r="C16" s="263">
        <v>0</v>
      </c>
      <c r="D16" s="178" t="s">
        <v>52</v>
      </c>
      <c r="G16" s="177"/>
    </row>
    <row r="17" spans="1:7" ht="16" x14ac:dyDescent="0.2">
      <c r="A17" s="117" t="s">
        <v>650</v>
      </c>
      <c r="B17" s="117">
        <v>0</v>
      </c>
      <c r="C17" s="263">
        <v>0</v>
      </c>
      <c r="D17" s="178" t="s">
        <v>52</v>
      </c>
      <c r="G17" s="177"/>
    </row>
    <row r="18" spans="1:7" ht="16" x14ac:dyDescent="0.2">
      <c r="A18" s="117" t="s">
        <v>650</v>
      </c>
      <c r="B18" s="117">
        <v>0</v>
      </c>
      <c r="C18" s="263">
        <v>0</v>
      </c>
      <c r="D18" s="178" t="s">
        <v>52</v>
      </c>
      <c r="G18" s="177"/>
    </row>
    <row r="19" spans="1:7" ht="16" x14ac:dyDescent="0.2">
      <c r="A19" s="117" t="s">
        <v>650</v>
      </c>
      <c r="B19" s="117">
        <v>0</v>
      </c>
      <c r="C19" s="263">
        <v>0</v>
      </c>
      <c r="D19" s="178" t="s">
        <v>52</v>
      </c>
      <c r="G19" s="177"/>
    </row>
    <row r="20" spans="1:7" ht="16" x14ac:dyDescent="0.2">
      <c r="A20" s="117" t="s">
        <v>650</v>
      </c>
      <c r="B20" s="117">
        <v>0</v>
      </c>
      <c r="C20" s="263">
        <v>0</v>
      </c>
      <c r="D20" s="178" t="s">
        <v>52</v>
      </c>
      <c r="G20" s="177"/>
    </row>
    <row r="21" spans="1:7" ht="16" x14ac:dyDescent="0.2">
      <c r="A21" s="117" t="s">
        <v>650</v>
      </c>
      <c r="B21" s="117">
        <v>0</v>
      </c>
      <c r="C21" s="263">
        <v>0</v>
      </c>
      <c r="D21" s="178" t="s">
        <v>52</v>
      </c>
      <c r="G21" s="177"/>
    </row>
    <row r="22" spans="1:7" ht="16" x14ac:dyDescent="0.2">
      <c r="A22" s="117" t="s">
        <v>650</v>
      </c>
      <c r="B22" s="117">
        <v>0</v>
      </c>
      <c r="C22" s="263">
        <v>0</v>
      </c>
      <c r="D22" s="178" t="s">
        <v>52</v>
      </c>
      <c r="G22" s="177"/>
    </row>
    <row r="23" spans="1:7" ht="16" x14ac:dyDescent="0.2">
      <c r="A23" s="117" t="s">
        <v>650</v>
      </c>
      <c r="B23" s="117">
        <v>0</v>
      </c>
      <c r="C23" s="263">
        <v>0</v>
      </c>
      <c r="D23" s="178" t="s">
        <v>52</v>
      </c>
      <c r="G23" s="177"/>
    </row>
    <row r="24" spans="1:7" ht="16" x14ac:dyDescent="0.2">
      <c r="A24" s="117" t="s">
        <v>650</v>
      </c>
      <c r="B24" s="117">
        <v>0</v>
      </c>
      <c r="C24" s="263">
        <v>0</v>
      </c>
      <c r="D24" s="178" t="s">
        <v>52</v>
      </c>
      <c r="G24" s="177"/>
    </row>
    <row r="25" spans="1:7" ht="16" x14ac:dyDescent="0.2">
      <c r="A25" s="117" t="s">
        <v>650</v>
      </c>
      <c r="B25" s="117">
        <v>0</v>
      </c>
      <c r="C25" s="263">
        <v>0</v>
      </c>
      <c r="D25" s="178" t="s">
        <v>52</v>
      </c>
      <c r="G25" s="177"/>
    </row>
    <row r="26" spans="1:7" ht="16" x14ac:dyDescent="0.2">
      <c r="A26" s="117" t="s">
        <v>650</v>
      </c>
      <c r="B26" s="117">
        <v>0</v>
      </c>
      <c r="C26" s="263">
        <v>0</v>
      </c>
      <c r="D26" s="178" t="s">
        <v>52</v>
      </c>
      <c r="G26" s="177"/>
    </row>
    <row r="27" spans="1:7" ht="16" x14ac:dyDescent="0.2">
      <c r="A27" s="117" t="s">
        <v>650</v>
      </c>
      <c r="B27" s="117">
        <v>0</v>
      </c>
      <c r="C27" s="263">
        <v>0</v>
      </c>
      <c r="D27" s="178" t="s">
        <v>52</v>
      </c>
      <c r="G27" s="177"/>
    </row>
    <row r="28" spans="1:7" ht="16" x14ac:dyDescent="0.2">
      <c r="A28" s="117" t="s">
        <v>650</v>
      </c>
      <c r="B28" s="117">
        <v>0</v>
      </c>
      <c r="C28" s="263">
        <v>0</v>
      </c>
      <c r="D28" s="178" t="s">
        <v>52</v>
      </c>
      <c r="G28" s="177"/>
    </row>
    <row r="29" spans="1:7" ht="16" x14ac:dyDescent="0.2">
      <c r="A29" s="117" t="s">
        <v>650</v>
      </c>
      <c r="B29" s="117">
        <v>0</v>
      </c>
      <c r="C29" s="263">
        <v>0</v>
      </c>
      <c r="D29" s="178" t="s">
        <v>52</v>
      </c>
      <c r="G29" s="177"/>
    </row>
    <row r="30" spans="1:7" ht="16" x14ac:dyDescent="0.2">
      <c r="A30" s="117" t="s">
        <v>650</v>
      </c>
      <c r="B30" s="117">
        <v>0</v>
      </c>
      <c r="C30" s="263">
        <v>0</v>
      </c>
      <c r="D30" s="178" t="s">
        <v>52</v>
      </c>
      <c r="G30" s="177"/>
    </row>
    <row r="31" spans="1:7" ht="16" x14ac:dyDescent="0.2">
      <c r="A31" s="117" t="s">
        <v>650</v>
      </c>
      <c r="B31" s="117">
        <v>0</v>
      </c>
      <c r="C31" s="263">
        <v>0</v>
      </c>
      <c r="D31" s="178" t="s">
        <v>52</v>
      </c>
      <c r="G31" s="177"/>
    </row>
    <row r="32" spans="1:7" ht="16" x14ac:dyDescent="0.2">
      <c r="A32" s="117" t="s">
        <v>650</v>
      </c>
      <c r="B32" s="117">
        <v>0</v>
      </c>
      <c r="C32" s="263">
        <v>0</v>
      </c>
      <c r="D32" s="178" t="s">
        <v>52</v>
      </c>
      <c r="G32" s="177"/>
    </row>
    <row r="33" spans="1:7" ht="16" x14ac:dyDescent="0.2">
      <c r="A33" s="117" t="s">
        <v>650</v>
      </c>
      <c r="B33" s="117">
        <v>0</v>
      </c>
      <c r="C33" s="263">
        <v>0</v>
      </c>
      <c r="D33" s="178" t="s">
        <v>52</v>
      </c>
      <c r="G33" s="177"/>
    </row>
    <row r="34" spans="1:7" ht="16" x14ac:dyDescent="0.2">
      <c r="A34" s="117" t="s">
        <v>650</v>
      </c>
      <c r="B34" s="117">
        <v>0</v>
      </c>
      <c r="C34" s="263">
        <v>0</v>
      </c>
      <c r="D34" s="178" t="s">
        <v>166</v>
      </c>
      <c r="G34" s="177"/>
    </row>
    <row r="35" spans="1:7" ht="16" x14ac:dyDescent="0.2">
      <c r="A35" s="117" t="s">
        <v>650</v>
      </c>
      <c r="B35" s="117">
        <v>0</v>
      </c>
      <c r="C35" s="263">
        <v>0</v>
      </c>
      <c r="D35" s="178" t="s">
        <v>52</v>
      </c>
      <c r="G35" s="177"/>
    </row>
    <row r="36" spans="1:7" ht="16" x14ac:dyDescent="0.2">
      <c r="A36" s="117" t="s">
        <v>650</v>
      </c>
      <c r="B36" s="117">
        <v>0</v>
      </c>
      <c r="C36" s="263">
        <v>0</v>
      </c>
      <c r="D36" s="178" t="s">
        <v>52</v>
      </c>
      <c r="G36" s="177"/>
    </row>
    <row r="37" spans="1:7" ht="16" x14ac:dyDescent="0.2">
      <c r="A37" s="117" t="s">
        <v>650</v>
      </c>
      <c r="B37" s="117">
        <v>0</v>
      </c>
      <c r="C37" s="263">
        <v>0</v>
      </c>
      <c r="D37" s="178" t="s">
        <v>52</v>
      </c>
      <c r="G37" s="177"/>
    </row>
    <row r="38" spans="1:7" ht="16" x14ac:dyDescent="0.2">
      <c r="A38" s="117" t="s">
        <v>650</v>
      </c>
      <c r="B38" s="117">
        <v>0</v>
      </c>
      <c r="C38" s="263">
        <v>0</v>
      </c>
      <c r="D38" s="178" t="s">
        <v>52</v>
      </c>
      <c r="G38" s="177" t="s">
        <v>58</v>
      </c>
    </row>
    <row r="39" spans="1:7" ht="16" x14ac:dyDescent="0.2">
      <c r="A39" s="117" t="s">
        <v>650</v>
      </c>
      <c r="B39" s="117">
        <v>0</v>
      </c>
      <c r="C39" s="263">
        <v>0</v>
      </c>
      <c r="D39" s="178" t="s">
        <v>108</v>
      </c>
      <c r="G39" s="177" t="s">
        <v>305</v>
      </c>
    </row>
    <row r="40" spans="1:7" ht="15" x14ac:dyDescent="0.15">
      <c r="A40" s="101" t="s">
        <v>1095</v>
      </c>
      <c r="B40">
        <v>0</v>
      </c>
      <c r="C40" s="263">
        <v>1</v>
      </c>
      <c r="D40" s="217" t="s">
        <v>49</v>
      </c>
      <c r="G40" s="217"/>
    </row>
    <row r="41" spans="1:7" ht="15" x14ac:dyDescent="0.15">
      <c r="A41" s="101" t="s">
        <v>1095</v>
      </c>
      <c r="B41">
        <v>0</v>
      </c>
      <c r="C41" s="263">
        <v>1</v>
      </c>
      <c r="D41" s="218" t="s">
        <v>52</v>
      </c>
      <c r="G41" s="217"/>
    </row>
    <row r="42" spans="1:7" ht="15" x14ac:dyDescent="0.15">
      <c r="A42" s="101" t="s">
        <v>1095</v>
      </c>
      <c r="B42">
        <v>0</v>
      </c>
      <c r="C42" s="263">
        <v>1</v>
      </c>
      <c r="D42" s="218" t="s">
        <v>52</v>
      </c>
      <c r="G42" s="217"/>
    </row>
    <row r="43" spans="1:7" ht="15" x14ac:dyDescent="0.15">
      <c r="A43" s="101" t="s">
        <v>1095</v>
      </c>
      <c r="B43">
        <v>0</v>
      </c>
      <c r="C43" s="263">
        <v>1</v>
      </c>
      <c r="D43" s="218" t="s">
        <v>52</v>
      </c>
      <c r="G43" s="218" t="s">
        <v>58</v>
      </c>
    </row>
    <row r="44" spans="1:7" ht="15" x14ac:dyDescent="0.15">
      <c r="A44" s="101" t="s">
        <v>1095</v>
      </c>
      <c r="B44">
        <v>0</v>
      </c>
      <c r="C44" s="263">
        <v>1</v>
      </c>
      <c r="D44" s="218" t="s">
        <v>52</v>
      </c>
      <c r="G44" s="217"/>
    </row>
    <row r="45" spans="1:7" ht="15" x14ac:dyDescent="0.15">
      <c r="A45" s="101" t="s">
        <v>1095</v>
      </c>
      <c r="B45">
        <v>0</v>
      </c>
      <c r="C45" s="263">
        <v>1</v>
      </c>
      <c r="D45" s="218" t="s">
        <v>52</v>
      </c>
      <c r="G45" s="217"/>
    </row>
    <row r="46" spans="1:7" ht="15" x14ac:dyDescent="0.15">
      <c r="A46" s="101" t="s">
        <v>1095</v>
      </c>
      <c r="B46">
        <v>0</v>
      </c>
      <c r="C46" s="263">
        <v>1</v>
      </c>
      <c r="D46" s="218" t="s">
        <v>52</v>
      </c>
      <c r="G46" s="217"/>
    </row>
    <row r="47" spans="1:7" ht="15" x14ac:dyDescent="0.15">
      <c r="A47" s="101" t="s">
        <v>1095</v>
      </c>
      <c r="B47">
        <v>0</v>
      </c>
      <c r="C47" s="263">
        <v>1</v>
      </c>
      <c r="D47" s="218" t="s">
        <v>52</v>
      </c>
      <c r="G47" s="217"/>
    </row>
    <row r="48" spans="1:7" ht="15" x14ac:dyDescent="0.15">
      <c r="A48" s="101" t="s">
        <v>1095</v>
      </c>
      <c r="B48">
        <v>0</v>
      </c>
      <c r="C48" s="263">
        <v>1</v>
      </c>
      <c r="D48" s="218" t="s">
        <v>68</v>
      </c>
      <c r="G48" s="217"/>
    </row>
    <row r="49" spans="1:7" ht="15" x14ac:dyDescent="0.15">
      <c r="A49" s="107" t="s">
        <v>1096</v>
      </c>
      <c r="B49">
        <v>0</v>
      </c>
      <c r="C49" s="263">
        <v>1</v>
      </c>
      <c r="D49" s="233" t="s">
        <v>52</v>
      </c>
      <c r="G49" s="232"/>
    </row>
    <row r="50" spans="1:7" ht="15" x14ac:dyDescent="0.15">
      <c r="A50" s="107" t="s">
        <v>1096</v>
      </c>
      <c r="B50">
        <v>0</v>
      </c>
      <c r="C50" s="263">
        <v>1</v>
      </c>
      <c r="D50" s="233" t="s">
        <v>52</v>
      </c>
      <c r="G50" s="232"/>
    </row>
    <row r="51" spans="1:7" ht="15" x14ac:dyDescent="0.15">
      <c r="A51" s="107" t="s">
        <v>1096</v>
      </c>
      <c r="B51">
        <v>0</v>
      </c>
      <c r="C51" s="263">
        <v>1</v>
      </c>
      <c r="D51" s="233" t="s">
        <v>52</v>
      </c>
      <c r="G51" s="232"/>
    </row>
    <row r="52" spans="1:7" ht="15" x14ac:dyDescent="0.15">
      <c r="A52" s="107" t="s">
        <v>1096</v>
      </c>
      <c r="B52">
        <v>0</v>
      </c>
      <c r="C52" s="263">
        <v>1</v>
      </c>
      <c r="D52" s="233" t="s">
        <v>52</v>
      </c>
      <c r="G52" s="232"/>
    </row>
    <row r="53" spans="1:7" ht="15" x14ac:dyDescent="0.15">
      <c r="A53" s="107" t="s">
        <v>1096</v>
      </c>
      <c r="B53">
        <v>0</v>
      </c>
      <c r="C53" s="263">
        <v>1</v>
      </c>
      <c r="D53" s="233" t="s">
        <v>52</v>
      </c>
      <c r="G53" s="232"/>
    </row>
    <row r="54" spans="1:7" ht="15" x14ac:dyDescent="0.15">
      <c r="A54" s="107" t="s">
        <v>1096</v>
      </c>
      <c r="B54">
        <v>0</v>
      </c>
      <c r="C54" s="263">
        <v>1</v>
      </c>
      <c r="D54" s="233" t="s">
        <v>52</v>
      </c>
      <c r="G54" s="232"/>
    </row>
    <row r="55" spans="1:7" ht="15" x14ac:dyDescent="0.15">
      <c r="A55" s="107" t="s">
        <v>1096</v>
      </c>
      <c r="B55">
        <v>0</v>
      </c>
      <c r="C55" s="263">
        <v>1</v>
      </c>
      <c r="D55" s="233" t="s">
        <v>52</v>
      </c>
      <c r="G55" s="232"/>
    </row>
    <row r="56" spans="1:7" ht="15" x14ac:dyDescent="0.15">
      <c r="A56" s="107" t="s">
        <v>1096</v>
      </c>
      <c r="B56">
        <v>0</v>
      </c>
      <c r="C56" s="263">
        <v>1</v>
      </c>
      <c r="D56" s="233" t="s">
        <v>52</v>
      </c>
      <c r="G56" s="232"/>
    </row>
    <row r="57" spans="1:7" ht="15" x14ac:dyDescent="0.15">
      <c r="A57" s="107" t="s">
        <v>1096</v>
      </c>
      <c r="B57">
        <v>0</v>
      </c>
      <c r="C57" s="263">
        <v>1</v>
      </c>
      <c r="D57" s="233" t="s">
        <v>52</v>
      </c>
      <c r="G57" s="232"/>
    </row>
    <row r="58" spans="1:7" ht="15" x14ac:dyDescent="0.15">
      <c r="A58" s="107" t="s">
        <v>1096</v>
      </c>
      <c r="B58">
        <v>0</v>
      </c>
      <c r="C58" s="263">
        <v>1</v>
      </c>
      <c r="D58" s="233" t="s">
        <v>52</v>
      </c>
      <c r="G58" s="232"/>
    </row>
    <row r="59" spans="1:7" ht="15" x14ac:dyDescent="0.15">
      <c r="A59" s="107" t="s">
        <v>1096</v>
      </c>
      <c r="B59">
        <v>0</v>
      </c>
      <c r="C59" s="263">
        <v>1</v>
      </c>
      <c r="D59" s="233" t="s">
        <v>52</v>
      </c>
      <c r="G59" s="232"/>
    </row>
    <row r="60" spans="1:7" ht="15" x14ac:dyDescent="0.15">
      <c r="A60" s="107" t="s">
        <v>1096</v>
      </c>
      <c r="B60">
        <v>0</v>
      </c>
      <c r="C60" s="263">
        <v>1</v>
      </c>
      <c r="D60" s="233" t="s">
        <v>52</v>
      </c>
      <c r="G60" s="232"/>
    </row>
    <row r="61" spans="1:7" ht="15" x14ac:dyDescent="0.15">
      <c r="A61" s="107" t="s">
        <v>1096</v>
      </c>
      <c r="B61">
        <v>0</v>
      </c>
      <c r="C61" s="263">
        <v>1</v>
      </c>
      <c r="D61" s="233" t="s">
        <v>52</v>
      </c>
      <c r="G61" s="232"/>
    </row>
    <row r="62" spans="1:7" ht="15" x14ac:dyDescent="0.15">
      <c r="A62" s="107" t="s">
        <v>1096</v>
      </c>
      <c r="B62">
        <v>0</v>
      </c>
      <c r="C62" s="263">
        <v>1</v>
      </c>
      <c r="D62" s="233" t="s">
        <v>52</v>
      </c>
      <c r="G62" s="232"/>
    </row>
    <row r="63" spans="1:7" ht="15" x14ac:dyDescent="0.15">
      <c r="A63" s="107" t="s">
        <v>1096</v>
      </c>
      <c r="B63">
        <v>0</v>
      </c>
      <c r="C63" s="263">
        <v>1</v>
      </c>
      <c r="D63" s="233" t="s">
        <v>52</v>
      </c>
      <c r="G63" s="232"/>
    </row>
    <row r="64" spans="1:7" ht="15" x14ac:dyDescent="0.15">
      <c r="A64" s="107" t="s">
        <v>1096</v>
      </c>
      <c r="B64">
        <v>0</v>
      </c>
      <c r="C64" s="263">
        <v>1</v>
      </c>
      <c r="D64" s="233" t="s">
        <v>52</v>
      </c>
      <c r="G64" s="232"/>
    </row>
    <row r="65" spans="1:7" ht="15" x14ac:dyDescent="0.15">
      <c r="A65" s="107" t="s">
        <v>1096</v>
      </c>
      <c r="B65">
        <v>0</v>
      </c>
      <c r="C65" s="263">
        <v>1</v>
      </c>
      <c r="D65" s="233" t="s">
        <v>52</v>
      </c>
      <c r="G65" s="232"/>
    </row>
    <row r="66" spans="1:7" ht="15" x14ac:dyDescent="0.15">
      <c r="A66" s="107" t="s">
        <v>1096</v>
      </c>
      <c r="B66">
        <v>0</v>
      </c>
      <c r="C66" s="263">
        <v>1</v>
      </c>
      <c r="D66" s="233" t="s">
        <v>52</v>
      </c>
      <c r="G66" s="232"/>
    </row>
    <row r="67" spans="1:7" ht="15" x14ac:dyDescent="0.15">
      <c r="A67" s="107" t="s">
        <v>1096</v>
      </c>
      <c r="B67">
        <v>0</v>
      </c>
      <c r="C67" s="263">
        <v>1</v>
      </c>
      <c r="D67" s="233" t="s">
        <v>52</v>
      </c>
      <c r="G67" s="233" t="s">
        <v>58</v>
      </c>
    </row>
    <row r="68" spans="1:7" ht="15" x14ac:dyDescent="0.15">
      <c r="A68" s="107" t="s">
        <v>1096</v>
      </c>
      <c r="B68">
        <v>0</v>
      </c>
      <c r="C68" s="263">
        <v>1</v>
      </c>
      <c r="D68" s="233" t="s">
        <v>52</v>
      </c>
      <c r="G68" s="233" t="s">
        <v>58</v>
      </c>
    </row>
    <row r="69" spans="1:7" ht="15" x14ac:dyDescent="0.15">
      <c r="A69" s="107" t="s">
        <v>1096</v>
      </c>
      <c r="B69">
        <v>0</v>
      </c>
      <c r="C69" s="263">
        <v>1</v>
      </c>
      <c r="D69" s="233" t="s">
        <v>52</v>
      </c>
      <c r="G69" s="232"/>
    </row>
    <row r="70" spans="1:7" ht="15" x14ac:dyDescent="0.15">
      <c r="A70" s="107" t="s">
        <v>1096</v>
      </c>
      <c r="B70">
        <v>0</v>
      </c>
      <c r="C70" s="263">
        <v>1</v>
      </c>
      <c r="D70" s="233" t="s">
        <v>52</v>
      </c>
      <c r="G70" s="232"/>
    </row>
    <row r="71" spans="1:7" ht="15" x14ac:dyDescent="0.15">
      <c r="A71" s="107" t="s">
        <v>1096</v>
      </c>
      <c r="B71">
        <v>0</v>
      </c>
      <c r="C71" s="263">
        <v>1</v>
      </c>
      <c r="D71" s="233" t="s">
        <v>52</v>
      </c>
      <c r="G71" s="233" t="s">
        <v>58</v>
      </c>
    </row>
    <row r="72" spans="1:7" ht="15" x14ac:dyDescent="0.15">
      <c r="A72" s="107" t="s">
        <v>1096</v>
      </c>
      <c r="B72">
        <v>0</v>
      </c>
      <c r="C72" s="263">
        <v>1</v>
      </c>
      <c r="D72" s="233" t="s">
        <v>52</v>
      </c>
      <c r="G72" s="233" t="s">
        <v>58</v>
      </c>
    </row>
    <row r="73" spans="1:7" ht="15" x14ac:dyDescent="0.15">
      <c r="A73" s="107" t="s">
        <v>1096</v>
      </c>
      <c r="B73">
        <v>0</v>
      </c>
      <c r="C73" s="263">
        <v>1</v>
      </c>
      <c r="D73" s="233" t="s">
        <v>52</v>
      </c>
      <c r="G73" s="233" t="s">
        <v>305</v>
      </c>
    </row>
    <row r="74" spans="1:7" ht="15" x14ac:dyDescent="0.15">
      <c r="A74" s="107" t="s">
        <v>1096</v>
      </c>
      <c r="B74">
        <v>0</v>
      </c>
      <c r="C74" s="263">
        <v>1</v>
      </c>
      <c r="D74" s="233" t="s">
        <v>52</v>
      </c>
      <c r="G74" s="233" t="s">
        <v>305</v>
      </c>
    </row>
    <row r="75" spans="1:7" ht="15" x14ac:dyDescent="0.15">
      <c r="A75" s="107" t="s">
        <v>1096</v>
      </c>
      <c r="B75">
        <v>0</v>
      </c>
      <c r="C75" s="263">
        <v>1</v>
      </c>
      <c r="D75" s="233" t="s">
        <v>52</v>
      </c>
      <c r="G75" s="232"/>
    </row>
    <row r="76" spans="1:7" ht="15" x14ac:dyDescent="0.15">
      <c r="A76" s="107" t="s">
        <v>1096</v>
      </c>
      <c r="B76">
        <v>0</v>
      </c>
      <c r="C76" s="263">
        <v>1</v>
      </c>
      <c r="D76" s="233" t="s">
        <v>52</v>
      </c>
      <c r="G76" s="232"/>
    </row>
    <row r="77" spans="1:7" ht="15" x14ac:dyDescent="0.15">
      <c r="A77" s="107" t="s">
        <v>1096</v>
      </c>
      <c r="B77">
        <v>0</v>
      </c>
      <c r="C77" s="263">
        <v>1</v>
      </c>
      <c r="D77" s="233" t="s">
        <v>52</v>
      </c>
      <c r="G77" s="232"/>
    </row>
    <row r="78" spans="1:7" ht="15" x14ac:dyDescent="0.15">
      <c r="A78" s="107" t="s">
        <v>1096</v>
      </c>
      <c r="B78">
        <v>0</v>
      </c>
      <c r="C78" s="263">
        <v>1</v>
      </c>
      <c r="D78" s="233" t="s">
        <v>52</v>
      </c>
      <c r="G78" s="233" t="s">
        <v>58</v>
      </c>
    </row>
    <row r="79" spans="1:7" ht="15" x14ac:dyDescent="0.15">
      <c r="A79" s="107" t="s">
        <v>1096</v>
      </c>
      <c r="B79">
        <v>0</v>
      </c>
      <c r="C79" s="263">
        <v>1</v>
      </c>
      <c r="D79" s="233" t="s">
        <v>108</v>
      </c>
      <c r="G79" s="232"/>
    </row>
    <row r="80" spans="1:7" ht="15" x14ac:dyDescent="0.15">
      <c r="A80" s="107" t="s">
        <v>1096</v>
      </c>
      <c r="B80">
        <v>0</v>
      </c>
      <c r="C80" s="263">
        <v>1</v>
      </c>
      <c r="D80" s="233" t="s">
        <v>638</v>
      </c>
      <c r="G80" s="232"/>
    </row>
    <row r="81" spans="1:7" ht="15" x14ac:dyDescent="0.15">
      <c r="A81" s="107" t="s">
        <v>1096</v>
      </c>
      <c r="B81">
        <v>0</v>
      </c>
      <c r="C81" s="263">
        <v>1</v>
      </c>
      <c r="D81" s="233" t="s">
        <v>68</v>
      </c>
      <c r="G81" s="232"/>
    </row>
    <row r="82" spans="1:7" ht="15" x14ac:dyDescent="0.15">
      <c r="A82" s="107" t="s">
        <v>1096</v>
      </c>
      <c r="B82">
        <v>0</v>
      </c>
      <c r="C82" s="263">
        <v>1</v>
      </c>
      <c r="D82" s="233" t="s">
        <v>68</v>
      </c>
      <c r="G82" s="232"/>
    </row>
    <row r="83" spans="1:7" ht="15" x14ac:dyDescent="0.15">
      <c r="A83" s="107" t="s">
        <v>1096</v>
      </c>
      <c r="B83">
        <v>0</v>
      </c>
      <c r="C83" s="263">
        <v>1</v>
      </c>
      <c r="D83" s="233" t="s">
        <v>68</v>
      </c>
      <c r="G83" s="232"/>
    </row>
    <row r="84" spans="1:7" ht="15" x14ac:dyDescent="0.15">
      <c r="A84" s="107" t="s">
        <v>1096</v>
      </c>
      <c r="B84">
        <v>0</v>
      </c>
      <c r="C84" s="263">
        <v>1</v>
      </c>
      <c r="D84" s="233" t="s">
        <v>108</v>
      </c>
      <c r="G84" s="232"/>
    </row>
    <row r="85" spans="1:7" ht="15" x14ac:dyDescent="0.15">
      <c r="A85" s="107" t="s">
        <v>1096</v>
      </c>
      <c r="B85">
        <v>0</v>
      </c>
      <c r="C85" s="263">
        <v>1</v>
      </c>
      <c r="D85" s="233" t="s">
        <v>108</v>
      </c>
      <c r="G85" s="232"/>
    </row>
    <row r="86" spans="1:7" ht="15" x14ac:dyDescent="0.15">
      <c r="A86" s="107" t="s">
        <v>1096</v>
      </c>
      <c r="B86">
        <v>0</v>
      </c>
      <c r="C86" s="263">
        <v>1</v>
      </c>
      <c r="D86" s="233" t="s">
        <v>108</v>
      </c>
      <c r="G86" s="232"/>
    </row>
    <row r="87" spans="1:7" ht="15" x14ac:dyDescent="0.15">
      <c r="A87" s="107" t="s">
        <v>1096</v>
      </c>
      <c r="B87">
        <v>0</v>
      </c>
      <c r="C87" s="263">
        <v>1</v>
      </c>
      <c r="D87" s="233" t="s">
        <v>108</v>
      </c>
      <c r="G87" s="232"/>
    </row>
    <row r="88" spans="1:7" ht="15" x14ac:dyDescent="0.15">
      <c r="A88" s="107" t="s">
        <v>1096</v>
      </c>
      <c r="B88">
        <v>0</v>
      </c>
      <c r="C88" s="263">
        <v>1</v>
      </c>
      <c r="D88" s="233" t="s">
        <v>49</v>
      </c>
      <c r="G88" s="232"/>
    </row>
    <row r="89" spans="1:7" ht="15" x14ac:dyDescent="0.15">
      <c r="A89" s="107" t="s">
        <v>1096</v>
      </c>
      <c r="B89">
        <v>0</v>
      </c>
      <c r="C89" s="263">
        <v>1</v>
      </c>
      <c r="D89" s="233" t="s">
        <v>49</v>
      </c>
      <c r="G89" s="232"/>
    </row>
    <row r="90" spans="1:7" ht="15" x14ac:dyDescent="0.15">
      <c r="A90" s="107" t="s">
        <v>1096</v>
      </c>
      <c r="B90">
        <v>0</v>
      </c>
      <c r="C90" s="263">
        <v>1</v>
      </c>
      <c r="D90" s="233" t="s">
        <v>49</v>
      </c>
      <c r="G90" s="232"/>
    </row>
    <row r="91" spans="1:7" ht="15" x14ac:dyDescent="0.15">
      <c r="A91" s="107" t="s">
        <v>1096</v>
      </c>
      <c r="B91">
        <v>0</v>
      </c>
      <c r="C91" s="263">
        <v>1</v>
      </c>
      <c r="D91" s="233" t="s">
        <v>49</v>
      </c>
      <c r="G91" s="232"/>
    </row>
    <row r="92" spans="1:7" ht="15" x14ac:dyDescent="0.15">
      <c r="A92" s="107" t="s">
        <v>1096</v>
      </c>
      <c r="B92">
        <v>0</v>
      </c>
      <c r="C92" s="263">
        <v>1</v>
      </c>
      <c r="D92" s="233" t="s">
        <v>49</v>
      </c>
      <c r="G92" s="232"/>
    </row>
    <row r="93" spans="1:7" ht="15" x14ac:dyDescent="0.15">
      <c r="A93" s="107" t="s">
        <v>1096</v>
      </c>
      <c r="B93">
        <v>0</v>
      </c>
      <c r="C93" s="263">
        <v>1</v>
      </c>
      <c r="D93" s="233" t="s">
        <v>49</v>
      </c>
      <c r="G93" s="232"/>
    </row>
    <row r="94" spans="1:7" ht="15" x14ac:dyDescent="0.15">
      <c r="A94" s="107" t="s">
        <v>1096</v>
      </c>
      <c r="B94">
        <v>0</v>
      </c>
      <c r="C94" s="263">
        <v>1</v>
      </c>
      <c r="D94" s="233" t="s">
        <v>52</v>
      </c>
      <c r="G94" s="233" t="s">
        <v>58</v>
      </c>
    </row>
    <row r="95" spans="1:7" ht="15" x14ac:dyDescent="0.15">
      <c r="A95" s="107" t="s">
        <v>1096</v>
      </c>
      <c r="B95">
        <v>0</v>
      </c>
      <c r="C95" s="263">
        <v>1</v>
      </c>
      <c r="D95" s="233" t="s">
        <v>52</v>
      </c>
      <c r="G95" s="233" t="s">
        <v>302</v>
      </c>
    </row>
    <row r="96" spans="1:7" ht="15" x14ac:dyDescent="0.15">
      <c r="A96" s="107" t="s">
        <v>1096</v>
      </c>
      <c r="B96">
        <v>0</v>
      </c>
      <c r="C96" s="263">
        <v>1</v>
      </c>
      <c r="D96" s="233" t="s">
        <v>52</v>
      </c>
      <c r="G96" s="233" t="s">
        <v>305</v>
      </c>
    </row>
    <row r="97" spans="1:7" ht="15" x14ac:dyDescent="0.15">
      <c r="A97" s="107" t="s">
        <v>1096</v>
      </c>
      <c r="B97">
        <v>0</v>
      </c>
      <c r="C97" s="263">
        <v>1</v>
      </c>
      <c r="D97" s="233" t="s">
        <v>52</v>
      </c>
      <c r="G97" s="233" t="s">
        <v>305</v>
      </c>
    </row>
    <row r="98" spans="1:7" ht="15" x14ac:dyDescent="0.15">
      <c r="A98" s="107" t="s">
        <v>1096</v>
      </c>
      <c r="B98">
        <v>0</v>
      </c>
      <c r="C98" s="263">
        <v>1</v>
      </c>
      <c r="D98" s="233" t="s">
        <v>52</v>
      </c>
      <c r="G98" s="232"/>
    </row>
    <row r="99" spans="1:7" ht="15" x14ac:dyDescent="0.15">
      <c r="A99" s="107" t="s">
        <v>1096</v>
      </c>
      <c r="B99">
        <v>0</v>
      </c>
      <c r="C99" s="263">
        <v>1</v>
      </c>
      <c r="D99" s="233" t="s">
        <v>52</v>
      </c>
      <c r="G99" s="232"/>
    </row>
    <row r="100" spans="1:7" ht="15" x14ac:dyDescent="0.15">
      <c r="A100" s="107" t="s">
        <v>1096</v>
      </c>
      <c r="B100">
        <v>0</v>
      </c>
      <c r="C100" s="263">
        <v>1</v>
      </c>
      <c r="D100" s="233" t="s">
        <v>52</v>
      </c>
      <c r="G100" s="232"/>
    </row>
    <row r="101" spans="1:7" ht="15" x14ac:dyDescent="0.15">
      <c r="A101" s="107" t="s">
        <v>1096</v>
      </c>
      <c r="B101">
        <v>0</v>
      </c>
      <c r="C101" s="263">
        <v>1</v>
      </c>
      <c r="D101" s="233" t="s">
        <v>52</v>
      </c>
      <c r="G101" s="232"/>
    </row>
    <row r="102" spans="1:7" ht="15" x14ac:dyDescent="0.15">
      <c r="A102" s="107" t="s">
        <v>1096</v>
      </c>
      <c r="B102">
        <v>0</v>
      </c>
      <c r="C102" s="263">
        <v>1</v>
      </c>
      <c r="D102" s="233" t="s">
        <v>52</v>
      </c>
      <c r="G102" s="232"/>
    </row>
    <row r="103" spans="1:7" ht="15" x14ac:dyDescent="0.15">
      <c r="A103" s="107" t="s">
        <v>1096</v>
      </c>
      <c r="B103">
        <v>0</v>
      </c>
      <c r="C103" s="263">
        <v>1</v>
      </c>
      <c r="D103" s="233" t="s">
        <v>52</v>
      </c>
      <c r="G103" s="232"/>
    </row>
    <row r="104" spans="1:7" ht="15" x14ac:dyDescent="0.15">
      <c r="A104" s="107" t="s">
        <v>1096</v>
      </c>
      <c r="B104">
        <v>0</v>
      </c>
      <c r="C104" s="263">
        <v>1</v>
      </c>
      <c r="D104" s="233" t="s">
        <v>52</v>
      </c>
      <c r="G104" s="232"/>
    </row>
    <row r="105" spans="1:7" ht="15" x14ac:dyDescent="0.15">
      <c r="A105" s="107" t="s">
        <v>1096</v>
      </c>
      <c r="B105">
        <v>0</v>
      </c>
      <c r="C105" s="263">
        <v>1</v>
      </c>
      <c r="D105" s="233" t="s">
        <v>52</v>
      </c>
      <c r="G105" s="232"/>
    </row>
    <row r="106" spans="1:7" ht="15" x14ac:dyDescent="0.15">
      <c r="A106" s="107" t="s">
        <v>1096</v>
      </c>
      <c r="B106">
        <v>0</v>
      </c>
      <c r="C106" s="263">
        <v>1</v>
      </c>
      <c r="D106" s="233" t="s">
        <v>52</v>
      </c>
      <c r="G106" s="232"/>
    </row>
    <row r="107" spans="1:7" ht="15" x14ac:dyDescent="0.15">
      <c r="A107" s="107" t="s">
        <v>1096</v>
      </c>
      <c r="B107">
        <v>0</v>
      </c>
      <c r="C107" s="263">
        <v>1</v>
      </c>
      <c r="D107" s="233" t="s">
        <v>52</v>
      </c>
      <c r="G107" s="232"/>
    </row>
    <row r="108" spans="1:7" ht="15" x14ac:dyDescent="0.15">
      <c r="A108" s="107" t="s">
        <v>1096</v>
      </c>
      <c r="B108">
        <v>0</v>
      </c>
      <c r="C108" s="263">
        <v>1</v>
      </c>
      <c r="D108" s="233" t="s">
        <v>52</v>
      </c>
      <c r="G108" s="232"/>
    </row>
    <row r="109" spans="1:7" ht="15" x14ac:dyDescent="0.15">
      <c r="A109" s="107" t="s">
        <v>1096</v>
      </c>
      <c r="B109">
        <v>0</v>
      </c>
      <c r="C109" s="263">
        <v>1</v>
      </c>
      <c r="D109" s="233" t="s">
        <v>52</v>
      </c>
      <c r="G109" s="232"/>
    </row>
    <row r="110" spans="1:7" ht="15" x14ac:dyDescent="0.15">
      <c r="A110" s="107" t="s">
        <v>1096</v>
      </c>
      <c r="B110">
        <v>0</v>
      </c>
      <c r="C110" s="263">
        <v>1</v>
      </c>
      <c r="D110" s="233" t="s">
        <v>52</v>
      </c>
      <c r="G110" s="232"/>
    </row>
    <row r="111" spans="1:7" ht="15" x14ac:dyDescent="0.15">
      <c r="A111" s="107" t="s">
        <v>1096</v>
      </c>
      <c r="B111">
        <v>0</v>
      </c>
      <c r="C111" s="263">
        <v>1</v>
      </c>
      <c r="D111" s="233" t="s">
        <v>52</v>
      </c>
      <c r="G111" s="232"/>
    </row>
    <row r="112" spans="1:7" ht="15" x14ac:dyDescent="0.15">
      <c r="A112" s="107" t="s">
        <v>1097</v>
      </c>
      <c r="B112">
        <v>0</v>
      </c>
      <c r="C112" s="263">
        <v>1</v>
      </c>
      <c r="D112" s="219" t="s">
        <v>52</v>
      </c>
      <c r="G112" s="219"/>
    </row>
    <row r="113" spans="1:7" ht="15" x14ac:dyDescent="0.15">
      <c r="A113" s="107" t="s">
        <v>1097</v>
      </c>
      <c r="B113">
        <v>0</v>
      </c>
      <c r="C113" s="263">
        <v>1</v>
      </c>
      <c r="D113" s="177" t="s">
        <v>52</v>
      </c>
      <c r="G113" s="177"/>
    </row>
    <row r="114" spans="1:7" ht="15" x14ac:dyDescent="0.15">
      <c r="A114" s="107" t="s">
        <v>1097</v>
      </c>
      <c r="B114">
        <v>0</v>
      </c>
      <c r="C114" s="263">
        <v>1</v>
      </c>
      <c r="D114" s="177" t="s">
        <v>52</v>
      </c>
      <c r="G114" s="177"/>
    </row>
    <row r="115" spans="1:7" ht="15" x14ac:dyDescent="0.15">
      <c r="A115" s="107" t="s">
        <v>1097</v>
      </c>
      <c r="B115">
        <v>0</v>
      </c>
      <c r="C115" s="263">
        <v>1</v>
      </c>
      <c r="D115" s="177" t="s">
        <v>52</v>
      </c>
      <c r="G115" s="177"/>
    </row>
    <row r="116" spans="1:7" ht="15" x14ac:dyDescent="0.15">
      <c r="A116" s="107" t="s">
        <v>1097</v>
      </c>
      <c r="B116">
        <v>0</v>
      </c>
      <c r="C116" s="263">
        <v>1</v>
      </c>
      <c r="D116" s="177" t="s">
        <v>52</v>
      </c>
      <c r="G116" s="177"/>
    </row>
    <row r="117" spans="1:7" ht="15" x14ac:dyDescent="0.15">
      <c r="A117" s="107" t="s">
        <v>1097</v>
      </c>
      <c r="B117">
        <v>0</v>
      </c>
      <c r="C117" s="263">
        <v>1</v>
      </c>
      <c r="D117" s="177" t="s">
        <v>52</v>
      </c>
      <c r="G117" s="177"/>
    </row>
    <row r="118" spans="1:7" ht="15" x14ac:dyDescent="0.15">
      <c r="A118" s="107" t="s">
        <v>1097</v>
      </c>
      <c r="B118">
        <v>0</v>
      </c>
      <c r="C118" s="263">
        <v>1</v>
      </c>
      <c r="D118" s="177" t="s">
        <v>52</v>
      </c>
      <c r="G118" s="177"/>
    </row>
    <row r="119" spans="1:7" ht="15" x14ac:dyDescent="0.15">
      <c r="A119" s="107" t="s">
        <v>1097</v>
      </c>
      <c r="B119">
        <v>0</v>
      </c>
      <c r="C119" s="263">
        <v>1</v>
      </c>
      <c r="D119" s="177" t="s">
        <v>52</v>
      </c>
      <c r="G119" s="177"/>
    </row>
    <row r="120" spans="1:7" ht="15" x14ac:dyDescent="0.15">
      <c r="A120" s="107" t="s">
        <v>1097</v>
      </c>
      <c r="B120">
        <v>0</v>
      </c>
      <c r="C120" s="263">
        <v>1</v>
      </c>
      <c r="D120" s="177" t="s">
        <v>52</v>
      </c>
      <c r="G120" s="177"/>
    </row>
    <row r="121" spans="1:7" ht="15" x14ac:dyDescent="0.15">
      <c r="A121" s="107" t="s">
        <v>1097</v>
      </c>
      <c r="B121">
        <v>0</v>
      </c>
      <c r="C121" s="263">
        <v>1</v>
      </c>
      <c r="D121" s="177" t="s">
        <v>52</v>
      </c>
      <c r="G121" s="177"/>
    </row>
    <row r="122" spans="1:7" ht="15" x14ac:dyDescent="0.15">
      <c r="A122" s="107" t="s">
        <v>1097</v>
      </c>
      <c r="B122">
        <v>0</v>
      </c>
      <c r="C122" s="263">
        <v>1</v>
      </c>
      <c r="D122" s="177" t="s">
        <v>52</v>
      </c>
      <c r="G122" s="177"/>
    </row>
    <row r="123" spans="1:7" ht="15" x14ac:dyDescent="0.15">
      <c r="A123" s="107" t="s">
        <v>1097</v>
      </c>
      <c r="B123">
        <v>0</v>
      </c>
      <c r="C123" s="263">
        <v>1</v>
      </c>
      <c r="D123" s="177" t="s">
        <v>52</v>
      </c>
      <c r="G123" s="177"/>
    </row>
    <row r="124" spans="1:7" ht="15" x14ac:dyDescent="0.15">
      <c r="A124" s="107" t="s">
        <v>1097</v>
      </c>
      <c r="B124">
        <v>0</v>
      </c>
      <c r="C124" s="263">
        <v>1</v>
      </c>
      <c r="D124" s="177" t="s">
        <v>52</v>
      </c>
      <c r="G124" s="177"/>
    </row>
    <row r="125" spans="1:7" ht="15" x14ac:dyDescent="0.15">
      <c r="A125" s="107" t="s">
        <v>1097</v>
      </c>
      <c r="B125">
        <v>0</v>
      </c>
      <c r="C125" s="263">
        <v>1</v>
      </c>
      <c r="D125" s="177" t="s">
        <v>52</v>
      </c>
      <c r="G125" s="177" t="s">
        <v>637</v>
      </c>
    </row>
    <row r="126" spans="1:7" ht="15" x14ac:dyDescent="0.15">
      <c r="A126" s="107" t="s">
        <v>1097</v>
      </c>
      <c r="B126">
        <v>0</v>
      </c>
      <c r="C126" s="263">
        <v>1</v>
      </c>
      <c r="D126" s="177" t="s">
        <v>52</v>
      </c>
      <c r="G126" s="177"/>
    </row>
    <row r="127" spans="1:7" ht="15" x14ac:dyDescent="0.15">
      <c r="A127" s="107" t="s">
        <v>1097</v>
      </c>
      <c r="B127">
        <v>0</v>
      </c>
      <c r="C127" s="263">
        <v>1</v>
      </c>
      <c r="D127" s="177" t="s">
        <v>52</v>
      </c>
      <c r="G127" s="177"/>
    </row>
    <row r="128" spans="1:7" ht="15" x14ac:dyDescent="0.15">
      <c r="A128" s="107" t="s">
        <v>1097</v>
      </c>
      <c r="B128">
        <v>0</v>
      </c>
      <c r="C128" s="263">
        <v>1</v>
      </c>
      <c r="D128" s="177" t="s">
        <v>52</v>
      </c>
      <c r="G128" s="177"/>
    </row>
    <row r="129" spans="1:7" ht="15" x14ac:dyDescent="0.15">
      <c r="A129" s="107" t="s">
        <v>1097</v>
      </c>
      <c r="B129">
        <v>0</v>
      </c>
      <c r="C129" s="263">
        <v>1</v>
      </c>
      <c r="D129" s="177" t="s">
        <v>52</v>
      </c>
      <c r="G129" s="177"/>
    </row>
    <row r="130" spans="1:7" ht="15" x14ac:dyDescent="0.15">
      <c r="A130" s="107" t="s">
        <v>1097</v>
      </c>
      <c r="B130">
        <v>0</v>
      </c>
      <c r="C130" s="263">
        <v>1</v>
      </c>
      <c r="D130" s="177" t="s">
        <v>52</v>
      </c>
      <c r="G130" s="177"/>
    </row>
    <row r="131" spans="1:7" ht="15" x14ac:dyDescent="0.15">
      <c r="A131" s="107" t="s">
        <v>1097</v>
      </c>
      <c r="B131">
        <v>0</v>
      </c>
      <c r="C131" s="263">
        <v>1</v>
      </c>
      <c r="D131" s="177" t="s">
        <v>52</v>
      </c>
      <c r="G131" s="177" t="s">
        <v>58</v>
      </c>
    </row>
    <row r="132" spans="1:7" ht="15" x14ac:dyDescent="0.15">
      <c r="A132" s="107" t="s">
        <v>1097</v>
      </c>
      <c r="B132">
        <v>0</v>
      </c>
      <c r="C132" s="263">
        <v>1</v>
      </c>
      <c r="D132" s="177" t="s">
        <v>52</v>
      </c>
      <c r="G132" s="177"/>
    </row>
    <row r="133" spans="1:7" ht="15" x14ac:dyDescent="0.15">
      <c r="A133" s="107" t="s">
        <v>1097</v>
      </c>
      <c r="B133">
        <v>0</v>
      </c>
      <c r="C133" s="263">
        <v>1</v>
      </c>
      <c r="D133" s="177" t="s">
        <v>52</v>
      </c>
      <c r="G133" s="177"/>
    </row>
    <row r="134" spans="1:7" ht="15" x14ac:dyDescent="0.15">
      <c r="A134" s="107" t="s">
        <v>1097</v>
      </c>
      <c r="B134">
        <v>0</v>
      </c>
      <c r="C134" s="263">
        <v>1</v>
      </c>
      <c r="D134" s="177" t="s">
        <v>166</v>
      </c>
      <c r="G134" s="177"/>
    </row>
    <row r="135" spans="1:7" ht="15" x14ac:dyDescent="0.15">
      <c r="A135" s="107" t="s">
        <v>1097</v>
      </c>
      <c r="B135">
        <v>0</v>
      </c>
      <c r="C135" s="263">
        <v>1</v>
      </c>
      <c r="D135" s="177" t="s">
        <v>166</v>
      </c>
      <c r="G135" s="177"/>
    </row>
    <row r="136" spans="1:7" ht="15" x14ac:dyDescent="0.15">
      <c r="A136" s="107" t="s">
        <v>1097</v>
      </c>
      <c r="B136">
        <v>0</v>
      </c>
      <c r="C136" s="263">
        <v>1</v>
      </c>
      <c r="D136" s="177" t="s">
        <v>166</v>
      </c>
      <c r="G136" s="177"/>
    </row>
    <row r="137" spans="1:7" ht="15" x14ac:dyDescent="0.15">
      <c r="A137" s="107" t="s">
        <v>1097</v>
      </c>
      <c r="B137">
        <v>0</v>
      </c>
      <c r="C137" s="263">
        <v>1</v>
      </c>
      <c r="D137" s="177" t="s">
        <v>52</v>
      </c>
      <c r="G137" s="177"/>
    </row>
    <row r="138" spans="1:7" ht="15" x14ac:dyDescent="0.15">
      <c r="A138" s="107" t="s">
        <v>1097</v>
      </c>
      <c r="B138">
        <v>0</v>
      </c>
      <c r="C138" s="263">
        <v>1</v>
      </c>
      <c r="D138" s="177" t="s">
        <v>52</v>
      </c>
      <c r="G138" s="177" t="s">
        <v>58</v>
      </c>
    </row>
    <row r="139" spans="1:7" ht="15" x14ac:dyDescent="0.15">
      <c r="A139" s="107" t="s">
        <v>1097</v>
      </c>
      <c r="B139">
        <v>0</v>
      </c>
      <c r="C139" s="263">
        <v>1</v>
      </c>
      <c r="D139" s="177" t="s">
        <v>166</v>
      </c>
      <c r="G139" s="177"/>
    </row>
    <row r="140" spans="1:7" ht="15" x14ac:dyDescent="0.15">
      <c r="A140" s="107" t="s">
        <v>1097</v>
      </c>
      <c r="B140">
        <v>0</v>
      </c>
      <c r="C140" s="263">
        <v>1</v>
      </c>
      <c r="D140" s="177" t="s">
        <v>166</v>
      </c>
      <c r="G140" s="177"/>
    </row>
    <row r="141" spans="1:7" ht="15" x14ac:dyDescent="0.15">
      <c r="A141" s="107" t="s">
        <v>1097</v>
      </c>
      <c r="B141">
        <v>0</v>
      </c>
      <c r="C141" s="263">
        <v>1</v>
      </c>
      <c r="D141" s="177" t="s">
        <v>166</v>
      </c>
      <c r="G141" s="177"/>
    </row>
    <row r="142" spans="1:7" ht="15" x14ac:dyDescent="0.15">
      <c r="A142" s="107" t="s">
        <v>1097</v>
      </c>
      <c r="B142">
        <v>0</v>
      </c>
      <c r="C142" s="263">
        <v>1</v>
      </c>
      <c r="D142" s="177" t="s">
        <v>52</v>
      </c>
      <c r="G142" s="177"/>
    </row>
    <row r="143" spans="1:7" ht="15" x14ac:dyDescent="0.15">
      <c r="A143" s="107" t="s">
        <v>1097</v>
      </c>
      <c r="B143">
        <v>0</v>
      </c>
      <c r="C143" s="263">
        <v>1</v>
      </c>
      <c r="D143" s="177" t="s">
        <v>52</v>
      </c>
      <c r="G143" s="177"/>
    </row>
    <row r="144" spans="1:7" ht="15" x14ac:dyDescent="0.15">
      <c r="A144" s="107" t="s">
        <v>1097</v>
      </c>
      <c r="B144">
        <v>0</v>
      </c>
      <c r="C144" s="263">
        <v>1</v>
      </c>
      <c r="D144" s="177" t="s">
        <v>166</v>
      </c>
      <c r="G144" s="177"/>
    </row>
    <row r="145" spans="1:7" ht="15" x14ac:dyDescent="0.15">
      <c r="A145" s="107" t="s">
        <v>1097</v>
      </c>
      <c r="B145">
        <v>0</v>
      </c>
      <c r="C145" s="263">
        <v>1</v>
      </c>
      <c r="D145" s="177" t="s">
        <v>166</v>
      </c>
      <c r="G145" s="177"/>
    </row>
    <row r="146" spans="1:7" ht="15" x14ac:dyDescent="0.15">
      <c r="A146" s="107" t="s">
        <v>1097</v>
      </c>
      <c r="B146">
        <v>0</v>
      </c>
      <c r="C146" s="263">
        <v>1</v>
      </c>
      <c r="D146" s="177" t="s">
        <v>52</v>
      </c>
      <c r="G146" s="177" t="s">
        <v>58</v>
      </c>
    </row>
    <row r="147" spans="1:7" ht="15" x14ac:dyDescent="0.15">
      <c r="A147" s="107" t="s">
        <v>1097</v>
      </c>
      <c r="B147">
        <v>0</v>
      </c>
      <c r="C147" s="263">
        <v>1</v>
      </c>
      <c r="D147" s="177" t="s">
        <v>52</v>
      </c>
      <c r="G147" s="177"/>
    </row>
    <row r="148" spans="1:7" ht="15" x14ac:dyDescent="0.15">
      <c r="A148" s="107" t="s">
        <v>1097</v>
      </c>
      <c r="B148">
        <v>0</v>
      </c>
      <c r="C148" s="263">
        <v>1</v>
      </c>
      <c r="D148" s="177" t="s">
        <v>68</v>
      </c>
      <c r="G148" s="177"/>
    </row>
    <row r="149" spans="1:7" ht="15" x14ac:dyDescent="0.15">
      <c r="A149" s="107" t="s">
        <v>1097</v>
      </c>
      <c r="B149">
        <v>0</v>
      </c>
      <c r="C149" s="263">
        <v>1</v>
      </c>
      <c r="D149" s="177" t="s">
        <v>68</v>
      </c>
      <c r="G149" s="177"/>
    </row>
    <row r="150" spans="1:7" ht="15" x14ac:dyDescent="0.15">
      <c r="A150" s="107" t="s">
        <v>1097</v>
      </c>
      <c r="B150">
        <v>0</v>
      </c>
      <c r="C150" s="263">
        <v>1</v>
      </c>
      <c r="D150" s="177" t="s">
        <v>68</v>
      </c>
      <c r="G150" s="177"/>
    </row>
    <row r="151" spans="1:7" ht="15" x14ac:dyDescent="0.15">
      <c r="A151" s="107" t="s">
        <v>1097</v>
      </c>
      <c r="B151">
        <v>0</v>
      </c>
      <c r="C151" s="263">
        <v>1</v>
      </c>
      <c r="D151" s="177" t="s">
        <v>638</v>
      </c>
      <c r="G151" s="177"/>
    </row>
    <row r="152" spans="1:7" ht="15" x14ac:dyDescent="0.15">
      <c r="A152" s="107" t="s">
        <v>1097</v>
      </c>
      <c r="B152">
        <v>0</v>
      </c>
      <c r="C152" s="263">
        <v>1</v>
      </c>
      <c r="D152" s="177" t="s">
        <v>638</v>
      </c>
      <c r="G152" s="177"/>
    </row>
    <row r="153" spans="1:7" ht="15" x14ac:dyDescent="0.15">
      <c r="A153" s="107" t="s">
        <v>1097</v>
      </c>
      <c r="B153">
        <v>0</v>
      </c>
      <c r="C153" s="263">
        <v>1</v>
      </c>
      <c r="D153" s="177" t="s">
        <v>68</v>
      </c>
      <c r="G153" s="177"/>
    </row>
    <row r="154" spans="1:7" ht="15" x14ac:dyDescent="0.15">
      <c r="A154" s="107" t="s">
        <v>1097</v>
      </c>
      <c r="B154">
        <v>0</v>
      </c>
      <c r="C154" s="263">
        <v>1</v>
      </c>
      <c r="D154" s="177" t="s">
        <v>68</v>
      </c>
      <c r="G154" s="177"/>
    </row>
    <row r="155" spans="1:7" ht="15" x14ac:dyDescent="0.15">
      <c r="A155" s="107" t="s">
        <v>1097</v>
      </c>
      <c r="B155">
        <v>0</v>
      </c>
      <c r="C155" s="263">
        <v>1</v>
      </c>
      <c r="D155" s="177" t="s">
        <v>68</v>
      </c>
      <c r="G155" s="177"/>
    </row>
    <row r="156" spans="1:7" ht="15" x14ac:dyDescent="0.15">
      <c r="A156" s="107" t="s">
        <v>1097</v>
      </c>
      <c r="B156">
        <v>0</v>
      </c>
      <c r="C156" s="263">
        <v>1</v>
      </c>
      <c r="D156" s="177" t="s">
        <v>68</v>
      </c>
      <c r="G156" s="177"/>
    </row>
    <row r="157" spans="1:7" ht="15" x14ac:dyDescent="0.15">
      <c r="A157" s="107" t="s">
        <v>1097</v>
      </c>
      <c r="B157">
        <v>0</v>
      </c>
      <c r="C157" s="263">
        <v>1</v>
      </c>
      <c r="D157" s="177" t="s">
        <v>108</v>
      </c>
      <c r="G157" s="177"/>
    </row>
    <row r="158" spans="1:7" ht="15" x14ac:dyDescent="0.15">
      <c r="A158" s="107" t="s">
        <v>1097</v>
      </c>
      <c r="B158">
        <v>0</v>
      </c>
      <c r="C158" s="263">
        <v>1</v>
      </c>
      <c r="D158" s="177" t="s">
        <v>108</v>
      </c>
      <c r="G158" s="177"/>
    </row>
    <row r="159" spans="1:7" ht="15" x14ac:dyDescent="0.15">
      <c r="A159" s="107" t="s">
        <v>1097</v>
      </c>
      <c r="B159">
        <v>0</v>
      </c>
      <c r="C159" s="263">
        <v>1</v>
      </c>
      <c r="D159" s="177" t="s">
        <v>108</v>
      </c>
      <c r="G159" s="177"/>
    </row>
    <row r="160" spans="1:7" ht="15" x14ac:dyDescent="0.15">
      <c r="A160" s="107" t="s">
        <v>1097</v>
      </c>
      <c r="B160">
        <v>0</v>
      </c>
      <c r="C160" s="263">
        <v>1</v>
      </c>
      <c r="D160" s="177" t="s">
        <v>108</v>
      </c>
      <c r="G160" s="177"/>
    </row>
    <row r="161" spans="1:7" ht="15" x14ac:dyDescent="0.15">
      <c r="A161" s="107" t="s">
        <v>1097</v>
      </c>
      <c r="B161">
        <v>0</v>
      </c>
      <c r="C161" s="263">
        <v>1</v>
      </c>
      <c r="D161" s="177" t="s">
        <v>52</v>
      </c>
      <c r="G161" s="177"/>
    </row>
    <row r="162" spans="1:7" ht="15" x14ac:dyDescent="0.15">
      <c r="A162" s="107" t="s">
        <v>1097</v>
      </c>
      <c r="B162">
        <v>0</v>
      </c>
      <c r="C162" s="263">
        <v>1</v>
      </c>
      <c r="D162" s="177" t="s">
        <v>108</v>
      </c>
      <c r="G162" s="177"/>
    </row>
    <row r="163" spans="1:7" ht="15" x14ac:dyDescent="0.15">
      <c r="A163" s="107" t="s">
        <v>1097</v>
      </c>
      <c r="B163">
        <v>0</v>
      </c>
      <c r="C163" s="263">
        <v>1</v>
      </c>
      <c r="D163" s="177" t="s">
        <v>68</v>
      </c>
      <c r="G163" s="177"/>
    </row>
    <row r="164" spans="1:7" ht="15" x14ac:dyDescent="0.15">
      <c r="A164" s="107" t="s">
        <v>1097</v>
      </c>
      <c r="B164">
        <v>0</v>
      </c>
      <c r="C164" s="263">
        <v>1</v>
      </c>
      <c r="D164" s="177" t="s">
        <v>108</v>
      </c>
      <c r="G164" s="177"/>
    </row>
    <row r="165" spans="1:7" ht="15" x14ac:dyDescent="0.15">
      <c r="A165" s="107" t="s">
        <v>1097</v>
      </c>
      <c r="B165">
        <v>0</v>
      </c>
      <c r="C165" s="263">
        <v>1</v>
      </c>
      <c r="D165" s="177" t="s">
        <v>108</v>
      </c>
      <c r="G165" s="177"/>
    </row>
    <row r="166" spans="1:7" ht="15" x14ac:dyDescent="0.15">
      <c r="A166" s="107" t="s">
        <v>1097</v>
      </c>
      <c r="B166">
        <v>0</v>
      </c>
      <c r="C166" s="263">
        <v>1</v>
      </c>
      <c r="D166" s="177" t="s">
        <v>108</v>
      </c>
      <c r="G166" s="177"/>
    </row>
    <row r="167" spans="1:7" ht="15" x14ac:dyDescent="0.15">
      <c r="A167" s="107" t="s">
        <v>1097</v>
      </c>
      <c r="B167">
        <v>0</v>
      </c>
      <c r="C167" s="263">
        <v>1</v>
      </c>
      <c r="D167" s="177" t="s">
        <v>108</v>
      </c>
      <c r="G167" s="177"/>
    </row>
    <row r="168" spans="1:7" ht="15" x14ac:dyDescent="0.15">
      <c r="A168" s="107" t="s">
        <v>1097</v>
      </c>
      <c r="B168">
        <v>0</v>
      </c>
      <c r="C168" s="263">
        <v>1</v>
      </c>
      <c r="D168" s="177" t="s">
        <v>52</v>
      </c>
      <c r="G168" s="177"/>
    </row>
    <row r="169" spans="1:7" ht="15" x14ac:dyDescent="0.15">
      <c r="A169" s="107" t="s">
        <v>1097</v>
      </c>
      <c r="B169">
        <v>0</v>
      </c>
      <c r="C169" s="263">
        <v>1</v>
      </c>
      <c r="D169" s="177" t="s">
        <v>52</v>
      </c>
      <c r="G169" s="177"/>
    </row>
    <row r="170" spans="1:7" ht="15" x14ac:dyDescent="0.15">
      <c r="A170" s="107" t="s">
        <v>1097</v>
      </c>
      <c r="B170">
        <v>0</v>
      </c>
      <c r="C170" s="263">
        <v>1</v>
      </c>
      <c r="D170" s="177" t="s">
        <v>52</v>
      </c>
      <c r="G170" s="177" t="s">
        <v>58</v>
      </c>
    </row>
    <row r="171" spans="1:7" ht="15" x14ac:dyDescent="0.15">
      <c r="A171" s="107" t="s">
        <v>1097</v>
      </c>
      <c r="B171">
        <v>0</v>
      </c>
      <c r="C171" s="263">
        <v>1</v>
      </c>
      <c r="D171" s="177" t="s">
        <v>52</v>
      </c>
      <c r="G171" s="177"/>
    </row>
    <row r="172" spans="1:7" ht="15" x14ac:dyDescent="0.15">
      <c r="A172" s="107" t="s">
        <v>1097</v>
      </c>
      <c r="B172">
        <v>0</v>
      </c>
      <c r="C172" s="263">
        <v>1</v>
      </c>
      <c r="D172" s="177" t="s">
        <v>52</v>
      </c>
      <c r="G172" s="177"/>
    </row>
    <row r="173" spans="1:7" ht="15" x14ac:dyDescent="0.15">
      <c r="A173" s="107" t="s">
        <v>1097</v>
      </c>
      <c r="B173">
        <v>0</v>
      </c>
      <c r="C173" s="263">
        <v>1</v>
      </c>
      <c r="D173" s="177" t="s">
        <v>52</v>
      </c>
      <c r="G173" s="177"/>
    </row>
    <row r="174" spans="1:7" ht="15" x14ac:dyDescent="0.15">
      <c r="A174" s="107" t="s">
        <v>1097</v>
      </c>
      <c r="B174">
        <v>0</v>
      </c>
      <c r="C174" s="263">
        <v>1</v>
      </c>
      <c r="D174" s="177" t="s">
        <v>52</v>
      </c>
      <c r="G174" s="177"/>
    </row>
    <row r="175" spans="1:7" ht="15" x14ac:dyDescent="0.15">
      <c r="A175" s="107" t="s">
        <v>1097</v>
      </c>
      <c r="B175">
        <v>0</v>
      </c>
      <c r="C175" s="263">
        <v>1</v>
      </c>
      <c r="D175" s="177" t="s">
        <v>52</v>
      </c>
      <c r="G175" s="177"/>
    </row>
    <row r="176" spans="1:7" ht="15" x14ac:dyDescent="0.15">
      <c r="A176" s="107" t="s">
        <v>1097</v>
      </c>
      <c r="B176">
        <v>0</v>
      </c>
      <c r="C176" s="263">
        <v>1</v>
      </c>
      <c r="D176" s="177" t="s">
        <v>52</v>
      </c>
      <c r="G176" s="177"/>
    </row>
    <row r="177" spans="1:7" ht="15" x14ac:dyDescent="0.15">
      <c r="A177" s="107" t="s">
        <v>1097</v>
      </c>
      <c r="B177">
        <v>0</v>
      </c>
      <c r="C177" s="263">
        <v>1</v>
      </c>
      <c r="D177" s="177" t="s">
        <v>108</v>
      </c>
      <c r="G177" s="177"/>
    </row>
    <row r="178" spans="1:7" ht="15" x14ac:dyDescent="0.15">
      <c r="A178" s="107" t="s">
        <v>1097</v>
      </c>
      <c r="B178">
        <v>0</v>
      </c>
      <c r="C178" s="263">
        <v>1</v>
      </c>
      <c r="D178" s="177" t="s">
        <v>108</v>
      </c>
      <c r="G178" s="177"/>
    </row>
    <row r="179" spans="1:7" ht="15" x14ac:dyDescent="0.15">
      <c r="A179" s="107" t="s">
        <v>1097</v>
      </c>
      <c r="B179">
        <v>0</v>
      </c>
      <c r="C179" s="263">
        <v>1</v>
      </c>
      <c r="D179" s="177" t="s">
        <v>52</v>
      </c>
      <c r="G179" s="177" t="s">
        <v>58</v>
      </c>
    </row>
    <row r="180" spans="1:7" ht="15" x14ac:dyDescent="0.15">
      <c r="A180" s="107" t="s">
        <v>1097</v>
      </c>
      <c r="B180">
        <v>0</v>
      </c>
      <c r="C180" s="263">
        <v>1</v>
      </c>
      <c r="D180" s="177" t="s">
        <v>52</v>
      </c>
      <c r="G180" s="177"/>
    </row>
    <row r="181" spans="1:7" ht="15" x14ac:dyDescent="0.15">
      <c r="A181" s="107" t="s">
        <v>1097</v>
      </c>
      <c r="B181">
        <v>0</v>
      </c>
      <c r="C181" s="263">
        <v>1</v>
      </c>
      <c r="D181" s="177" t="s">
        <v>52</v>
      </c>
      <c r="G181" s="177"/>
    </row>
    <row r="182" spans="1:7" ht="15" x14ac:dyDescent="0.15">
      <c r="A182" s="107" t="s">
        <v>1097</v>
      </c>
      <c r="B182">
        <v>0</v>
      </c>
      <c r="C182" s="263">
        <v>1</v>
      </c>
      <c r="D182" s="177" t="s">
        <v>108</v>
      </c>
      <c r="G182" s="177"/>
    </row>
    <row r="183" spans="1:7" ht="15" x14ac:dyDescent="0.15">
      <c r="A183" s="107" t="s">
        <v>1097</v>
      </c>
      <c r="B183">
        <v>0</v>
      </c>
      <c r="C183" s="263">
        <v>1</v>
      </c>
      <c r="D183" s="177" t="s">
        <v>49</v>
      </c>
      <c r="G183" s="177"/>
    </row>
    <row r="184" spans="1:7" ht="15" x14ac:dyDescent="0.15">
      <c r="A184" s="107" t="s">
        <v>1097</v>
      </c>
      <c r="B184">
        <v>0</v>
      </c>
      <c r="C184" s="263">
        <v>1</v>
      </c>
      <c r="D184" s="177" t="s">
        <v>49</v>
      </c>
      <c r="G184" s="177"/>
    </row>
    <row r="185" spans="1:7" ht="15" x14ac:dyDescent="0.15">
      <c r="A185" s="107" t="s">
        <v>1097</v>
      </c>
      <c r="B185">
        <v>0</v>
      </c>
      <c r="C185" s="263">
        <v>1</v>
      </c>
      <c r="D185" s="177" t="s">
        <v>108</v>
      </c>
      <c r="G185" s="177"/>
    </row>
    <row r="186" spans="1:7" ht="15" x14ac:dyDescent="0.15">
      <c r="A186" s="107" t="s">
        <v>1097</v>
      </c>
      <c r="B186">
        <v>0</v>
      </c>
      <c r="C186" s="263">
        <v>1</v>
      </c>
      <c r="D186" s="177" t="s">
        <v>108</v>
      </c>
      <c r="G186" s="177"/>
    </row>
    <row r="187" spans="1:7" ht="15" x14ac:dyDescent="0.15">
      <c r="A187" s="107" t="s">
        <v>1097</v>
      </c>
      <c r="B187">
        <v>0</v>
      </c>
      <c r="C187" s="263">
        <v>1</v>
      </c>
      <c r="D187" s="177" t="s">
        <v>108</v>
      </c>
      <c r="G187" s="177"/>
    </row>
    <row r="188" spans="1:7" ht="15" x14ac:dyDescent="0.15">
      <c r="A188" s="107" t="s">
        <v>1097</v>
      </c>
      <c r="B188">
        <v>0</v>
      </c>
      <c r="C188" s="263">
        <v>1</v>
      </c>
      <c r="D188" s="177" t="s">
        <v>49</v>
      </c>
      <c r="G188" s="177"/>
    </row>
    <row r="189" spans="1:7" ht="15" x14ac:dyDescent="0.15">
      <c r="A189" s="107" t="s">
        <v>1097</v>
      </c>
      <c r="B189">
        <v>0</v>
      </c>
      <c r="C189" s="263">
        <v>1</v>
      </c>
      <c r="D189" s="177" t="s">
        <v>52</v>
      </c>
      <c r="G189" s="177"/>
    </row>
    <row r="190" spans="1:7" ht="15" x14ac:dyDescent="0.15">
      <c r="A190" s="107" t="s">
        <v>1097</v>
      </c>
      <c r="B190">
        <v>0</v>
      </c>
      <c r="C190" s="263">
        <v>1</v>
      </c>
      <c r="D190" s="177" t="s">
        <v>49</v>
      </c>
      <c r="G190" s="177"/>
    </row>
    <row r="191" spans="1:7" ht="15" x14ac:dyDescent="0.15">
      <c r="A191" s="107" t="s">
        <v>1097</v>
      </c>
      <c r="B191">
        <v>0</v>
      </c>
      <c r="C191" s="263">
        <v>1</v>
      </c>
      <c r="D191" s="177" t="s">
        <v>49</v>
      </c>
      <c r="G191" s="177"/>
    </row>
    <row r="192" spans="1:7" ht="15" x14ac:dyDescent="0.15">
      <c r="A192" s="107" t="s">
        <v>1097</v>
      </c>
      <c r="B192">
        <v>0</v>
      </c>
      <c r="C192" s="263">
        <v>1</v>
      </c>
      <c r="D192" s="177" t="s">
        <v>52</v>
      </c>
      <c r="G192" s="177"/>
    </row>
    <row r="193" spans="1:7" ht="15" x14ac:dyDescent="0.15">
      <c r="A193" s="107" t="s">
        <v>1097</v>
      </c>
      <c r="B193">
        <v>0</v>
      </c>
      <c r="C193" s="263">
        <v>1</v>
      </c>
      <c r="D193" s="177" t="s">
        <v>52</v>
      </c>
      <c r="G193" s="177" t="s">
        <v>58</v>
      </c>
    </row>
    <row r="194" spans="1:7" ht="15" x14ac:dyDescent="0.15">
      <c r="A194" s="107" t="s">
        <v>1097</v>
      </c>
      <c r="B194">
        <v>0</v>
      </c>
      <c r="C194" s="263">
        <v>1</v>
      </c>
      <c r="D194" s="177" t="s">
        <v>49</v>
      </c>
      <c r="G194" s="177" t="s">
        <v>58</v>
      </c>
    </row>
    <row r="195" spans="1:7" ht="15" x14ac:dyDescent="0.15">
      <c r="A195" s="107" t="s">
        <v>1097</v>
      </c>
      <c r="B195">
        <v>0</v>
      </c>
      <c r="C195" s="263">
        <v>1</v>
      </c>
      <c r="D195" s="177" t="s">
        <v>108</v>
      </c>
      <c r="G195" s="177" t="s">
        <v>58</v>
      </c>
    </row>
    <row r="196" spans="1:7" ht="15" x14ac:dyDescent="0.15">
      <c r="A196" s="107" t="s">
        <v>1097</v>
      </c>
      <c r="B196">
        <v>0</v>
      </c>
      <c r="C196" s="263">
        <v>1</v>
      </c>
      <c r="D196" s="177" t="s">
        <v>108</v>
      </c>
      <c r="G196" s="177"/>
    </row>
    <row r="197" spans="1:7" ht="15" x14ac:dyDescent="0.15">
      <c r="A197" s="107" t="s">
        <v>1097</v>
      </c>
      <c r="B197">
        <v>0</v>
      </c>
      <c r="C197" s="263">
        <v>1</v>
      </c>
      <c r="D197" s="177" t="s">
        <v>108</v>
      </c>
      <c r="G197" s="177"/>
    </row>
    <row r="198" spans="1:7" ht="15" x14ac:dyDescent="0.15">
      <c r="A198" s="107" t="s">
        <v>1097</v>
      </c>
      <c r="B198">
        <v>0</v>
      </c>
      <c r="C198" s="263">
        <v>1</v>
      </c>
      <c r="D198" s="177" t="s">
        <v>49</v>
      </c>
      <c r="G198" s="177"/>
    </row>
    <row r="199" spans="1:7" ht="15" x14ac:dyDescent="0.15">
      <c r="A199" s="107" t="s">
        <v>1097</v>
      </c>
      <c r="B199">
        <v>0</v>
      </c>
      <c r="C199" s="263">
        <v>1</v>
      </c>
      <c r="D199" s="177" t="s">
        <v>49</v>
      </c>
      <c r="G199" s="177"/>
    </row>
    <row r="200" spans="1:7" ht="15" x14ac:dyDescent="0.15">
      <c r="A200" s="107" t="s">
        <v>1097</v>
      </c>
      <c r="B200">
        <v>0</v>
      </c>
      <c r="C200" s="263">
        <v>1</v>
      </c>
      <c r="D200" s="177" t="s">
        <v>108</v>
      </c>
      <c r="G200" s="177"/>
    </row>
    <row r="201" spans="1:7" ht="15" x14ac:dyDescent="0.15">
      <c r="A201" s="107" t="s">
        <v>1097</v>
      </c>
      <c r="B201">
        <v>0</v>
      </c>
      <c r="C201" s="263">
        <v>1</v>
      </c>
      <c r="D201" s="177" t="s">
        <v>108</v>
      </c>
      <c r="G201" s="177" t="s">
        <v>58</v>
      </c>
    </row>
    <row r="202" spans="1:7" ht="15" x14ac:dyDescent="0.15">
      <c r="A202" s="107" t="s">
        <v>1097</v>
      </c>
      <c r="B202">
        <v>0</v>
      </c>
      <c r="C202" s="263">
        <v>1</v>
      </c>
      <c r="D202" s="177" t="s">
        <v>108</v>
      </c>
      <c r="G202" s="177"/>
    </row>
    <row r="203" spans="1:7" ht="15" x14ac:dyDescent="0.15">
      <c r="A203" s="107" t="s">
        <v>1097</v>
      </c>
      <c r="B203">
        <v>0</v>
      </c>
      <c r="C203" s="263">
        <v>1</v>
      </c>
      <c r="D203" s="177" t="s">
        <v>108</v>
      </c>
      <c r="G203" s="177"/>
    </row>
    <row r="204" spans="1:7" ht="15" x14ac:dyDescent="0.15">
      <c r="A204" s="107" t="s">
        <v>1097</v>
      </c>
      <c r="B204">
        <v>0</v>
      </c>
      <c r="C204" s="263">
        <v>1</v>
      </c>
      <c r="D204" s="177" t="s">
        <v>638</v>
      </c>
      <c r="G204" s="177"/>
    </row>
    <row r="205" spans="1:7" ht="15" x14ac:dyDescent="0.15">
      <c r="A205" s="107" t="s">
        <v>1097</v>
      </c>
      <c r="B205">
        <v>0</v>
      </c>
      <c r="C205" s="263">
        <v>1</v>
      </c>
      <c r="D205" s="177" t="s">
        <v>108</v>
      </c>
      <c r="G205" s="177"/>
    </row>
    <row r="206" spans="1:7" ht="15" x14ac:dyDescent="0.15">
      <c r="A206" s="107" t="s">
        <v>1097</v>
      </c>
      <c r="B206">
        <v>0</v>
      </c>
      <c r="C206" s="263">
        <v>1</v>
      </c>
      <c r="D206" s="177" t="s">
        <v>638</v>
      </c>
      <c r="G206" s="177"/>
    </row>
    <row r="207" spans="1:7" ht="15" x14ac:dyDescent="0.15">
      <c r="A207" s="107" t="s">
        <v>1097</v>
      </c>
      <c r="B207">
        <v>0</v>
      </c>
      <c r="C207" s="263">
        <v>1</v>
      </c>
      <c r="D207" s="177" t="s">
        <v>108</v>
      </c>
      <c r="G207" s="177"/>
    </row>
    <row r="208" spans="1:7" ht="15" x14ac:dyDescent="0.15">
      <c r="A208" s="107" t="s">
        <v>1097</v>
      </c>
      <c r="B208">
        <v>0</v>
      </c>
      <c r="C208" s="263">
        <v>1</v>
      </c>
      <c r="D208" s="177" t="s">
        <v>108</v>
      </c>
      <c r="G208" s="177"/>
    </row>
    <row r="209" spans="1:7" ht="15" x14ac:dyDescent="0.15">
      <c r="A209" s="107" t="s">
        <v>1097</v>
      </c>
      <c r="B209">
        <v>0</v>
      </c>
      <c r="C209" s="263">
        <v>1</v>
      </c>
      <c r="D209" s="202" t="s">
        <v>108</v>
      </c>
      <c r="G209" s="202"/>
    </row>
    <row r="210" spans="1:7" ht="15" x14ac:dyDescent="0.15">
      <c r="A210" s="107" t="s">
        <v>1097</v>
      </c>
      <c r="B210">
        <v>0</v>
      </c>
      <c r="C210" s="263">
        <v>1</v>
      </c>
      <c r="D210" s="201" t="s">
        <v>49</v>
      </c>
      <c r="G210" s="179"/>
    </row>
    <row r="211" spans="1:7" ht="15" x14ac:dyDescent="0.15">
      <c r="A211" s="276" t="s">
        <v>1100</v>
      </c>
      <c r="B211">
        <v>0</v>
      </c>
      <c r="C211" s="263">
        <v>1</v>
      </c>
      <c r="D211" s="209" t="s">
        <v>52</v>
      </c>
      <c r="G211" s="208"/>
    </row>
    <row r="212" spans="1:7" ht="15" x14ac:dyDescent="0.15">
      <c r="A212" s="276" t="s">
        <v>1100</v>
      </c>
      <c r="B212">
        <v>0</v>
      </c>
      <c r="C212" s="263">
        <v>1</v>
      </c>
      <c r="D212" s="209" t="s">
        <v>52</v>
      </c>
      <c r="G212" s="208"/>
    </row>
    <row r="213" spans="1:7" ht="15" x14ac:dyDescent="0.15">
      <c r="A213" s="276" t="s">
        <v>1100</v>
      </c>
      <c r="B213">
        <v>0</v>
      </c>
      <c r="C213" s="263">
        <v>1</v>
      </c>
      <c r="D213" s="209" t="s">
        <v>52</v>
      </c>
      <c r="G213" s="208"/>
    </row>
    <row r="214" spans="1:7" ht="15" x14ac:dyDescent="0.15">
      <c r="A214" s="276" t="s">
        <v>1100</v>
      </c>
      <c r="B214">
        <v>0</v>
      </c>
      <c r="C214" s="263">
        <v>1</v>
      </c>
      <c r="D214" s="209" t="s">
        <v>52</v>
      </c>
      <c r="G214" s="208"/>
    </row>
    <row r="215" spans="1:7" ht="15" x14ac:dyDescent="0.15">
      <c r="A215" s="276" t="s">
        <v>1100</v>
      </c>
      <c r="B215">
        <v>0</v>
      </c>
      <c r="C215" s="263">
        <v>1</v>
      </c>
      <c r="D215" s="209" t="s">
        <v>52</v>
      </c>
      <c r="G215" s="208"/>
    </row>
    <row r="216" spans="1:7" ht="15" x14ac:dyDescent="0.15">
      <c r="A216" s="276" t="s">
        <v>1100</v>
      </c>
      <c r="B216">
        <v>0</v>
      </c>
      <c r="C216" s="263">
        <v>1</v>
      </c>
      <c r="D216" s="209" t="s">
        <v>52</v>
      </c>
      <c r="G216" s="208"/>
    </row>
    <row r="217" spans="1:7" ht="15" x14ac:dyDescent="0.15">
      <c r="A217" s="276" t="s">
        <v>1100</v>
      </c>
      <c r="B217">
        <v>0</v>
      </c>
      <c r="C217" s="263">
        <v>1</v>
      </c>
      <c r="D217" s="209" t="s">
        <v>52</v>
      </c>
      <c r="G217" s="208"/>
    </row>
    <row r="218" spans="1:7" ht="15" x14ac:dyDescent="0.15">
      <c r="A218" s="276" t="s">
        <v>1100</v>
      </c>
      <c r="B218">
        <v>0</v>
      </c>
      <c r="C218" s="263">
        <v>1</v>
      </c>
      <c r="D218" s="209" t="s">
        <v>52</v>
      </c>
      <c r="G218" s="208"/>
    </row>
    <row r="219" spans="1:7" ht="15" x14ac:dyDescent="0.15">
      <c r="A219" s="276" t="s">
        <v>1100</v>
      </c>
      <c r="B219">
        <v>0</v>
      </c>
      <c r="C219" s="263">
        <v>1</v>
      </c>
      <c r="D219" s="209" t="s">
        <v>52</v>
      </c>
      <c r="G219" s="209" t="s">
        <v>58</v>
      </c>
    </row>
    <row r="220" spans="1:7" ht="15" x14ac:dyDescent="0.15">
      <c r="A220" s="276" t="s">
        <v>1100</v>
      </c>
      <c r="B220">
        <v>0</v>
      </c>
      <c r="C220" s="263">
        <v>1</v>
      </c>
      <c r="D220" s="209" t="s">
        <v>52</v>
      </c>
      <c r="G220" s="208"/>
    </row>
    <row r="221" spans="1:7" ht="15" x14ac:dyDescent="0.15">
      <c r="A221" s="276" t="s">
        <v>1100</v>
      </c>
      <c r="B221">
        <v>0</v>
      </c>
      <c r="C221" s="263">
        <v>1</v>
      </c>
      <c r="D221" s="209" t="s">
        <v>52</v>
      </c>
      <c r="G221" s="208"/>
    </row>
    <row r="222" spans="1:7" ht="15" x14ac:dyDescent="0.15">
      <c r="A222" s="276" t="s">
        <v>1100</v>
      </c>
      <c r="B222">
        <v>0</v>
      </c>
      <c r="C222" s="263">
        <v>1</v>
      </c>
      <c r="D222" s="209" t="s">
        <v>52</v>
      </c>
      <c r="G222" s="208"/>
    </row>
    <row r="223" spans="1:7" ht="15" x14ac:dyDescent="0.15">
      <c r="A223" s="276" t="s">
        <v>1100</v>
      </c>
      <c r="B223">
        <v>0</v>
      </c>
      <c r="C223" s="263">
        <v>1</v>
      </c>
      <c r="D223" s="209" t="s">
        <v>52</v>
      </c>
      <c r="G223" s="209" t="s">
        <v>58</v>
      </c>
    </row>
    <row r="224" spans="1:7" ht="15" x14ac:dyDescent="0.15">
      <c r="A224" s="276" t="s">
        <v>1100</v>
      </c>
      <c r="B224">
        <v>0</v>
      </c>
      <c r="C224" s="263">
        <v>1</v>
      </c>
      <c r="D224" s="209" t="s">
        <v>52</v>
      </c>
      <c r="G224" s="208"/>
    </row>
    <row r="225" spans="1:7" ht="15" x14ac:dyDescent="0.15">
      <c r="A225" s="276" t="s">
        <v>1100</v>
      </c>
      <c r="B225">
        <v>0</v>
      </c>
      <c r="C225" s="263">
        <v>1</v>
      </c>
      <c r="D225" s="209" t="s">
        <v>49</v>
      </c>
      <c r="G225" s="208"/>
    </row>
    <row r="226" spans="1:7" ht="15" x14ac:dyDescent="0.15">
      <c r="A226" s="276" t="s">
        <v>1100</v>
      </c>
      <c r="B226">
        <v>0</v>
      </c>
      <c r="C226" s="263">
        <v>1</v>
      </c>
      <c r="D226" s="209" t="s">
        <v>52</v>
      </c>
      <c r="G226" s="208"/>
    </row>
    <row r="227" spans="1:7" ht="15" x14ac:dyDescent="0.15">
      <c r="A227" s="276" t="s">
        <v>1100</v>
      </c>
      <c r="B227">
        <v>0</v>
      </c>
      <c r="C227" s="263">
        <v>1</v>
      </c>
      <c r="D227" s="209" t="s">
        <v>52</v>
      </c>
      <c r="G227" s="208"/>
    </row>
    <row r="228" spans="1:7" ht="17" x14ac:dyDescent="0.2">
      <c r="A228" s="282" t="s">
        <v>1102</v>
      </c>
      <c r="B228" s="275">
        <v>0</v>
      </c>
      <c r="C228" s="263">
        <v>1</v>
      </c>
      <c r="D228" s="18" t="s">
        <v>52</v>
      </c>
      <c r="G228" s="20"/>
    </row>
    <row r="229" spans="1:7" ht="17" x14ac:dyDescent="0.2">
      <c r="A229" s="282" t="s">
        <v>1102</v>
      </c>
      <c r="B229" s="275">
        <v>0</v>
      </c>
      <c r="C229" s="263">
        <v>1</v>
      </c>
      <c r="D229" s="18" t="s">
        <v>52</v>
      </c>
      <c r="G229" s="20"/>
    </row>
    <row r="230" spans="1:7" ht="17" x14ac:dyDescent="0.2">
      <c r="A230" s="282" t="s">
        <v>1102</v>
      </c>
      <c r="B230" s="275">
        <v>0</v>
      </c>
      <c r="C230" s="263">
        <v>1</v>
      </c>
      <c r="D230" s="18" t="s">
        <v>52</v>
      </c>
      <c r="G230" s="20"/>
    </row>
    <row r="231" spans="1:7" ht="17" x14ac:dyDescent="0.2">
      <c r="A231" s="282" t="s">
        <v>1102</v>
      </c>
      <c r="B231" s="275">
        <v>0</v>
      </c>
      <c r="C231" s="263">
        <v>1</v>
      </c>
      <c r="D231" s="18" t="s">
        <v>52</v>
      </c>
      <c r="G231" s="20"/>
    </row>
    <row r="232" spans="1:7" ht="17" x14ac:dyDescent="0.2">
      <c r="A232" s="282" t="s">
        <v>1102</v>
      </c>
      <c r="B232" s="275">
        <v>0</v>
      </c>
      <c r="C232" s="263">
        <v>1</v>
      </c>
      <c r="D232" s="18" t="s">
        <v>52</v>
      </c>
      <c r="G232" s="20" t="s">
        <v>302</v>
      </c>
    </row>
    <row r="233" spans="1:7" ht="17" x14ac:dyDescent="0.2">
      <c r="A233" s="282" t="s">
        <v>1102</v>
      </c>
      <c r="B233" s="275">
        <v>0</v>
      </c>
      <c r="C233" s="263">
        <v>1</v>
      </c>
      <c r="D233" s="18" t="s">
        <v>52</v>
      </c>
      <c r="G233" s="20" t="s">
        <v>58</v>
      </c>
    </row>
    <row r="234" spans="1:7" ht="17" x14ac:dyDescent="0.2">
      <c r="A234" s="282" t="s">
        <v>1102</v>
      </c>
      <c r="B234" s="275">
        <v>0</v>
      </c>
      <c r="C234" s="263">
        <v>1</v>
      </c>
      <c r="D234" s="18" t="s">
        <v>52</v>
      </c>
      <c r="G234" s="20" t="s">
        <v>305</v>
      </c>
    </row>
    <row r="235" spans="1:7" ht="17" x14ac:dyDescent="0.2">
      <c r="A235" s="282" t="s">
        <v>1102</v>
      </c>
      <c r="B235" s="275">
        <v>0</v>
      </c>
      <c r="C235" s="263">
        <v>1</v>
      </c>
      <c r="D235" s="18" t="s">
        <v>52</v>
      </c>
      <c r="G235" s="20" t="s">
        <v>58</v>
      </c>
    </row>
    <row r="236" spans="1:7" ht="17" x14ac:dyDescent="0.2">
      <c r="A236" s="282" t="s">
        <v>1102</v>
      </c>
      <c r="B236" s="275">
        <v>0</v>
      </c>
      <c r="C236" s="263">
        <v>1</v>
      </c>
      <c r="D236" s="18" t="s">
        <v>108</v>
      </c>
      <c r="G236" s="20"/>
    </row>
    <row r="237" spans="1:7" ht="17" x14ac:dyDescent="0.2">
      <c r="A237" s="282" t="s">
        <v>1102</v>
      </c>
      <c r="B237" s="275">
        <v>0</v>
      </c>
      <c r="C237" s="263">
        <v>1</v>
      </c>
      <c r="D237" s="18" t="s">
        <v>108</v>
      </c>
      <c r="G237" s="20"/>
    </row>
    <row r="238" spans="1:7" ht="17" x14ac:dyDescent="0.2">
      <c r="A238" s="282" t="s">
        <v>1102</v>
      </c>
      <c r="B238" s="275">
        <v>0</v>
      </c>
      <c r="C238" s="263">
        <v>1</v>
      </c>
      <c r="D238" s="18" t="s">
        <v>108</v>
      </c>
      <c r="G238" s="20"/>
    </row>
    <row r="239" spans="1:7" ht="17" x14ac:dyDescent="0.2">
      <c r="A239" s="282" t="s">
        <v>1102</v>
      </c>
      <c r="B239" s="275">
        <v>0</v>
      </c>
      <c r="C239" s="263">
        <v>1</v>
      </c>
      <c r="D239" s="18" t="s">
        <v>108</v>
      </c>
      <c r="G239" s="20"/>
    </row>
    <row r="240" spans="1:7" ht="17" x14ac:dyDescent="0.2">
      <c r="A240" s="282" t="s">
        <v>1102</v>
      </c>
      <c r="B240" s="275">
        <v>0</v>
      </c>
      <c r="C240" s="263">
        <v>1</v>
      </c>
      <c r="D240" s="18" t="s">
        <v>108</v>
      </c>
      <c r="G240" s="20"/>
    </row>
    <row r="241" spans="1:7" ht="17" x14ac:dyDescent="0.2">
      <c r="A241" s="282" t="s">
        <v>1102</v>
      </c>
      <c r="B241" s="275">
        <v>0</v>
      </c>
      <c r="C241" s="263">
        <v>1</v>
      </c>
      <c r="D241" s="18" t="s">
        <v>108</v>
      </c>
      <c r="G241" s="20"/>
    </row>
    <row r="242" spans="1:7" ht="17" x14ac:dyDescent="0.2">
      <c r="A242" s="282" t="s">
        <v>1102</v>
      </c>
      <c r="B242" s="275">
        <v>0</v>
      </c>
      <c r="C242" s="263">
        <v>1</v>
      </c>
      <c r="D242" s="18" t="s">
        <v>49</v>
      </c>
      <c r="G242" s="20"/>
    </row>
    <row r="243" spans="1:7" ht="17" x14ac:dyDescent="0.2">
      <c r="A243" s="282" t="s">
        <v>1102</v>
      </c>
      <c r="B243" s="275">
        <v>0</v>
      </c>
      <c r="C243" s="263">
        <v>1</v>
      </c>
      <c r="D243" s="18" t="s">
        <v>108</v>
      </c>
      <c r="G243" s="20"/>
    </row>
    <row r="244" spans="1:7" ht="17" x14ac:dyDescent="0.2">
      <c r="A244" s="282" t="s">
        <v>1102</v>
      </c>
      <c r="B244" s="275">
        <v>0</v>
      </c>
      <c r="C244" s="263">
        <v>1</v>
      </c>
      <c r="D244" s="18" t="s">
        <v>108</v>
      </c>
      <c r="G244" s="20"/>
    </row>
    <row r="245" spans="1:7" ht="17" x14ac:dyDescent="0.2">
      <c r="A245" s="282" t="s">
        <v>1102</v>
      </c>
      <c r="B245" s="275">
        <v>0</v>
      </c>
      <c r="C245" s="263">
        <v>1</v>
      </c>
      <c r="D245" s="18" t="s">
        <v>108</v>
      </c>
      <c r="G245" s="20"/>
    </row>
    <row r="246" spans="1:7" ht="17" x14ac:dyDescent="0.2">
      <c r="A246" s="282" t="s">
        <v>1103</v>
      </c>
      <c r="B246" s="275">
        <v>0</v>
      </c>
      <c r="C246" s="263">
        <v>1</v>
      </c>
      <c r="D246" s="292" t="s">
        <v>52</v>
      </c>
      <c r="G246" s="20"/>
    </row>
    <row r="247" spans="1:7" ht="17" x14ac:dyDescent="0.2">
      <c r="A247" s="282" t="s">
        <v>1103</v>
      </c>
      <c r="B247" s="275">
        <v>0</v>
      </c>
      <c r="C247" s="263">
        <v>1</v>
      </c>
      <c r="D247" s="292" t="s">
        <v>52</v>
      </c>
      <c r="G247" s="20"/>
    </row>
    <row r="248" spans="1:7" ht="17" x14ac:dyDescent="0.2">
      <c r="A248" s="282" t="s">
        <v>1103</v>
      </c>
      <c r="B248" s="275">
        <v>0</v>
      </c>
      <c r="C248" s="263">
        <v>1</v>
      </c>
      <c r="D248" s="292" t="s">
        <v>52</v>
      </c>
      <c r="G248" s="20"/>
    </row>
    <row r="249" spans="1:7" ht="17" x14ac:dyDescent="0.2">
      <c r="A249" s="282" t="s">
        <v>1103</v>
      </c>
      <c r="B249" s="275">
        <v>0</v>
      </c>
      <c r="C249" s="263">
        <v>1</v>
      </c>
      <c r="D249" s="292" t="s">
        <v>52</v>
      </c>
      <c r="G249" s="20"/>
    </row>
    <row r="250" spans="1:7" ht="17" x14ac:dyDescent="0.2">
      <c r="A250" s="282" t="s">
        <v>1103</v>
      </c>
      <c r="B250" s="275">
        <v>0</v>
      </c>
      <c r="C250" s="263">
        <v>1</v>
      </c>
      <c r="D250" s="292" t="s">
        <v>52</v>
      </c>
      <c r="G250" s="20" t="s">
        <v>58</v>
      </c>
    </row>
    <row r="251" spans="1:7" ht="17" x14ac:dyDescent="0.2">
      <c r="A251" s="282" t="s">
        <v>1103</v>
      </c>
      <c r="B251" s="275">
        <v>0</v>
      </c>
      <c r="C251" s="263">
        <v>1</v>
      </c>
      <c r="D251" s="292" t="s">
        <v>52</v>
      </c>
      <c r="G251" s="20"/>
    </row>
    <row r="252" spans="1:7" ht="17" x14ac:dyDescent="0.2">
      <c r="A252" s="282" t="s">
        <v>1104</v>
      </c>
      <c r="B252" s="275">
        <v>0</v>
      </c>
      <c r="C252" s="263">
        <v>1</v>
      </c>
      <c r="D252" s="18" t="s">
        <v>52</v>
      </c>
      <c r="G252" s="20"/>
    </row>
    <row r="253" spans="1:7" ht="17" x14ac:dyDescent="0.2">
      <c r="A253" s="282" t="s">
        <v>1104</v>
      </c>
      <c r="B253" s="275">
        <v>0</v>
      </c>
      <c r="C253" s="263">
        <v>1</v>
      </c>
      <c r="D253" s="18" t="s">
        <v>52</v>
      </c>
      <c r="G253" s="20"/>
    </row>
    <row r="254" spans="1:7" ht="17" x14ac:dyDescent="0.2">
      <c r="A254" s="282" t="s">
        <v>1104</v>
      </c>
      <c r="B254" s="275">
        <v>0</v>
      </c>
      <c r="C254" s="263">
        <v>1</v>
      </c>
      <c r="D254" s="18" t="s">
        <v>52</v>
      </c>
      <c r="G254" s="20"/>
    </row>
    <row r="255" spans="1:7" ht="17" x14ac:dyDescent="0.2">
      <c r="A255" s="282" t="s">
        <v>1104</v>
      </c>
      <c r="B255" s="275">
        <v>0</v>
      </c>
      <c r="C255" s="263">
        <v>1</v>
      </c>
      <c r="D255" s="18" t="s">
        <v>52</v>
      </c>
      <c r="G255" s="20"/>
    </row>
    <row r="256" spans="1:7" ht="17" x14ac:dyDescent="0.2">
      <c r="A256" s="282" t="s">
        <v>1104</v>
      </c>
      <c r="B256" s="275">
        <v>0</v>
      </c>
      <c r="C256" s="263">
        <v>1</v>
      </c>
      <c r="D256" s="18" t="s">
        <v>52</v>
      </c>
      <c r="G256" s="20" t="s">
        <v>340</v>
      </c>
    </row>
    <row r="257" spans="1:7" ht="17" x14ac:dyDescent="0.2">
      <c r="A257" s="282" t="s">
        <v>1104</v>
      </c>
      <c r="B257" s="275">
        <v>0</v>
      </c>
      <c r="C257" s="263">
        <v>1</v>
      </c>
      <c r="D257" s="18" t="s">
        <v>52</v>
      </c>
      <c r="G257" s="20"/>
    </row>
    <row r="258" spans="1:7" ht="17" x14ac:dyDescent="0.2">
      <c r="A258" s="282" t="s">
        <v>1104</v>
      </c>
      <c r="B258" s="275">
        <v>0</v>
      </c>
      <c r="C258" s="263">
        <v>1</v>
      </c>
      <c r="D258" s="18" t="s">
        <v>52</v>
      </c>
      <c r="G258" s="20"/>
    </row>
    <row r="259" spans="1:7" ht="17" x14ac:dyDescent="0.2">
      <c r="A259" s="282" t="s">
        <v>1104</v>
      </c>
      <c r="B259" s="275">
        <v>0</v>
      </c>
      <c r="C259" s="263">
        <v>1</v>
      </c>
      <c r="D259" s="18" t="s">
        <v>52</v>
      </c>
      <c r="G259" s="20"/>
    </row>
    <row r="260" spans="1:7" ht="17" x14ac:dyDescent="0.2">
      <c r="A260" s="282" t="s">
        <v>1104</v>
      </c>
      <c r="B260" s="275">
        <v>0</v>
      </c>
      <c r="C260" s="263">
        <v>1</v>
      </c>
      <c r="D260" s="18" t="s">
        <v>52</v>
      </c>
      <c r="G260" s="20" t="s">
        <v>58</v>
      </c>
    </row>
    <row r="261" spans="1:7" ht="17" x14ac:dyDescent="0.2">
      <c r="A261" s="282" t="s">
        <v>1104</v>
      </c>
      <c r="B261" s="275">
        <v>0</v>
      </c>
      <c r="C261" s="263">
        <v>1</v>
      </c>
      <c r="D261" s="18" t="s">
        <v>108</v>
      </c>
      <c r="G261" s="20" t="s">
        <v>305</v>
      </c>
    </row>
    <row r="262" spans="1:7" ht="17" x14ac:dyDescent="0.2">
      <c r="A262" s="282" t="s">
        <v>1104</v>
      </c>
      <c r="B262" s="275">
        <v>0</v>
      </c>
      <c r="C262" s="263">
        <v>1</v>
      </c>
      <c r="D262" s="18" t="s">
        <v>52</v>
      </c>
      <c r="G262" s="20" t="s">
        <v>331</v>
      </c>
    </row>
    <row r="263" spans="1:7" ht="17" x14ac:dyDescent="0.2">
      <c r="A263" s="282" t="s">
        <v>1104</v>
      </c>
      <c r="B263" s="275">
        <v>0</v>
      </c>
      <c r="C263" s="263">
        <v>1</v>
      </c>
      <c r="D263" s="18" t="s">
        <v>52</v>
      </c>
      <c r="G263" s="20" t="s">
        <v>58</v>
      </c>
    </row>
    <row r="264" spans="1:7" ht="17" x14ac:dyDescent="0.2">
      <c r="A264" s="282" t="s">
        <v>1104</v>
      </c>
      <c r="B264" s="275">
        <v>0</v>
      </c>
      <c r="C264" s="263">
        <v>1</v>
      </c>
      <c r="D264" s="18" t="s">
        <v>68</v>
      </c>
      <c r="G264" s="20"/>
    </row>
    <row r="265" spans="1:7" ht="17" x14ac:dyDescent="0.2">
      <c r="A265" s="282" t="s">
        <v>1105</v>
      </c>
      <c r="B265" s="275">
        <v>1</v>
      </c>
      <c r="C265" s="263">
        <v>1</v>
      </c>
      <c r="D265" s="292" t="s">
        <v>108</v>
      </c>
      <c r="G265" s="20"/>
    </row>
    <row r="266" spans="1:7" ht="17" x14ac:dyDescent="0.2">
      <c r="A266" s="282" t="s">
        <v>1105</v>
      </c>
      <c r="B266" s="275">
        <v>1</v>
      </c>
      <c r="C266" s="263">
        <v>1</v>
      </c>
      <c r="D266" s="292" t="s">
        <v>108</v>
      </c>
      <c r="G266" s="20"/>
    </row>
    <row r="267" spans="1:7" ht="17" x14ac:dyDescent="0.2">
      <c r="A267" s="282" t="s">
        <v>1105</v>
      </c>
      <c r="B267" s="275">
        <v>1</v>
      </c>
      <c r="C267" s="263">
        <v>1</v>
      </c>
      <c r="D267" s="292" t="s">
        <v>68</v>
      </c>
      <c r="G267" s="20"/>
    </row>
    <row r="268" spans="1:7" ht="17" x14ac:dyDescent="0.2">
      <c r="A268" s="282" t="s">
        <v>1105</v>
      </c>
      <c r="B268" s="275">
        <v>1</v>
      </c>
      <c r="C268" s="263">
        <v>1</v>
      </c>
      <c r="D268" s="292" t="s">
        <v>108</v>
      </c>
      <c r="G268" s="20" t="s">
        <v>58</v>
      </c>
    </row>
    <row r="269" spans="1:7" ht="17" x14ac:dyDescent="0.2">
      <c r="A269" s="282" t="s">
        <v>1105</v>
      </c>
      <c r="B269" s="275">
        <v>1</v>
      </c>
      <c r="C269" s="263">
        <v>1</v>
      </c>
      <c r="D269" s="292" t="s">
        <v>49</v>
      </c>
      <c r="G269" s="20"/>
    </row>
    <row r="270" spans="1:7" ht="17" x14ac:dyDescent="0.2">
      <c r="A270" s="282" t="s">
        <v>1105</v>
      </c>
      <c r="B270" s="275">
        <v>1</v>
      </c>
      <c r="C270" s="263">
        <v>1</v>
      </c>
      <c r="D270" s="292" t="s">
        <v>68</v>
      </c>
      <c r="G270" s="20"/>
    </row>
    <row r="271" spans="1:7" ht="17" x14ac:dyDescent="0.2">
      <c r="A271" s="282" t="s">
        <v>1105</v>
      </c>
      <c r="B271" s="275">
        <v>1</v>
      </c>
      <c r="C271" s="263">
        <v>1</v>
      </c>
      <c r="D271" s="292" t="s">
        <v>49</v>
      </c>
      <c r="G271" s="20"/>
    </row>
    <row r="272" spans="1:7" ht="17" x14ac:dyDescent="0.2">
      <c r="A272" s="282" t="s">
        <v>1105</v>
      </c>
      <c r="B272" s="275">
        <v>1</v>
      </c>
      <c r="C272" s="263">
        <v>1</v>
      </c>
      <c r="D272" s="292" t="s">
        <v>108</v>
      </c>
      <c r="G272" s="20"/>
    </row>
    <row r="273" spans="1:7" ht="17" x14ac:dyDescent="0.2">
      <c r="A273" s="282" t="s">
        <v>1105</v>
      </c>
      <c r="B273" s="275">
        <v>1</v>
      </c>
      <c r="C273" s="263">
        <v>1</v>
      </c>
      <c r="D273" s="292" t="s">
        <v>108</v>
      </c>
      <c r="G273" s="20" t="s">
        <v>58</v>
      </c>
    </row>
    <row r="274" spans="1:7" ht="17" x14ac:dyDescent="0.2">
      <c r="A274" s="282" t="s">
        <v>1105</v>
      </c>
      <c r="B274" s="275">
        <v>1</v>
      </c>
      <c r="C274" s="263">
        <v>1</v>
      </c>
      <c r="D274" s="292" t="s">
        <v>108</v>
      </c>
      <c r="G274" s="20"/>
    </row>
    <row r="275" spans="1:7" ht="17" x14ac:dyDescent="0.2">
      <c r="A275" s="282" t="s">
        <v>1105</v>
      </c>
      <c r="B275" s="275">
        <v>1</v>
      </c>
      <c r="C275" s="263">
        <v>1</v>
      </c>
      <c r="D275" s="292" t="s">
        <v>108</v>
      </c>
      <c r="G275" s="20"/>
    </row>
    <row r="276" spans="1:7" ht="17" x14ac:dyDescent="0.2">
      <c r="A276" s="282" t="s">
        <v>1105</v>
      </c>
      <c r="B276" s="275">
        <v>1</v>
      </c>
      <c r="C276" s="263">
        <v>1</v>
      </c>
      <c r="D276" s="292" t="s">
        <v>108</v>
      </c>
      <c r="G276" s="20"/>
    </row>
    <row r="277" spans="1:7" ht="17" x14ac:dyDescent="0.2">
      <c r="A277" s="282" t="s">
        <v>1105</v>
      </c>
      <c r="B277" s="275">
        <v>1</v>
      </c>
      <c r="C277" s="263">
        <v>1</v>
      </c>
      <c r="D277" s="292" t="s">
        <v>108</v>
      </c>
      <c r="G277" s="20"/>
    </row>
    <row r="278" spans="1:7" ht="17" x14ac:dyDescent="0.2">
      <c r="A278" s="282" t="s">
        <v>1105</v>
      </c>
      <c r="B278" s="275">
        <v>1</v>
      </c>
      <c r="C278" s="263">
        <v>1</v>
      </c>
      <c r="D278" s="292" t="s">
        <v>108</v>
      </c>
      <c r="G278" s="20"/>
    </row>
    <row r="279" spans="1:7" ht="17" x14ac:dyDescent="0.2">
      <c r="A279" s="282" t="s">
        <v>1105</v>
      </c>
      <c r="B279" s="275">
        <v>1</v>
      </c>
      <c r="C279" s="263">
        <v>1</v>
      </c>
      <c r="D279" s="292" t="s">
        <v>108</v>
      </c>
      <c r="G279" s="20"/>
    </row>
    <row r="280" spans="1:7" ht="17" x14ac:dyDescent="0.2">
      <c r="A280" s="282" t="s">
        <v>1105</v>
      </c>
      <c r="B280" s="275">
        <v>1</v>
      </c>
      <c r="C280" s="263">
        <v>1</v>
      </c>
      <c r="D280" s="292" t="s">
        <v>108</v>
      </c>
      <c r="G280" s="20"/>
    </row>
    <row r="281" spans="1:7" ht="17" x14ac:dyDescent="0.2">
      <c r="A281" s="282" t="s">
        <v>1105</v>
      </c>
      <c r="B281" s="275">
        <v>1</v>
      </c>
      <c r="C281" s="263">
        <v>1</v>
      </c>
      <c r="D281" s="292" t="s">
        <v>52</v>
      </c>
      <c r="G281" s="20" t="s">
        <v>302</v>
      </c>
    </row>
    <row r="282" spans="1:7" ht="17" x14ac:dyDescent="0.2">
      <c r="A282" s="282" t="s">
        <v>1105</v>
      </c>
      <c r="B282" s="275">
        <v>1</v>
      </c>
      <c r="C282" s="263">
        <v>1</v>
      </c>
      <c r="D282" s="292" t="s">
        <v>108</v>
      </c>
      <c r="G282" s="20"/>
    </row>
    <row r="283" spans="1:7" ht="17" x14ac:dyDescent="0.2">
      <c r="A283" s="282" t="s">
        <v>1105</v>
      </c>
      <c r="B283" s="275">
        <v>1</v>
      </c>
      <c r="C283" s="263">
        <v>1</v>
      </c>
      <c r="D283" s="292" t="s">
        <v>52</v>
      </c>
      <c r="G283" s="20" t="s">
        <v>58</v>
      </c>
    </row>
    <row r="284" spans="1:7" ht="17" x14ac:dyDescent="0.2">
      <c r="A284" s="282" t="s">
        <v>1105</v>
      </c>
      <c r="B284" s="275">
        <v>1</v>
      </c>
      <c r="C284" s="263">
        <v>1</v>
      </c>
      <c r="D284" s="292" t="s">
        <v>108</v>
      </c>
      <c r="G284" s="20"/>
    </row>
    <row r="285" spans="1:7" ht="17" x14ac:dyDescent="0.2">
      <c r="A285" s="282" t="s">
        <v>1105</v>
      </c>
      <c r="B285" s="275">
        <v>1</v>
      </c>
      <c r="C285" s="263">
        <v>1</v>
      </c>
      <c r="D285" s="292" t="s">
        <v>108</v>
      </c>
      <c r="G285" s="20"/>
    </row>
    <row r="286" spans="1:7" ht="17" x14ac:dyDescent="0.2">
      <c r="A286" s="282" t="s">
        <v>1105</v>
      </c>
      <c r="B286" s="275">
        <v>1</v>
      </c>
      <c r="C286" s="263">
        <v>1</v>
      </c>
      <c r="D286" s="292" t="s">
        <v>108</v>
      </c>
      <c r="G286" s="20"/>
    </row>
    <row r="287" spans="1:7" ht="17" x14ac:dyDescent="0.2">
      <c r="A287" s="282" t="s">
        <v>1105</v>
      </c>
      <c r="B287" s="275">
        <v>1</v>
      </c>
      <c r="C287" s="263">
        <v>1</v>
      </c>
      <c r="D287" s="292" t="s">
        <v>108</v>
      </c>
      <c r="G287" s="20"/>
    </row>
    <row r="288" spans="1:7" ht="17" x14ac:dyDescent="0.2">
      <c r="A288" s="282" t="s">
        <v>1105</v>
      </c>
      <c r="B288" s="275">
        <v>1</v>
      </c>
      <c r="C288" s="263">
        <v>1</v>
      </c>
      <c r="D288" s="292" t="s">
        <v>52</v>
      </c>
      <c r="G288" s="20"/>
    </row>
    <row r="289" spans="1:7" ht="17" x14ac:dyDescent="0.2">
      <c r="A289" s="282" t="s">
        <v>1105</v>
      </c>
      <c r="B289" s="275">
        <v>1</v>
      </c>
      <c r="C289" s="263">
        <v>1</v>
      </c>
      <c r="D289" s="292" t="s">
        <v>52</v>
      </c>
      <c r="G289" s="20" t="s">
        <v>58</v>
      </c>
    </row>
    <row r="290" spans="1:7" ht="17" x14ac:dyDescent="0.2">
      <c r="A290" s="282" t="s">
        <v>1105</v>
      </c>
      <c r="B290" s="275">
        <v>1</v>
      </c>
      <c r="C290" s="263">
        <v>1</v>
      </c>
      <c r="D290" s="292" t="s">
        <v>108</v>
      </c>
      <c r="G290" s="20"/>
    </row>
    <row r="291" spans="1:7" ht="17" x14ac:dyDescent="0.2">
      <c r="A291" s="282" t="s">
        <v>1105</v>
      </c>
      <c r="B291" s="275">
        <v>1</v>
      </c>
      <c r="C291" s="263">
        <v>1</v>
      </c>
      <c r="D291" s="292" t="s">
        <v>108</v>
      </c>
      <c r="G291" s="20"/>
    </row>
    <row r="292" spans="1:7" ht="17" x14ac:dyDescent="0.2">
      <c r="A292" s="282" t="s">
        <v>1105</v>
      </c>
      <c r="B292" s="275">
        <v>1</v>
      </c>
      <c r="C292" s="263">
        <v>1</v>
      </c>
      <c r="D292" s="292" t="s">
        <v>108</v>
      </c>
      <c r="G292" s="20"/>
    </row>
    <row r="293" spans="1:7" ht="17" x14ac:dyDescent="0.2">
      <c r="A293" s="282" t="s">
        <v>1105</v>
      </c>
      <c r="B293" s="275">
        <v>1</v>
      </c>
      <c r="C293" s="263">
        <v>1</v>
      </c>
      <c r="D293" s="292" t="s">
        <v>108</v>
      </c>
      <c r="G293" s="20" t="s">
        <v>331</v>
      </c>
    </row>
    <row r="294" spans="1:7" ht="17" x14ac:dyDescent="0.2">
      <c r="A294" s="282" t="s">
        <v>1105</v>
      </c>
      <c r="B294" s="275">
        <v>1</v>
      </c>
      <c r="C294" s="263">
        <v>1</v>
      </c>
      <c r="D294" s="292" t="s">
        <v>108</v>
      </c>
      <c r="G294" s="20"/>
    </row>
    <row r="295" spans="1:7" ht="17" x14ac:dyDescent="0.2">
      <c r="A295" s="282" t="s">
        <v>1105</v>
      </c>
      <c r="B295" s="275">
        <v>1</v>
      </c>
      <c r="C295" s="263">
        <v>1</v>
      </c>
      <c r="D295" s="292" t="s">
        <v>52</v>
      </c>
      <c r="G295" s="20"/>
    </row>
    <row r="296" spans="1:7" ht="17" x14ac:dyDescent="0.2">
      <c r="A296" s="282" t="s">
        <v>1105</v>
      </c>
      <c r="B296" s="275">
        <v>1</v>
      </c>
      <c r="C296" s="263">
        <v>1</v>
      </c>
      <c r="D296" s="292" t="s">
        <v>52</v>
      </c>
      <c r="G296" s="20" t="s">
        <v>58</v>
      </c>
    </row>
    <row r="297" spans="1:7" ht="17" x14ac:dyDescent="0.2">
      <c r="A297" s="282" t="s">
        <v>1105</v>
      </c>
      <c r="B297" s="275">
        <v>1</v>
      </c>
      <c r="C297" s="263">
        <v>1</v>
      </c>
      <c r="D297" s="292" t="s">
        <v>108</v>
      </c>
      <c r="G297" s="20"/>
    </row>
    <row r="298" spans="1:7" ht="17" x14ac:dyDescent="0.2">
      <c r="A298" s="282" t="s">
        <v>1105</v>
      </c>
      <c r="B298" s="275">
        <v>1</v>
      </c>
      <c r="C298" s="263">
        <v>1</v>
      </c>
      <c r="D298" s="292" t="s">
        <v>108</v>
      </c>
      <c r="G298" s="20"/>
    </row>
    <row r="299" spans="1:7" ht="17" x14ac:dyDescent="0.2">
      <c r="A299" s="282" t="s">
        <v>1105</v>
      </c>
      <c r="B299" s="275">
        <v>1</v>
      </c>
      <c r="C299" s="263">
        <v>1</v>
      </c>
      <c r="D299" s="292" t="s">
        <v>108</v>
      </c>
      <c r="G299" s="20"/>
    </row>
    <row r="300" spans="1:7" ht="17" x14ac:dyDescent="0.2">
      <c r="A300" s="282" t="s">
        <v>1105</v>
      </c>
      <c r="B300" s="275">
        <v>1</v>
      </c>
      <c r="C300" s="263">
        <v>1</v>
      </c>
      <c r="D300" s="292" t="s">
        <v>108</v>
      </c>
      <c r="G300" s="20"/>
    </row>
    <row r="301" spans="1:7" ht="17" x14ac:dyDescent="0.2">
      <c r="A301" s="282" t="s">
        <v>1105</v>
      </c>
      <c r="B301" s="275">
        <v>1</v>
      </c>
      <c r="C301" s="263">
        <v>1</v>
      </c>
      <c r="D301" s="292" t="s">
        <v>108</v>
      </c>
      <c r="G301" s="20"/>
    </row>
    <row r="302" spans="1:7" ht="17" x14ac:dyDescent="0.2">
      <c r="A302" s="282" t="s">
        <v>1105</v>
      </c>
      <c r="B302" s="275">
        <v>1</v>
      </c>
      <c r="C302" s="263">
        <v>1</v>
      </c>
      <c r="D302" s="292" t="s">
        <v>108</v>
      </c>
      <c r="G302" s="20"/>
    </row>
    <row r="303" spans="1:7" ht="17" x14ac:dyDescent="0.2">
      <c r="A303" s="282" t="s">
        <v>1105</v>
      </c>
      <c r="B303" s="275">
        <v>1</v>
      </c>
      <c r="C303" s="263">
        <v>1</v>
      </c>
      <c r="D303" s="292" t="s">
        <v>52</v>
      </c>
      <c r="G303" s="20"/>
    </row>
    <row r="304" spans="1:7" ht="17" x14ac:dyDescent="0.2">
      <c r="A304" s="282" t="s">
        <v>1105</v>
      </c>
      <c r="B304" s="275">
        <v>1</v>
      </c>
      <c r="C304" s="263">
        <v>1</v>
      </c>
      <c r="D304" s="292" t="s">
        <v>52</v>
      </c>
      <c r="G304" s="20"/>
    </row>
    <row r="305" spans="1:7" ht="17" x14ac:dyDescent="0.2">
      <c r="A305" s="282" t="s">
        <v>1105</v>
      </c>
      <c r="B305" s="275">
        <v>1</v>
      </c>
      <c r="C305" s="263">
        <v>1</v>
      </c>
      <c r="D305" s="292" t="s">
        <v>52</v>
      </c>
      <c r="G305" s="20"/>
    </row>
    <row r="306" spans="1:7" ht="17" x14ac:dyDescent="0.2">
      <c r="A306" s="282" t="s">
        <v>1105</v>
      </c>
      <c r="B306" s="275">
        <v>1</v>
      </c>
      <c r="C306" s="263">
        <v>1</v>
      </c>
      <c r="D306" s="292" t="s">
        <v>108</v>
      </c>
      <c r="G306" s="20"/>
    </row>
    <row r="307" spans="1:7" ht="17" x14ac:dyDescent="0.2">
      <c r="A307" s="282" t="s">
        <v>1105</v>
      </c>
      <c r="B307" s="275">
        <v>1</v>
      </c>
      <c r="C307" s="263">
        <v>1</v>
      </c>
      <c r="D307" s="292" t="s">
        <v>52</v>
      </c>
      <c r="G307" s="20"/>
    </row>
    <row r="308" spans="1:7" ht="17" x14ac:dyDescent="0.2">
      <c r="A308" s="282" t="s">
        <v>1105</v>
      </c>
      <c r="B308" s="275">
        <v>1</v>
      </c>
      <c r="C308" s="263">
        <v>1</v>
      </c>
      <c r="D308" s="292" t="s">
        <v>108</v>
      </c>
      <c r="G308" s="20"/>
    </row>
    <row r="309" spans="1:7" ht="17" x14ac:dyDescent="0.2">
      <c r="A309" s="282" t="s">
        <v>1105</v>
      </c>
      <c r="B309" s="275">
        <v>1</v>
      </c>
      <c r="C309" s="263">
        <v>1</v>
      </c>
      <c r="D309" s="292" t="s">
        <v>108</v>
      </c>
      <c r="G309" s="20"/>
    </row>
    <row r="310" spans="1:7" ht="17" x14ac:dyDescent="0.2">
      <c r="A310" s="282" t="s">
        <v>1105</v>
      </c>
      <c r="B310" s="275">
        <v>1</v>
      </c>
      <c r="C310" s="263">
        <v>1</v>
      </c>
      <c r="D310" s="292" t="s">
        <v>108</v>
      </c>
      <c r="G310" s="20"/>
    </row>
    <row r="311" spans="1:7" ht="17" x14ac:dyDescent="0.2">
      <c r="A311" s="282" t="s">
        <v>1105</v>
      </c>
      <c r="B311" s="275">
        <v>1</v>
      </c>
      <c r="C311" s="263">
        <v>1</v>
      </c>
      <c r="D311" s="292" t="s">
        <v>108</v>
      </c>
      <c r="G311" s="20"/>
    </row>
    <row r="312" spans="1:7" ht="17" x14ac:dyDescent="0.2">
      <c r="A312" s="282" t="s">
        <v>1105</v>
      </c>
      <c r="B312" s="275">
        <v>1</v>
      </c>
      <c r="C312" s="263">
        <v>1</v>
      </c>
      <c r="D312" s="292" t="s">
        <v>108</v>
      </c>
      <c r="G312" s="20"/>
    </row>
    <row r="313" spans="1:7" ht="17" x14ac:dyDescent="0.2">
      <c r="A313" s="282" t="s">
        <v>1105</v>
      </c>
      <c r="B313" s="275">
        <v>1</v>
      </c>
      <c r="C313" s="263">
        <v>1</v>
      </c>
      <c r="D313" s="292" t="s">
        <v>108</v>
      </c>
      <c r="G313" s="20"/>
    </row>
    <row r="314" spans="1:7" ht="17" x14ac:dyDescent="0.2">
      <c r="A314" s="282" t="s">
        <v>1105</v>
      </c>
      <c r="B314" s="275">
        <v>1</v>
      </c>
      <c r="C314" s="263">
        <v>1</v>
      </c>
      <c r="D314" s="292" t="s">
        <v>108</v>
      </c>
      <c r="G314" s="20"/>
    </row>
    <row r="315" spans="1:7" ht="17" x14ac:dyDescent="0.2">
      <c r="A315" s="282" t="s">
        <v>1105</v>
      </c>
      <c r="B315" s="275">
        <v>1</v>
      </c>
      <c r="C315" s="263">
        <v>1</v>
      </c>
      <c r="D315" s="292" t="s">
        <v>108</v>
      </c>
      <c r="G315" s="20"/>
    </row>
    <row r="316" spans="1:7" ht="17" x14ac:dyDescent="0.2">
      <c r="A316" s="282" t="s">
        <v>1105</v>
      </c>
      <c r="B316" s="275">
        <v>1</v>
      </c>
      <c r="C316" s="263">
        <v>1</v>
      </c>
      <c r="D316" s="292" t="s">
        <v>108</v>
      </c>
      <c r="G316" s="20"/>
    </row>
    <row r="317" spans="1:7" ht="17" x14ac:dyDescent="0.2">
      <c r="A317" s="282" t="s">
        <v>1105</v>
      </c>
      <c r="B317" s="275">
        <v>1</v>
      </c>
      <c r="C317" s="263">
        <v>1</v>
      </c>
      <c r="D317" s="292" t="s">
        <v>108</v>
      </c>
      <c r="G317" s="20"/>
    </row>
    <row r="318" spans="1:7" ht="17" x14ac:dyDescent="0.2">
      <c r="A318" s="282" t="s">
        <v>1105</v>
      </c>
      <c r="B318" s="275">
        <v>1</v>
      </c>
      <c r="C318" s="263">
        <v>1</v>
      </c>
      <c r="D318" s="292" t="s">
        <v>49</v>
      </c>
      <c r="G318" s="20"/>
    </row>
    <row r="319" spans="1:7" ht="17" x14ac:dyDescent="0.2">
      <c r="A319" s="282" t="s">
        <v>1105</v>
      </c>
      <c r="B319" s="275">
        <v>1</v>
      </c>
      <c r="C319" s="263">
        <v>1</v>
      </c>
      <c r="D319" s="292" t="s">
        <v>108</v>
      </c>
      <c r="G319" s="20"/>
    </row>
    <row r="320" spans="1:7" ht="17" x14ac:dyDescent="0.2">
      <c r="A320" s="282" t="s">
        <v>1105</v>
      </c>
      <c r="B320" s="275">
        <v>1</v>
      </c>
      <c r="C320" s="263">
        <v>1</v>
      </c>
      <c r="D320" s="292" t="s">
        <v>49</v>
      </c>
      <c r="G320" s="20"/>
    </row>
    <row r="321" spans="1:7" ht="17" x14ac:dyDescent="0.2">
      <c r="A321" s="282" t="s">
        <v>1105</v>
      </c>
      <c r="B321" s="275">
        <v>1</v>
      </c>
      <c r="C321" s="263">
        <v>1</v>
      </c>
      <c r="D321" s="292" t="s">
        <v>49</v>
      </c>
      <c r="G321" s="20"/>
    </row>
    <row r="322" spans="1:7" ht="17" x14ac:dyDescent="0.2">
      <c r="A322" s="282" t="s">
        <v>1105</v>
      </c>
      <c r="B322" s="275">
        <v>1</v>
      </c>
      <c r="C322" s="263">
        <v>1</v>
      </c>
      <c r="D322" s="292" t="s">
        <v>49</v>
      </c>
      <c r="G322" s="20"/>
    </row>
    <row r="323" spans="1:7" ht="17" x14ac:dyDescent="0.2">
      <c r="A323" s="282" t="s">
        <v>1105</v>
      </c>
      <c r="B323" s="275">
        <v>1</v>
      </c>
      <c r="C323" s="263">
        <v>1</v>
      </c>
      <c r="D323" s="292" t="s">
        <v>49</v>
      </c>
      <c r="G323" s="20"/>
    </row>
    <row r="324" spans="1:7" ht="17" x14ac:dyDescent="0.2">
      <c r="A324" s="282" t="s">
        <v>1105</v>
      </c>
      <c r="B324" s="275">
        <v>1</v>
      </c>
      <c r="C324" s="263">
        <v>1</v>
      </c>
      <c r="D324" s="292" t="s">
        <v>49</v>
      </c>
      <c r="G324" s="20"/>
    </row>
    <row r="325" spans="1:7" ht="17" x14ac:dyDescent="0.2">
      <c r="A325" s="282" t="s">
        <v>1106</v>
      </c>
      <c r="B325" s="275">
        <v>0</v>
      </c>
      <c r="C325" s="263">
        <v>1</v>
      </c>
      <c r="D325" s="7" t="s">
        <v>52</v>
      </c>
      <c r="G325" s="7"/>
    </row>
    <row r="326" spans="1:7" ht="17" x14ac:dyDescent="0.2">
      <c r="A326" s="282" t="s">
        <v>1106</v>
      </c>
      <c r="B326" s="275">
        <v>0</v>
      </c>
      <c r="C326" s="263">
        <v>1</v>
      </c>
      <c r="D326" s="28" t="s">
        <v>52</v>
      </c>
      <c r="G326" s="28" t="s">
        <v>58</v>
      </c>
    </row>
    <row r="327" spans="1:7" ht="17" x14ac:dyDescent="0.2">
      <c r="A327" s="282" t="s">
        <v>1106</v>
      </c>
      <c r="B327" s="275">
        <v>0</v>
      </c>
      <c r="C327" s="263">
        <v>1</v>
      </c>
      <c r="D327" s="32" t="s">
        <v>52</v>
      </c>
      <c r="G327" s="32"/>
    </row>
    <row r="328" spans="1:7" ht="17" x14ac:dyDescent="0.2">
      <c r="A328" s="282" t="s">
        <v>1106</v>
      </c>
      <c r="B328" s="275">
        <v>0</v>
      </c>
      <c r="C328" s="263">
        <v>1</v>
      </c>
      <c r="D328" s="32" t="s">
        <v>49</v>
      </c>
      <c r="G328" s="32" t="s">
        <v>58</v>
      </c>
    </row>
    <row r="329" spans="1:7" ht="17" x14ac:dyDescent="0.2">
      <c r="A329" s="282" t="s">
        <v>1106</v>
      </c>
      <c r="B329" s="275">
        <v>0</v>
      </c>
      <c r="C329" s="263">
        <v>1</v>
      </c>
      <c r="D329" s="32" t="s">
        <v>68</v>
      </c>
      <c r="G329" s="32"/>
    </row>
    <row r="330" spans="1:7" ht="17" x14ac:dyDescent="0.2">
      <c r="A330" s="282" t="s">
        <v>1106</v>
      </c>
      <c r="B330" s="275">
        <v>0</v>
      </c>
      <c r="C330" s="263">
        <v>1</v>
      </c>
      <c r="D330" s="32" t="s">
        <v>166</v>
      </c>
      <c r="G330" s="32"/>
    </row>
    <row r="331" spans="1:7" ht="17" x14ac:dyDescent="0.2">
      <c r="A331" s="282" t="s">
        <v>1106</v>
      </c>
      <c r="B331" s="275">
        <v>0</v>
      </c>
      <c r="C331" s="263">
        <v>1</v>
      </c>
      <c r="D331" s="32" t="s">
        <v>108</v>
      </c>
      <c r="G331" s="32"/>
    </row>
    <row r="332" spans="1:7" ht="17" x14ac:dyDescent="0.2">
      <c r="A332" s="282" t="s">
        <v>1106</v>
      </c>
      <c r="B332" s="275">
        <v>0</v>
      </c>
      <c r="C332" s="263">
        <v>1</v>
      </c>
      <c r="D332" s="32" t="s">
        <v>166</v>
      </c>
      <c r="G332" s="32" t="s">
        <v>58</v>
      </c>
    </row>
    <row r="333" spans="1:7" ht="17" x14ac:dyDescent="0.2">
      <c r="A333" s="282" t="s">
        <v>1106</v>
      </c>
      <c r="B333" s="275">
        <v>0</v>
      </c>
      <c r="C333" s="263">
        <v>1</v>
      </c>
      <c r="D333" s="32" t="s">
        <v>68</v>
      </c>
      <c r="G333" s="32"/>
    </row>
    <row r="334" spans="1:7" ht="17" x14ac:dyDescent="0.2">
      <c r="A334" s="282" t="s">
        <v>1106</v>
      </c>
      <c r="B334" s="275">
        <v>0</v>
      </c>
      <c r="C334" s="263">
        <v>1</v>
      </c>
      <c r="D334" s="32" t="s">
        <v>68</v>
      </c>
      <c r="G334" s="32"/>
    </row>
    <row r="335" spans="1:7" ht="17" x14ac:dyDescent="0.2">
      <c r="A335" s="282" t="s">
        <v>1106</v>
      </c>
      <c r="B335" s="275">
        <v>0</v>
      </c>
      <c r="C335" s="263">
        <v>1</v>
      </c>
      <c r="D335" s="32" t="s">
        <v>68</v>
      </c>
      <c r="G335" s="32"/>
    </row>
    <row r="336" spans="1:7" ht="17" x14ac:dyDescent="0.2">
      <c r="A336" s="282" t="s">
        <v>1106</v>
      </c>
      <c r="B336" s="275">
        <v>0</v>
      </c>
      <c r="C336" s="263">
        <v>1</v>
      </c>
      <c r="D336" s="32" t="s">
        <v>68</v>
      </c>
      <c r="G336" s="32"/>
    </row>
    <row r="337" spans="1:7" ht="17" x14ac:dyDescent="0.2">
      <c r="A337" s="282" t="s">
        <v>1106</v>
      </c>
      <c r="B337" s="275">
        <v>0</v>
      </c>
      <c r="C337" s="263">
        <v>1</v>
      </c>
      <c r="D337" s="32" t="s">
        <v>49</v>
      </c>
      <c r="G337" s="32"/>
    </row>
    <row r="338" spans="1:7" ht="17" x14ac:dyDescent="0.2">
      <c r="A338" s="282" t="s">
        <v>1106</v>
      </c>
      <c r="B338" s="275">
        <v>0</v>
      </c>
      <c r="C338" s="263">
        <v>1</v>
      </c>
      <c r="D338" s="32" t="s">
        <v>49</v>
      </c>
      <c r="G338" s="32"/>
    </row>
    <row r="339" spans="1:7" ht="17" x14ac:dyDescent="0.2">
      <c r="A339" s="282" t="s">
        <v>1106</v>
      </c>
      <c r="B339" s="275">
        <v>0</v>
      </c>
      <c r="C339" s="263">
        <v>1</v>
      </c>
      <c r="D339" s="32" t="s">
        <v>68</v>
      </c>
      <c r="G339" s="32"/>
    </row>
    <row r="340" spans="1:7" ht="17" x14ac:dyDescent="0.2">
      <c r="A340" s="282" t="s">
        <v>1106</v>
      </c>
      <c r="B340" s="275">
        <v>0</v>
      </c>
      <c r="C340" s="263">
        <v>1</v>
      </c>
      <c r="D340" s="32" t="s">
        <v>68</v>
      </c>
      <c r="G340" s="32"/>
    </row>
    <row r="341" spans="1:7" ht="17" x14ac:dyDescent="0.2">
      <c r="A341" s="282" t="s">
        <v>1106</v>
      </c>
      <c r="B341" s="275">
        <v>0</v>
      </c>
      <c r="C341" s="263">
        <v>1</v>
      </c>
      <c r="D341" s="32" t="s">
        <v>68</v>
      </c>
      <c r="G341" s="32"/>
    </row>
    <row r="342" spans="1:7" ht="17" x14ac:dyDescent="0.2">
      <c r="A342" s="282" t="s">
        <v>1106</v>
      </c>
      <c r="B342" s="275">
        <v>0</v>
      </c>
      <c r="C342" s="263">
        <v>1</v>
      </c>
      <c r="D342" s="32" t="s">
        <v>68</v>
      </c>
      <c r="G342" s="32" t="s">
        <v>58</v>
      </c>
    </row>
    <row r="343" spans="1:7" ht="17" x14ac:dyDescent="0.2">
      <c r="A343" s="282" t="s">
        <v>1106</v>
      </c>
      <c r="B343" s="275">
        <v>0</v>
      </c>
      <c r="C343" s="263">
        <v>1</v>
      </c>
      <c r="D343" s="32" t="s">
        <v>68</v>
      </c>
      <c r="G343" s="32"/>
    </row>
    <row r="344" spans="1:7" ht="17" x14ac:dyDescent="0.2">
      <c r="A344" s="282" t="s">
        <v>1106</v>
      </c>
      <c r="B344" s="275">
        <v>0</v>
      </c>
      <c r="C344" s="263">
        <v>1</v>
      </c>
      <c r="D344" s="32" t="s">
        <v>68</v>
      </c>
      <c r="G344" s="32"/>
    </row>
    <row r="345" spans="1:7" ht="17" x14ac:dyDescent="0.2">
      <c r="A345" s="282" t="s">
        <v>1106</v>
      </c>
      <c r="B345" s="275">
        <v>0</v>
      </c>
      <c r="C345" s="263">
        <v>1</v>
      </c>
      <c r="D345" s="32" t="s">
        <v>49</v>
      </c>
      <c r="G345" s="32"/>
    </row>
    <row r="346" spans="1:7" ht="17" x14ac:dyDescent="0.2">
      <c r="A346" s="282" t="s">
        <v>1106</v>
      </c>
      <c r="B346" s="275">
        <v>0</v>
      </c>
      <c r="C346" s="263">
        <v>1</v>
      </c>
      <c r="D346" s="32" t="s">
        <v>49</v>
      </c>
      <c r="G346" s="32"/>
    </row>
    <row r="347" spans="1:7" ht="17" x14ac:dyDescent="0.2">
      <c r="A347" s="282" t="s">
        <v>1106</v>
      </c>
      <c r="B347" s="275">
        <v>0</v>
      </c>
      <c r="C347" s="263">
        <v>1</v>
      </c>
      <c r="D347" s="32" t="s">
        <v>49</v>
      </c>
      <c r="G347" s="32"/>
    </row>
    <row r="348" spans="1:7" ht="17" x14ac:dyDescent="0.2">
      <c r="A348" s="282" t="s">
        <v>1106</v>
      </c>
      <c r="B348" s="275">
        <v>0</v>
      </c>
      <c r="C348" s="263">
        <v>1</v>
      </c>
      <c r="D348" s="36" t="s">
        <v>49</v>
      </c>
      <c r="G348" s="36"/>
    </row>
    <row r="349" spans="1:7" ht="17" x14ac:dyDescent="0.2">
      <c r="A349" s="282" t="s">
        <v>1107</v>
      </c>
      <c r="B349" s="275">
        <v>0</v>
      </c>
      <c r="C349" s="263">
        <v>1</v>
      </c>
      <c r="D349" s="18" t="s">
        <v>52</v>
      </c>
      <c r="G349" s="18"/>
    </row>
    <row r="350" spans="1:7" ht="17" x14ac:dyDescent="0.2">
      <c r="A350" s="282" t="s">
        <v>1107</v>
      </c>
      <c r="B350" s="275">
        <v>0</v>
      </c>
      <c r="C350" s="263">
        <v>1</v>
      </c>
      <c r="D350" s="18" t="s">
        <v>52</v>
      </c>
      <c r="G350" s="18"/>
    </row>
    <row r="351" spans="1:7" ht="17" x14ac:dyDescent="0.2">
      <c r="A351" s="282" t="s">
        <v>1107</v>
      </c>
      <c r="B351" s="275">
        <v>0</v>
      </c>
      <c r="C351" s="263">
        <v>1</v>
      </c>
      <c r="D351" s="18" t="s">
        <v>52</v>
      </c>
      <c r="G351" s="18" t="s">
        <v>305</v>
      </c>
    </row>
    <row r="352" spans="1:7" ht="17" x14ac:dyDescent="0.2">
      <c r="A352" s="282" t="s">
        <v>1107</v>
      </c>
      <c r="B352" s="275">
        <v>0</v>
      </c>
      <c r="C352" s="263">
        <v>1</v>
      </c>
      <c r="D352" s="18" t="s">
        <v>52</v>
      </c>
      <c r="G352" s="18"/>
    </row>
    <row r="353" spans="1:7" ht="17" x14ac:dyDescent="0.2">
      <c r="A353" s="282" t="s">
        <v>1107</v>
      </c>
      <c r="B353" s="275">
        <v>0</v>
      </c>
      <c r="C353" s="263">
        <v>1</v>
      </c>
      <c r="D353" s="18" t="s">
        <v>52</v>
      </c>
      <c r="G353" s="18" t="s">
        <v>58</v>
      </c>
    </row>
    <row r="354" spans="1:7" ht="17" x14ac:dyDescent="0.2">
      <c r="A354" s="282" t="s">
        <v>1107</v>
      </c>
      <c r="B354" s="275">
        <v>0</v>
      </c>
      <c r="C354" s="263">
        <v>1</v>
      </c>
      <c r="D354" s="18" t="s">
        <v>52</v>
      </c>
      <c r="G354" s="18"/>
    </row>
    <row r="355" spans="1:7" ht="17" x14ac:dyDescent="0.2">
      <c r="A355" s="282" t="s">
        <v>1107</v>
      </c>
      <c r="B355" s="275">
        <v>0</v>
      </c>
      <c r="C355" s="263">
        <v>1</v>
      </c>
      <c r="D355" s="18" t="s">
        <v>52</v>
      </c>
      <c r="G355" s="18" t="s">
        <v>305</v>
      </c>
    </row>
    <row r="356" spans="1:7" ht="17" x14ac:dyDescent="0.2">
      <c r="A356" s="282" t="s">
        <v>1107</v>
      </c>
      <c r="B356" s="275">
        <v>0</v>
      </c>
      <c r="C356" s="263">
        <v>1</v>
      </c>
      <c r="D356" s="18" t="s">
        <v>108</v>
      </c>
      <c r="G356" s="18" t="s">
        <v>58</v>
      </c>
    </row>
    <row r="357" spans="1:7" ht="17" x14ac:dyDescent="0.2">
      <c r="A357" s="282" t="s">
        <v>1107</v>
      </c>
      <c r="B357" s="275">
        <v>0</v>
      </c>
      <c r="C357" s="263">
        <v>1</v>
      </c>
      <c r="D357" s="18" t="s">
        <v>49</v>
      </c>
      <c r="G357" s="18" t="s">
        <v>305</v>
      </c>
    </row>
    <row r="358" spans="1:7" ht="17" x14ac:dyDescent="0.2">
      <c r="A358" s="282" t="s">
        <v>1107</v>
      </c>
      <c r="B358" s="275">
        <v>0</v>
      </c>
      <c r="C358" s="263">
        <v>1</v>
      </c>
      <c r="D358" s="18" t="s">
        <v>108</v>
      </c>
      <c r="G358" s="18" t="s">
        <v>58</v>
      </c>
    </row>
    <row r="359" spans="1:7" ht="17" x14ac:dyDescent="0.2">
      <c r="A359" s="282" t="s">
        <v>1107</v>
      </c>
      <c r="B359" s="275">
        <v>0</v>
      </c>
      <c r="C359" s="263">
        <v>1</v>
      </c>
      <c r="D359" s="18" t="s">
        <v>108</v>
      </c>
      <c r="G359" s="18"/>
    </row>
    <row r="360" spans="1:7" ht="17" x14ac:dyDescent="0.2">
      <c r="A360" s="282" t="s">
        <v>1107</v>
      </c>
      <c r="B360" s="275">
        <v>0</v>
      </c>
      <c r="C360" s="263">
        <v>1</v>
      </c>
      <c r="D360" s="18" t="s">
        <v>108</v>
      </c>
      <c r="G360" s="18" t="s">
        <v>58</v>
      </c>
    </row>
    <row r="361" spans="1:7" ht="17" x14ac:dyDescent="0.2">
      <c r="A361" s="282" t="s">
        <v>1108</v>
      </c>
      <c r="B361" s="275">
        <v>1</v>
      </c>
      <c r="C361" s="263">
        <v>1</v>
      </c>
      <c r="D361" s="46" t="s">
        <v>68</v>
      </c>
      <c r="G361" s="28"/>
    </row>
    <row r="362" spans="1:7" ht="17" x14ac:dyDescent="0.2">
      <c r="A362" s="282" t="s">
        <v>1108</v>
      </c>
      <c r="B362" s="275">
        <v>1</v>
      </c>
      <c r="C362" s="263">
        <v>1</v>
      </c>
      <c r="D362" s="32" t="s">
        <v>49</v>
      </c>
      <c r="G362" s="32"/>
    </row>
    <row r="363" spans="1:7" ht="17" x14ac:dyDescent="0.2">
      <c r="A363" s="282" t="s">
        <v>1108</v>
      </c>
      <c r="B363" s="275">
        <v>1</v>
      </c>
      <c r="C363" s="263">
        <v>1</v>
      </c>
      <c r="D363" s="50" t="s">
        <v>68</v>
      </c>
      <c r="G363" s="32"/>
    </row>
    <row r="364" spans="1:7" ht="17" x14ac:dyDescent="0.2">
      <c r="A364" s="282" t="s">
        <v>1108</v>
      </c>
      <c r="B364" s="275">
        <v>1</v>
      </c>
      <c r="C364" s="263">
        <v>1</v>
      </c>
      <c r="D364" s="32" t="s">
        <v>49</v>
      </c>
      <c r="G364" s="32"/>
    </row>
    <row r="365" spans="1:7" ht="17" x14ac:dyDescent="0.2">
      <c r="A365" s="282" t="s">
        <v>1108</v>
      </c>
      <c r="B365" s="275">
        <v>1</v>
      </c>
      <c r="C365" s="263">
        <v>1</v>
      </c>
      <c r="D365" s="50" t="s">
        <v>68</v>
      </c>
      <c r="G365" s="32"/>
    </row>
    <row r="366" spans="1:7" ht="17" x14ac:dyDescent="0.2">
      <c r="A366" s="282" t="s">
        <v>1108</v>
      </c>
      <c r="B366" s="275">
        <v>1</v>
      </c>
      <c r="C366" s="263">
        <v>1</v>
      </c>
      <c r="D366" s="50" t="s">
        <v>68</v>
      </c>
      <c r="G366" s="32"/>
    </row>
    <row r="367" spans="1:7" ht="17" x14ac:dyDescent="0.2">
      <c r="A367" s="282" t="s">
        <v>1108</v>
      </c>
      <c r="B367" s="275">
        <v>1</v>
      </c>
      <c r="C367" s="263">
        <v>1</v>
      </c>
      <c r="D367" s="50" t="s">
        <v>68</v>
      </c>
      <c r="G367" s="32"/>
    </row>
    <row r="368" spans="1:7" ht="17" x14ac:dyDescent="0.2">
      <c r="A368" s="282" t="s">
        <v>1108</v>
      </c>
      <c r="B368" s="275">
        <v>1</v>
      </c>
      <c r="C368" s="263">
        <v>1</v>
      </c>
      <c r="D368" s="50" t="s">
        <v>68</v>
      </c>
      <c r="G368" s="32"/>
    </row>
    <row r="369" spans="1:7" ht="17" x14ac:dyDescent="0.2">
      <c r="A369" s="282" t="s">
        <v>1108</v>
      </c>
      <c r="B369" s="275">
        <v>1</v>
      </c>
      <c r="C369" s="263">
        <v>1</v>
      </c>
      <c r="D369" s="50" t="s">
        <v>68</v>
      </c>
      <c r="G369" s="32"/>
    </row>
    <row r="370" spans="1:7" ht="17" x14ac:dyDescent="0.2">
      <c r="A370" s="282" t="s">
        <v>1108</v>
      </c>
      <c r="B370" s="275">
        <v>1</v>
      </c>
      <c r="C370" s="263">
        <v>1</v>
      </c>
      <c r="D370" s="50" t="s">
        <v>68</v>
      </c>
      <c r="G370" s="32" t="s">
        <v>58</v>
      </c>
    </row>
    <row r="371" spans="1:7" ht="17" x14ac:dyDescent="0.2">
      <c r="A371" s="282" t="s">
        <v>1108</v>
      </c>
      <c r="B371" s="275">
        <v>1</v>
      </c>
      <c r="C371" s="263">
        <v>1</v>
      </c>
      <c r="D371" s="50" t="s">
        <v>68</v>
      </c>
      <c r="G371" s="32" t="s">
        <v>58</v>
      </c>
    </row>
    <row r="372" spans="1:7" ht="17" x14ac:dyDescent="0.2">
      <c r="A372" s="282" t="s">
        <v>1108</v>
      </c>
      <c r="B372" s="275">
        <v>1</v>
      </c>
      <c r="C372" s="263">
        <v>1</v>
      </c>
      <c r="D372" s="50" t="s">
        <v>68</v>
      </c>
      <c r="G372" s="32"/>
    </row>
    <row r="373" spans="1:7" ht="17" x14ac:dyDescent="0.2">
      <c r="A373" s="282" t="s">
        <v>1108</v>
      </c>
      <c r="B373" s="275">
        <v>1</v>
      </c>
      <c r="C373" s="263">
        <v>1</v>
      </c>
      <c r="D373" s="50" t="s">
        <v>68</v>
      </c>
      <c r="G373" s="32" t="s">
        <v>58</v>
      </c>
    </row>
    <row r="374" spans="1:7" ht="17" x14ac:dyDescent="0.2">
      <c r="A374" s="282" t="s">
        <v>1108</v>
      </c>
      <c r="B374" s="275">
        <v>1</v>
      </c>
      <c r="C374" s="263">
        <v>1</v>
      </c>
      <c r="D374" s="50" t="s">
        <v>108</v>
      </c>
      <c r="G374" s="32"/>
    </row>
    <row r="375" spans="1:7" ht="17" x14ac:dyDescent="0.2">
      <c r="A375" s="282" t="s">
        <v>1108</v>
      </c>
      <c r="B375" s="275">
        <v>1</v>
      </c>
      <c r="C375" s="263">
        <v>1</v>
      </c>
      <c r="D375" s="50" t="s">
        <v>108</v>
      </c>
      <c r="G375" s="32"/>
    </row>
    <row r="376" spans="1:7" ht="17" x14ac:dyDescent="0.2">
      <c r="A376" s="282" t="s">
        <v>1108</v>
      </c>
      <c r="B376" s="275">
        <v>1</v>
      </c>
      <c r="C376" s="263">
        <v>1</v>
      </c>
      <c r="D376" s="50" t="s">
        <v>108</v>
      </c>
      <c r="G376" s="32"/>
    </row>
    <row r="377" spans="1:7" ht="17" x14ac:dyDescent="0.2">
      <c r="A377" s="282" t="s">
        <v>1108</v>
      </c>
      <c r="B377" s="275">
        <v>1</v>
      </c>
      <c r="C377" s="263">
        <v>1</v>
      </c>
      <c r="D377" s="50" t="s">
        <v>68</v>
      </c>
      <c r="G377" s="32"/>
    </row>
    <row r="378" spans="1:7" ht="17" x14ac:dyDescent="0.2">
      <c r="A378" s="282" t="s">
        <v>1108</v>
      </c>
      <c r="B378" s="275">
        <v>1</v>
      </c>
      <c r="C378" s="263">
        <v>1</v>
      </c>
      <c r="D378" s="50" t="s">
        <v>68</v>
      </c>
      <c r="G378" s="32"/>
    </row>
    <row r="379" spans="1:7" ht="17" x14ac:dyDescent="0.2">
      <c r="A379" s="282" t="s">
        <v>1108</v>
      </c>
      <c r="B379" s="275">
        <v>1</v>
      </c>
      <c r="C379" s="263">
        <v>1</v>
      </c>
      <c r="D379" s="50" t="s">
        <v>68</v>
      </c>
      <c r="G379" s="32"/>
    </row>
    <row r="380" spans="1:7" ht="17" x14ac:dyDescent="0.2">
      <c r="A380" s="282" t="s">
        <v>1108</v>
      </c>
      <c r="B380" s="275">
        <v>1</v>
      </c>
      <c r="C380" s="263">
        <v>1</v>
      </c>
      <c r="D380" s="50" t="s">
        <v>108</v>
      </c>
      <c r="G380" s="32"/>
    </row>
    <row r="381" spans="1:7" ht="17" x14ac:dyDescent="0.2">
      <c r="A381" s="282" t="s">
        <v>1108</v>
      </c>
      <c r="B381" s="275">
        <v>1</v>
      </c>
      <c r="C381" s="263">
        <v>1</v>
      </c>
      <c r="D381" s="50" t="s">
        <v>68</v>
      </c>
      <c r="G381" s="32"/>
    </row>
    <row r="382" spans="1:7" ht="17" x14ac:dyDescent="0.2">
      <c r="A382" s="282" t="s">
        <v>1108</v>
      </c>
      <c r="B382" s="275">
        <v>1</v>
      </c>
      <c r="C382" s="263">
        <v>1</v>
      </c>
      <c r="D382" s="50" t="s">
        <v>49</v>
      </c>
      <c r="G382" s="32"/>
    </row>
    <row r="383" spans="1:7" ht="17" x14ac:dyDescent="0.2">
      <c r="A383" s="282" t="s">
        <v>1108</v>
      </c>
      <c r="B383" s="275">
        <v>1</v>
      </c>
      <c r="C383" s="263">
        <v>1</v>
      </c>
      <c r="D383" s="50" t="s">
        <v>52</v>
      </c>
      <c r="G383" s="32"/>
    </row>
    <row r="384" spans="1:7" ht="17" x14ac:dyDescent="0.2">
      <c r="A384" s="282" t="s">
        <v>1108</v>
      </c>
      <c r="B384" s="275">
        <v>1</v>
      </c>
      <c r="C384" s="263">
        <v>1</v>
      </c>
      <c r="D384" s="50" t="s">
        <v>52</v>
      </c>
      <c r="G384" s="32" t="s">
        <v>58</v>
      </c>
    </row>
    <row r="385" spans="1:7" ht="17" x14ac:dyDescent="0.2">
      <c r="A385" s="282" t="s">
        <v>1108</v>
      </c>
      <c r="B385" s="275">
        <v>1</v>
      </c>
      <c r="C385" s="263">
        <v>1</v>
      </c>
      <c r="D385" s="50" t="s">
        <v>52</v>
      </c>
      <c r="G385" s="32"/>
    </row>
    <row r="386" spans="1:7" ht="17" x14ac:dyDescent="0.2">
      <c r="A386" s="282" t="s">
        <v>1108</v>
      </c>
      <c r="B386" s="275">
        <v>1</v>
      </c>
      <c r="C386" s="263">
        <v>1</v>
      </c>
      <c r="D386" s="50" t="s">
        <v>52</v>
      </c>
      <c r="G386" s="32" t="s">
        <v>58</v>
      </c>
    </row>
    <row r="387" spans="1:7" ht="17" x14ac:dyDescent="0.2">
      <c r="A387" s="282" t="s">
        <v>1108</v>
      </c>
      <c r="B387" s="275">
        <v>1</v>
      </c>
      <c r="C387" s="263">
        <v>1</v>
      </c>
      <c r="D387" s="50" t="s">
        <v>166</v>
      </c>
      <c r="G387" s="32"/>
    </row>
    <row r="388" spans="1:7" ht="17" x14ac:dyDescent="0.2">
      <c r="A388" s="282" t="s">
        <v>1108</v>
      </c>
      <c r="B388" s="275">
        <v>1</v>
      </c>
      <c r="C388" s="263">
        <v>1</v>
      </c>
      <c r="D388" s="50" t="s">
        <v>166</v>
      </c>
      <c r="G388" s="32" t="s">
        <v>58</v>
      </c>
    </row>
    <row r="389" spans="1:7" ht="17" x14ac:dyDescent="0.2">
      <c r="A389" s="282" t="s">
        <v>1108</v>
      </c>
      <c r="B389" s="275">
        <v>1</v>
      </c>
      <c r="C389" s="263">
        <v>1</v>
      </c>
      <c r="D389" s="50" t="s">
        <v>52</v>
      </c>
      <c r="G389" s="32" t="s">
        <v>340</v>
      </c>
    </row>
    <row r="390" spans="1:7" ht="17" x14ac:dyDescent="0.2">
      <c r="A390" s="282" t="s">
        <v>1108</v>
      </c>
      <c r="B390" s="275">
        <v>1</v>
      </c>
      <c r="C390" s="263">
        <v>1</v>
      </c>
      <c r="D390" s="50" t="s">
        <v>52</v>
      </c>
      <c r="G390" s="32" t="s">
        <v>302</v>
      </c>
    </row>
    <row r="391" spans="1:7" ht="17" x14ac:dyDescent="0.2">
      <c r="A391" s="282" t="s">
        <v>1108</v>
      </c>
      <c r="B391" s="275">
        <v>1</v>
      </c>
      <c r="C391" s="263">
        <v>1</v>
      </c>
      <c r="D391" s="50" t="s">
        <v>52</v>
      </c>
      <c r="G391" s="32" t="s">
        <v>58</v>
      </c>
    </row>
    <row r="392" spans="1:7" ht="17" x14ac:dyDescent="0.2">
      <c r="A392" s="282" t="s">
        <v>1108</v>
      </c>
      <c r="B392" s="275">
        <v>1</v>
      </c>
      <c r="C392" s="263">
        <v>1</v>
      </c>
      <c r="D392" s="50" t="s">
        <v>52</v>
      </c>
      <c r="G392" s="32" t="s">
        <v>58</v>
      </c>
    </row>
    <row r="393" spans="1:7" ht="17" x14ac:dyDescent="0.2">
      <c r="A393" s="282" t="s">
        <v>1108</v>
      </c>
      <c r="B393" s="275">
        <v>1</v>
      </c>
      <c r="C393" s="263">
        <v>1</v>
      </c>
      <c r="D393" s="50" t="s">
        <v>52</v>
      </c>
      <c r="G393" s="32" t="s">
        <v>58</v>
      </c>
    </row>
    <row r="394" spans="1:7" ht="17" x14ac:dyDescent="0.2">
      <c r="A394" s="282" t="s">
        <v>1108</v>
      </c>
      <c r="B394" s="275">
        <v>1</v>
      </c>
      <c r="C394" s="263">
        <v>1</v>
      </c>
      <c r="D394" s="50" t="s">
        <v>108</v>
      </c>
      <c r="G394" s="32"/>
    </row>
    <row r="395" spans="1:7" ht="17" x14ac:dyDescent="0.2">
      <c r="A395" s="282" t="s">
        <v>1108</v>
      </c>
      <c r="B395" s="275">
        <v>1</v>
      </c>
      <c r="C395" s="263">
        <v>1</v>
      </c>
      <c r="D395" s="50" t="s">
        <v>108</v>
      </c>
      <c r="G395" s="32"/>
    </row>
    <row r="396" spans="1:7" ht="17" x14ac:dyDescent="0.2">
      <c r="A396" s="282" t="s">
        <v>1108</v>
      </c>
      <c r="B396" s="275">
        <v>1</v>
      </c>
      <c r="C396" s="263">
        <v>1</v>
      </c>
      <c r="D396" s="50" t="s">
        <v>52</v>
      </c>
      <c r="G396" s="32"/>
    </row>
    <row r="397" spans="1:7" ht="17" x14ac:dyDescent="0.2">
      <c r="A397" s="282" t="s">
        <v>1108</v>
      </c>
      <c r="B397" s="275">
        <v>1</v>
      </c>
      <c r="C397" s="263">
        <v>1</v>
      </c>
      <c r="D397" s="50" t="s">
        <v>108</v>
      </c>
      <c r="G397" s="32" t="s">
        <v>58</v>
      </c>
    </row>
    <row r="398" spans="1:7" ht="17" x14ac:dyDescent="0.2">
      <c r="A398" s="282" t="s">
        <v>1108</v>
      </c>
      <c r="B398" s="275">
        <v>1</v>
      </c>
      <c r="C398" s="263">
        <v>1</v>
      </c>
      <c r="D398" s="50" t="s">
        <v>108</v>
      </c>
      <c r="G398" s="32"/>
    </row>
    <row r="399" spans="1:7" ht="17" x14ac:dyDescent="0.2">
      <c r="A399" s="282" t="s">
        <v>1108</v>
      </c>
      <c r="B399" s="275">
        <v>1</v>
      </c>
      <c r="C399" s="263">
        <v>1</v>
      </c>
      <c r="D399" s="50" t="s">
        <v>108</v>
      </c>
      <c r="G399" s="32" t="s">
        <v>58</v>
      </c>
    </row>
    <row r="400" spans="1:7" ht="17" x14ac:dyDescent="0.2">
      <c r="A400" s="282" t="s">
        <v>1108</v>
      </c>
      <c r="B400" s="275">
        <v>1</v>
      </c>
      <c r="C400" s="263">
        <v>1</v>
      </c>
      <c r="D400" s="50" t="s">
        <v>108</v>
      </c>
      <c r="G400" s="32"/>
    </row>
    <row r="401" spans="1:7" ht="17" x14ac:dyDescent="0.2">
      <c r="A401" s="282" t="s">
        <v>1108</v>
      </c>
      <c r="B401" s="275">
        <v>1</v>
      </c>
      <c r="C401" s="263">
        <v>1</v>
      </c>
      <c r="D401" s="50" t="s">
        <v>108</v>
      </c>
      <c r="G401" s="32"/>
    </row>
    <row r="402" spans="1:7" ht="17" x14ac:dyDescent="0.2">
      <c r="A402" s="282" t="s">
        <v>1108</v>
      </c>
      <c r="B402" s="275">
        <v>1</v>
      </c>
      <c r="C402" s="263">
        <v>1</v>
      </c>
      <c r="D402" s="50" t="s">
        <v>108</v>
      </c>
      <c r="G402" s="32"/>
    </row>
    <row r="403" spans="1:7" ht="17" x14ac:dyDescent="0.2">
      <c r="A403" s="282" t="s">
        <v>1108</v>
      </c>
      <c r="B403" s="275">
        <v>1</v>
      </c>
      <c r="C403" s="263">
        <v>1</v>
      </c>
      <c r="D403" s="50" t="s">
        <v>108</v>
      </c>
      <c r="G403" s="32"/>
    </row>
    <row r="404" spans="1:7" ht="17" x14ac:dyDescent="0.2">
      <c r="A404" s="282" t="s">
        <v>1108</v>
      </c>
      <c r="B404" s="275">
        <v>1</v>
      </c>
      <c r="C404" s="263">
        <v>1</v>
      </c>
      <c r="D404" s="50" t="s">
        <v>108</v>
      </c>
      <c r="G404" s="32"/>
    </row>
    <row r="405" spans="1:7" ht="17" x14ac:dyDescent="0.2">
      <c r="A405" s="282" t="s">
        <v>1108</v>
      </c>
      <c r="B405" s="275">
        <v>1</v>
      </c>
      <c r="C405" s="263">
        <v>1</v>
      </c>
      <c r="D405" s="50" t="s">
        <v>108</v>
      </c>
      <c r="G405" s="32" t="s">
        <v>58</v>
      </c>
    </row>
    <row r="406" spans="1:7" ht="17" x14ac:dyDescent="0.2">
      <c r="A406" s="282" t="s">
        <v>1108</v>
      </c>
      <c r="B406" s="275">
        <v>1</v>
      </c>
      <c r="C406" s="263">
        <v>1</v>
      </c>
      <c r="D406" s="50" t="s">
        <v>108</v>
      </c>
      <c r="G406" s="32" t="s">
        <v>58</v>
      </c>
    </row>
    <row r="407" spans="1:7" ht="17" x14ac:dyDescent="0.2">
      <c r="A407" s="282" t="s">
        <v>1108</v>
      </c>
      <c r="B407" s="275">
        <v>1</v>
      </c>
      <c r="C407" s="263">
        <v>1</v>
      </c>
      <c r="D407" s="50" t="s">
        <v>52</v>
      </c>
      <c r="G407" s="32"/>
    </row>
    <row r="408" spans="1:7" ht="17" x14ac:dyDescent="0.2">
      <c r="A408" s="282" t="s">
        <v>1108</v>
      </c>
      <c r="B408" s="275">
        <v>1</v>
      </c>
      <c r="C408" s="263">
        <v>1</v>
      </c>
      <c r="D408" s="50" t="s">
        <v>52</v>
      </c>
      <c r="G408" s="32"/>
    </row>
    <row r="409" spans="1:7" ht="17" x14ac:dyDescent="0.2">
      <c r="A409" s="282" t="s">
        <v>1108</v>
      </c>
      <c r="B409" s="275">
        <v>1</v>
      </c>
      <c r="C409" s="263">
        <v>1</v>
      </c>
      <c r="D409" s="50" t="s">
        <v>52</v>
      </c>
      <c r="G409" s="32" t="s">
        <v>58</v>
      </c>
    </row>
    <row r="410" spans="1:7" ht="17" x14ac:dyDescent="0.2">
      <c r="A410" s="282" t="s">
        <v>1108</v>
      </c>
      <c r="B410" s="275">
        <v>1</v>
      </c>
      <c r="C410" s="263">
        <v>1</v>
      </c>
      <c r="D410" s="50" t="s">
        <v>52</v>
      </c>
      <c r="G410" s="32" t="s">
        <v>58</v>
      </c>
    </row>
    <row r="411" spans="1:7" ht="17" x14ac:dyDescent="0.2">
      <c r="A411" s="282" t="s">
        <v>1108</v>
      </c>
      <c r="B411" s="275">
        <v>1</v>
      </c>
      <c r="C411" s="263">
        <v>1</v>
      </c>
      <c r="D411" s="50" t="s">
        <v>52</v>
      </c>
      <c r="G411" s="32"/>
    </row>
    <row r="412" spans="1:7" ht="17" x14ac:dyDescent="0.2">
      <c r="A412" s="282" t="s">
        <v>1108</v>
      </c>
      <c r="B412" s="275">
        <v>1</v>
      </c>
      <c r="C412" s="263">
        <v>1</v>
      </c>
      <c r="D412" s="50" t="s">
        <v>52</v>
      </c>
      <c r="G412" s="32"/>
    </row>
    <row r="413" spans="1:7" ht="17" x14ac:dyDescent="0.2">
      <c r="A413" s="282" t="s">
        <v>1108</v>
      </c>
      <c r="B413" s="275">
        <v>1</v>
      </c>
      <c r="C413" s="263">
        <v>1</v>
      </c>
      <c r="D413" s="50" t="s">
        <v>52</v>
      </c>
      <c r="G413" s="32" t="s">
        <v>58</v>
      </c>
    </row>
    <row r="414" spans="1:7" ht="17" x14ac:dyDescent="0.2">
      <c r="A414" s="282" t="s">
        <v>1108</v>
      </c>
      <c r="B414" s="275">
        <v>1</v>
      </c>
      <c r="C414" s="263">
        <v>1</v>
      </c>
      <c r="D414" s="50" t="s">
        <v>52</v>
      </c>
      <c r="G414" s="32" t="s">
        <v>58</v>
      </c>
    </row>
    <row r="415" spans="1:7" ht="17" x14ac:dyDescent="0.2">
      <c r="A415" s="282" t="s">
        <v>1108</v>
      </c>
      <c r="B415" s="275">
        <v>1</v>
      </c>
      <c r="C415" s="263">
        <v>1</v>
      </c>
      <c r="D415" s="50" t="s">
        <v>52</v>
      </c>
      <c r="G415" s="32" t="s">
        <v>58</v>
      </c>
    </row>
    <row r="416" spans="1:7" ht="17" x14ac:dyDescent="0.2">
      <c r="A416" s="282" t="s">
        <v>1108</v>
      </c>
      <c r="B416" s="275">
        <v>1</v>
      </c>
      <c r="C416" s="263">
        <v>1</v>
      </c>
      <c r="D416" s="50" t="s">
        <v>52</v>
      </c>
      <c r="G416" s="32" t="s">
        <v>305</v>
      </c>
    </row>
    <row r="417" spans="1:7" ht="17" x14ac:dyDescent="0.2">
      <c r="A417" s="282" t="s">
        <v>1108</v>
      </c>
      <c r="B417" s="275">
        <v>1</v>
      </c>
      <c r="C417" s="263">
        <v>1</v>
      </c>
      <c r="D417" s="50" t="s">
        <v>52</v>
      </c>
      <c r="G417" s="32" t="s">
        <v>305</v>
      </c>
    </row>
    <row r="418" spans="1:7" ht="17" x14ac:dyDescent="0.2">
      <c r="A418" s="282" t="s">
        <v>1108</v>
      </c>
      <c r="B418" s="275">
        <v>1</v>
      </c>
      <c r="C418" s="263">
        <v>1</v>
      </c>
      <c r="D418" s="50" t="s">
        <v>52</v>
      </c>
      <c r="G418" s="32" t="s">
        <v>305</v>
      </c>
    </row>
    <row r="419" spans="1:7" ht="17" x14ac:dyDescent="0.2">
      <c r="A419" s="282" t="s">
        <v>1108</v>
      </c>
      <c r="B419" s="275">
        <v>1</v>
      </c>
      <c r="C419" s="263">
        <v>1</v>
      </c>
      <c r="D419" s="50" t="s">
        <v>52</v>
      </c>
      <c r="G419" s="32" t="s">
        <v>305</v>
      </c>
    </row>
    <row r="420" spans="1:7" ht="17" x14ac:dyDescent="0.2">
      <c r="A420" s="282" t="s">
        <v>1108</v>
      </c>
      <c r="B420" s="275">
        <v>1</v>
      </c>
      <c r="C420" s="263">
        <v>1</v>
      </c>
      <c r="D420" s="50" t="s">
        <v>52</v>
      </c>
      <c r="G420" s="32" t="s">
        <v>305</v>
      </c>
    </row>
    <row r="421" spans="1:7" ht="17" x14ac:dyDescent="0.2">
      <c r="A421" s="282" t="s">
        <v>1108</v>
      </c>
      <c r="B421" s="275">
        <v>1</v>
      </c>
      <c r="C421" s="263">
        <v>1</v>
      </c>
      <c r="D421" s="50" t="s">
        <v>52</v>
      </c>
      <c r="G421" s="32" t="s">
        <v>58</v>
      </c>
    </row>
    <row r="422" spans="1:7" ht="17" x14ac:dyDescent="0.2">
      <c r="A422" s="282" t="s">
        <v>1108</v>
      </c>
      <c r="B422" s="275">
        <v>1</v>
      </c>
      <c r="C422" s="263">
        <v>1</v>
      </c>
      <c r="D422" s="50" t="s">
        <v>52</v>
      </c>
      <c r="G422" s="32" t="s">
        <v>58</v>
      </c>
    </row>
    <row r="423" spans="1:7" ht="17" x14ac:dyDescent="0.2">
      <c r="A423" s="282" t="s">
        <v>1108</v>
      </c>
      <c r="B423" s="275">
        <v>1</v>
      </c>
      <c r="C423" s="263">
        <v>1</v>
      </c>
      <c r="D423" s="50" t="s">
        <v>52</v>
      </c>
      <c r="G423" s="32"/>
    </row>
    <row r="424" spans="1:7" ht="17" x14ac:dyDescent="0.2">
      <c r="A424" s="282" t="s">
        <v>1108</v>
      </c>
      <c r="B424" s="275">
        <v>1</v>
      </c>
      <c r="C424" s="263">
        <v>1</v>
      </c>
      <c r="D424" s="50" t="s">
        <v>52</v>
      </c>
      <c r="G424" s="32"/>
    </row>
    <row r="425" spans="1:7" ht="17" x14ac:dyDescent="0.2">
      <c r="A425" s="282" t="s">
        <v>1108</v>
      </c>
      <c r="B425" s="275">
        <v>1</v>
      </c>
      <c r="C425" s="263">
        <v>1</v>
      </c>
      <c r="D425" s="50" t="s">
        <v>52</v>
      </c>
      <c r="G425" s="32" t="s">
        <v>58</v>
      </c>
    </row>
    <row r="426" spans="1:7" ht="17" x14ac:dyDescent="0.2">
      <c r="A426" s="282" t="s">
        <v>1108</v>
      </c>
      <c r="B426" s="275">
        <v>1</v>
      </c>
      <c r="C426" s="263">
        <v>1</v>
      </c>
      <c r="D426" s="50" t="s">
        <v>108</v>
      </c>
      <c r="G426" s="32"/>
    </row>
    <row r="427" spans="1:7" ht="17" x14ac:dyDescent="0.2">
      <c r="A427" s="282" t="s">
        <v>1108</v>
      </c>
      <c r="B427" s="275">
        <v>1</v>
      </c>
      <c r="C427" s="263">
        <v>1</v>
      </c>
      <c r="D427" s="50" t="s">
        <v>49</v>
      </c>
      <c r="G427" s="32"/>
    </row>
    <row r="428" spans="1:7" ht="17" x14ac:dyDescent="0.2">
      <c r="A428" s="282" t="s">
        <v>1108</v>
      </c>
      <c r="B428" s="275">
        <v>1</v>
      </c>
      <c r="C428" s="263">
        <v>1</v>
      </c>
      <c r="D428" s="50" t="s">
        <v>108</v>
      </c>
      <c r="G428" s="32"/>
    </row>
    <row r="429" spans="1:7" ht="17" x14ac:dyDescent="0.2">
      <c r="A429" s="282" t="s">
        <v>1108</v>
      </c>
      <c r="B429" s="275">
        <v>1</v>
      </c>
      <c r="C429" s="263">
        <v>1</v>
      </c>
      <c r="D429" s="50" t="s">
        <v>108</v>
      </c>
      <c r="G429" s="32"/>
    </row>
    <row r="430" spans="1:7" ht="17" x14ac:dyDescent="0.2">
      <c r="A430" s="282" t="s">
        <v>1108</v>
      </c>
      <c r="B430" s="275">
        <v>1</v>
      </c>
      <c r="C430" s="263">
        <v>1</v>
      </c>
      <c r="D430" s="50" t="s">
        <v>68</v>
      </c>
      <c r="G430" s="32"/>
    </row>
    <row r="431" spans="1:7" ht="17" x14ac:dyDescent="0.2">
      <c r="A431" s="282" t="s">
        <v>1108</v>
      </c>
      <c r="B431" s="275">
        <v>1</v>
      </c>
      <c r="C431" s="263">
        <v>1</v>
      </c>
      <c r="D431" s="50" t="s">
        <v>108</v>
      </c>
      <c r="G431" s="32"/>
    </row>
    <row r="432" spans="1:7" ht="17" x14ac:dyDescent="0.2">
      <c r="A432" s="282" t="s">
        <v>1108</v>
      </c>
      <c r="B432" s="275">
        <v>1</v>
      </c>
      <c r="C432" s="263">
        <v>1</v>
      </c>
      <c r="D432" s="50" t="s">
        <v>108</v>
      </c>
      <c r="G432" s="32"/>
    </row>
    <row r="433" spans="1:7" ht="17" x14ac:dyDescent="0.2">
      <c r="A433" s="282" t="s">
        <v>1108</v>
      </c>
      <c r="B433" s="275">
        <v>1</v>
      </c>
      <c r="C433" s="263">
        <v>1</v>
      </c>
      <c r="D433" s="50" t="s">
        <v>108</v>
      </c>
      <c r="G433" s="32" t="s">
        <v>58</v>
      </c>
    </row>
    <row r="434" spans="1:7" ht="17" x14ac:dyDescent="0.2">
      <c r="A434" s="282" t="s">
        <v>1108</v>
      </c>
      <c r="B434" s="275">
        <v>1</v>
      </c>
      <c r="C434" s="263">
        <v>1</v>
      </c>
      <c r="D434" s="50" t="s">
        <v>108</v>
      </c>
      <c r="G434" s="32" t="s">
        <v>58</v>
      </c>
    </row>
    <row r="435" spans="1:7" ht="17" x14ac:dyDescent="0.2">
      <c r="A435" s="282" t="s">
        <v>1108</v>
      </c>
      <c r="B435" s="275">
        <v>1</v>
      </c>
      <c r="C435" s="263">
        <v>1</v>
      </c>
      <c r="D435" s="50" t="s">
        <v>108</v>
      </c>
      <c r="G435" s="32" t="s">
        <v>58</v>
      </c>
    </row>
    <row r="436" spans="1:7" ht="17" x14ac:dyDescent="0.2">
      <c r="A436" s="282" t="s">
        <v>1108</v>
      </c>
      <c r="B436" s="275">
        <v>1</v>
      </c>
      <c r="C436" s="263">
        <v>1</v>
      </c>
      <c r="D436" s="50" t="s">
        <v>108</v>
      </c>
      <c r="G436" s="32" t="s">
        <v>58</v>
      </c>
    </row>
    <row r="437" spans="1:7" ht="17" x14ac:dyDescent="0.2">
      <c r="A437" s="282" t="s">
        <v>1108</v>
      </c>
      <c r="B437" s="275">
        <v>1</v>
      </c>
      <c r="C437" s="263">
        <v>1</v>
      </c>
      <c r="D437" s="50" t="s">
        <v>49</v>
      </c>
      <c r="G437" s="32" t="s">
        <v>58</v>
      </c>
    </row>
    <row r="438" spans="1:7" ht="17" x14ac:dyDescent="0.2">
      <c r="A438" s="282" t="s">
        <v>1108</v>
      </c>
      <c r="B438" s="275">
        <v>1</v>
      </c>
      <c r="C438" s="263">
        <v>1</v>
      </c>
      <c r="D438" s="50" t="s">
        <v>108</v>
      </c>
      <c r="G438" s="32"/>
    </row>
    <row r="439" spans="1:7" ht="17" x14ac:dyDescent="0.2">
      <c r="A439" s="282" t="s">
        <v>1108</v>
      </c>
      <c r="B439" s="275">
        <v>1</v>
      </c>
      <c r="C439" s="263">
        <v>1</v>
      </c>
      <c r="D439" s="50" t="s">
        <v>108</v>
      </c>
      <c r="G439" s="32"/>
    </row>
    <row r="440" spans="1:7" ht="17" x14ac:dyDescent="0.2">
      <c r="A440" s="282" t="s">
        <v>1108</v>
      </c>
      <c r="B440" s="275">
        <v>1</v>
      </c>
      <c r="C440" s="263">
        <v>1</v>
      </c>
      <c r="D440" s="50" t="s">
        <v>108</v>
      </c>
      <c r="G440" s="32" t="s">
        <v>58</v>
      </c>
    </row>
    <row r="441" spans="1:7" ht="17" x14ac:dyDescent="0.2">
      <c r="A441" s="282" t="s">
        <v>1108</v>
      </c>
      <c r="B441" s="275">
        <v>1</v>
      </c>
      <c r="C441" s="263">
        <v>1</v>
      </c>
      <c r="D441" s="50" t="s">
        <v>108</v>
      </c>
      <c r="G441" s="32"/>
    </row>
    <row r="442" spans="1:7" ht="17" x14ac:dyDescent="0.2">
      <c r="A442" s="282" t="s">
        <v>1108</v>
      </c>
      <c r="B442" s="275">
        <v>1</v>
      </c>
      <c r="C442" s="263">
        <v>1</v>
      </c>
      <c r="D442" s="50" t="s">
        <v>108</v>
      </c>
      <c r="G442" s="32"/>
    </row>
    <row r="443" spans="1:7" ht="17" x14ac:dyDescent="0.2">
      <c r="A443" s="282" t="s">
        <v>1108</v>
      </c>
      <c r="B443" s="275">
        <v>1</v>
      </c>
      <c r="C443" s="263">
        <v>1</v>
      </c>
      <c r="D443" s="50" t="s">
        <v>108</v>
      </c>
      <c r="G443" s="32"/>
    </row>
    <row r="444" spans="1:7" ht="17" x14ac:dyDescent="0.2">
      <c r="A444" s="282" t="s">
        <v>1108</v>
      </c>
      <c r="B444" s="275">
        <v>1</v>
      </c>
      <c r="C444" s="263">
        <v>1</v>
      </c>
      <c r="D444" s="50" t="s">
        <v>52</v>
      </c>
      <c r="G444" s="32" t="s">
        <v>58</v>
      </c>
    </row>
    <row r="445" spans="1:7" ht="17" x14ac:dyDescent="0.2">
      <c r="A445" s="282" t="s">
        <v>1108</v>
      </c>
      <c r="B445" s="275">
        <v>1</v>
      </c>
      <c r="C445" s="263">
        <v>1</v>
      </c>
      <c r="D445" s="50" t="s">
        <v>52</v>
      </c>
      <c r="G445" s="32" t="s">
        <v>58</v>
      </c>
    </row>
    <row r="446" spans="1:7" ht="17" x14ac:dyDescent="0.2">
      <c r="A446" s="282" t="s">
        <v>1108</v>
      </c>
      <c r="B446" s="275">
        <v>1</v>
      </c>
      <c r="C446" s="263">
        <v>1</v>
      </c>
      <c r="D446" s="50" t="s">
        <v>49</v>
      </c>
      <c r="G446" s="32" t="s">
        <v>58</v>
      </c>
    </row>
    <row r="447" spans="1:7" ht="17" x14ac:dyDescent="0.2">
      <c r="A447" s="282" t="s">
        <v>1108</v>
      </c>
      <c r="B447" s="275">
        <v>1</v>
      </c>
      <c r="C447" s="263">
        <v>1</v>
      </c>
      <c r="D447" s="50" t="s">
        <v>52</v>
      </c>
      <c r="G447" s="32" t="s">
        <v>58</v>
      </c>
    </row>
    <row r="448" spans="1:7" ht="17" x14ac:dyDescent="0.2">
      <c r="A448" s="282" t="s">
        <v>1108</v>
      </c>
      <c r="B448" s="275">
        <v>1</v>
      </c>
      <c r="C448" s="263">
        <v>1</v>
      </c>
      <c r="D448" s="50" t="s">
        <v>52</v>
      </c>
      <c r="G448" s="32"/>
    </row>
    <row r="449" spans="1:7" ht="17" x14ac:dyDescent="0.2">
      <c r="A449" s="282" t="s">
        <v>1108</v>
      </c>
      <c r="B449" s="275">
        <v>1</v>
      </c>
      <c r="C449" s="263">
        <v>1</v>
      </c>
      <c r="D449" s="50" t="s">
        <v>52</v>
      </c>
      <c r="G449" s="32" t="s">
        <v>58</v>
      </c>
    </row>
    <row r="450" spans="1:7" ht="17" x14ac:dyDescent="0.2">
      <c r="A450" s="282" t="s">
        <v>1108</v>
      </c>
      <c r="B450" s="275">
        <v>1</v>
      </c>
      <c r="C450" s="263">
        <v>1</v>
      </c>
      <c r="D450" s="50" t="s">
        <v>49</v>
      </c>
      <c r="G450" s="32"/>
    </row>
    <row r="451" spans="1:7" ht="17" x14ac:dyDescent="0.2">
      <c r="A451" s="282" t="s">
        <v>1108</v>
      </c>
      <c r="B451" s="275">
        <v>1</v>
      </c>
      <c r="C451" s="263">
        <v>1</v>
      </c>
      <c r="D451" s="50" t="s">
        <v>52</v>
      </c>
      <c r="G451" s="32"/>
    </row>
    <row r="452" spans="1:7" ht="17" x14ac:dyDescent="0.2">
      <c r="A452" s="282" t="s">
        <v>1108</v>
      </c>
      <c r="B452" s="275">
        <v>1</v>
      </c>
      <c r="C452" s="263">
        <v>1</v>
      </c>
      <c r="D452" s="50" t="s">
        <v>49</v>
      </c>
      <c r="G452" s="32"/>
    </row>
    <row r="453" spans="1:7" ht="17" x14ac:dyDescent="0.2">
      <c r="A453" s="282" t="s">
        <v>1108</v>
      </c>
      <c r="B453" s="275">
        <v>1</v>
      </c>
      <c r="C453" s="263">
        <v>1</v>
      </c>
      <c r="D453" s="50" t="s">
        <v>49</v>
      </c>
      <c r="G453" s="32"/>
    </row>
    <row r="454" spans="1:7" ht="17" x14ac:dyDescent="0.2">
      <c r="A454" s="282" t="s">
        <v>1108</v>
      </c>
      <c r="B454" s="275">
        <v>1</v>
      </c>
      <c r="C454" s="263">
        <v>1</v>
      </c>
      <c r="D454" s="50" t="s">
        <v>49</v>
      </c>
      <c r="G454" s="32"/>
    </row>
    <row r="455" spans="1:7" ht="16" x14ac:dyDescent="0.2">
      <c r="A455" t="s">
        <v>1109</v>
      </c>
      <c r="B455" s="275">
        <v>0</v>
      </c>
      <c r="C455" s="263">
        <v>0</v>
      </c>
      <c r="D455" s="133" t="s">
        <v>52</v>
      </c>
      <c r="G455" s="133"/>
    </row>
    <row r="456" spans="1:7" ht="16" x14ac:dyDescent="0.2">
      <c r="A456" t="s">
        <v>1109</v>
      </c>
      <c r="B456" s="275">
        <v>0</v>
      </c>
      <c r="C456" s="263">
        <v>0</v>
      </c>
      <c r="D456" s="139" t="s">
        <v>52</v>
      </c>
      <c r="G456" s="139" t="s">
        <v>58</v>
      </c>
    </row>
    <row r="457" spans="1:7" ht="16" x14ac:dyDescent="0.2">
      <c r="A457" t="s">
        <v>1109</v>
      </c>
      <c r="B457" s="275">
        <v>0</v>
      </c>
      <c r="C457" s="263">
        <v>0</v>
      </c>
      <c r="D457" s="133" t="s">
        <v>52</v>
      </c>
      <c r="G457" s="133"/>
    </row>
    <row r="458" spans="1:7" ht="16" x14ac:dyDescent="0.2">
      <c r="A458" t="s">
        <v>1109</v>
      </c>
      <c r="B458" s="275">
        <v>0</v>
      </c>
      <c r="C458" s="263">
        <v>0</v>
      </c>
      <c r="D458" s="133" t="s">
        <v>49</v>
      </c>
      <c r="G458" s="133" t="s">
        <v>58</v>
      </c>
    </row>
    <row r="459" spans="1:7" ht="16" x14ac:dyDescent="0.2">
      <c r="A459" t="s">
        <v>1109</v>
      </c>
      <c r="B459" s="275">
        <v>0</v>
      </c>
      <c r="C459" s="263">
        <v>0</v>
      </c>
      <c r="D459" s="133" t="s">
        <v>52</v>
      </c>
      <c r="G459" s="133" t="s">
        <v>58</v>
      </c>
    </row>
    <row r="460" spans="1:7" ht="16" x14ac:dyDescent="0.2">
      <c r="A460" t="s">
        <v>1109</v>
      </c>
      <c r="B460" s="275">
        <v>0</v>
      </c>
      <c r="C460" s="263">
        <v>0</v>
      </c>
      <c r="D460" s="133" t="s">
        <v>52</v>
      </c>
      <c r="G460" s="133" t="s">
        <v>305</v>
      </c>
    </row>
    <row r="461" spans="1:7" ht="16" x14ac:dyDescent="0.2">
      <c r="A461" t="s">
        <v>1109</v>
      </c>
      <c r="B461" s="275">
        <v>0</v>
      </c>
      <c r="C461" s="263">
        <v>0</v>
      </c>
      <c r="D461" s="133" t="s">
        <v>49</v>
      </c>
      <c r="G461" s="133" t="s">
        <v>302</v>
      </c>
    </row>
    <row r="462" spans="1:7" ht="16" x14ac:dyDescent="0.2">
      <c r="A462" t="s">
        <v>1109</v>
      </c>
      <c r="B462" s="275">
        <v>0</v>
      </c>
      <c r="C462" s="263">
        <v>0</v>
      </c>
      <c r="D462" s="133" t="s">
        <v>52</v>
      </c>
      <c r="G462" s="133" t="s">
        <v>305</v>
      </c>
    </row>
    <row r="463" spans="1:7" ht="16" x14ac:dyDescent="0.2">
      <c r="A463" t="s">
        <v>1109</v>
      </c>
      <c r="B463" s="275">
        <v>0</v>
      </c>
      <c r="C463" s="263">
        <v>0</v>
      </c>
      <c r="D463" s="133" t="s">
        <v>52</v>
      </c>
      <c r="G463" s="133" t="s">
        <v>302</v>
      </c>
    </row>
    <row r="464" spans="1:7" ht="16" x14ac:dyDescent="0.2">
      <c r="A464" t="s">
        <v>1109</v>
      </c>
      <c r="B464" s="275">
        <v>0</v>
      </c>
      <c r="C464" s="263">
        <v>0</v>
      </c>
      <c r="D464" s="133" t="s">
        <v>52</v>
      </c>
      <c r="G464" s="133"/>
    </row>
    <row r="465" spans="1:7" ht="16" x14ac:dyDescent="0.2">
      <c r="A465" t="s">
        <v>1109</v>
      </c>
      <c r="B465" s="275">
        <v>0</v>
      </c>
      <c r="C465" s="263">
        <v>0</v>
      </c>
      <c r="D465" s="133" t="s">
        <v>52</v>
      </c>
      <c r="G465" s="133" t="s">
        <v>305</v>
      </c>
    </row>
    <row r="466" spans="1:7" ht="16" x14ac:dyDescent="0.2">
      <c r="A466" t="s">
        <v>1109</v>
      </c>
      <c r="B466" s="275">
        <v>0</v>
      </c>
      <c r="C466" s="263">
        <v>0</v>
      </c>
      <c r="D466" s="133" t="s">
        <v>49</v>
      </c>
      <c r="G466" s="133" t="s">
        <v>58</v>
      </c>
    </row>
    <row r="467" spans="1:7" ht="16" x14ac:dyDescent="0.2">
      <c r="A467" t="s">
        <v>1109</v>
      </c>
      <c r="B467" s="275">
        <v>0</v>
      </c>
      <c r="C467" s="263">
        <v>0</v>
      </c>
      <c r="D467" s="133" t="s">
        <v>52</v>
      </c>
      <c r="G467" s="133" t="s">
        <v>305</v>
      </c>
    </row>
    <row r="468" spans="1:7" ht="16" x14ac:dyDescent="0.2">
      <c r="A468" t="s">
        <v>1109</v>
      </c>
      <c r="B468" s="275">
        <v>0</v>
      </c>
      <c r="C468" s="263">
        <v>0</v>
      </c>
      <c r="D468" s="133" t="s">
        <v>52</v>
      </c>
      <c r="G468" s="133" t="s">
        <v>58</v>
      </c>
    </row>
    <row r="469" spans="1:7" ht="16" x14ac:dyDescent="0.2">
      <c r="A469" t="s">
        <v>1109</v>
      </c>
      <c r="B469" s="275">
        <v>0</v>
      </c>
      <c r="C469" s="263">
        <v>0</v>
      </c>
      <c r="D469" s="133" t="s">
        <v>52</v>
      </c>
      <c r="G469" s="133" t="s">
        <v>58</v>
      </c>
    </row>
    <row r="470" spans="1:7" ht="16" x14ac:dyDescent="0.2">
      <c r="A470" t="s">
        <v>1109</v>
      </c>
      <c r="B470" s="275">
        <v>0</v>
      </c>
      <c r="C470" s="263">
        <v>0</v>
      </c>
      <c r="D470" s="133" t="s">
        <v>52</v>
      </c>
      <c r="G470" s="133" t="s">
        <v>58</v>
      </c>
    </row>
    <row r="471" spans="1:7" ht="17" x14ac:dyDescent="0.2">
      <c r="A471" s="282" t="s">
        <v>1110</v>
      </c>
      <c r="B471" s="275">
        <v>0</v>
      </c>
      <c r="C471" s="263">
        <v>0</v>
      </c>
      <c r="D471" s="146" t="s">
        <v>52</v>
      </c>
      <c r="G471" s="146"/>
    </row>
    <row r="472" spans="1:7" ht="17" x14ac:dyDescent="0.2">
      <c r="A472" s="282" t="s">
        <v>1110</v>
      </c>
      <c r="B472" s="275">
        <v>0</v>
      </c>
      <c r="C472" s="263">
        <v>0</v>
      </c>
      <c r="D472" s="151" t="s">
        <v>52</v>
      </c>
      <c r="G472" s="151"/>
    </row>
    <row r="473" spans="1:7" ht="17" x14ac:dyDescent="0.2">
      <c r="A473" s="282" t="s">
        <v>1110</v>
      </c>
      <c r="B473" s="275">
        <v>0</v>
      </c>
      <c r="C473" s="263">
        <v>0</v>
      </c>
      <c r="D473" s="151" t="s">
        <v>52</v>
      </c>
      <c r="G473" s="151"/>
    </row>
    <row r="474" spans="1:7" ht="17" x14ac:dyDescent="0.2">
      <c r="A474" s="282" t="s">
        <v>1110</v>
      </c>
      <c r="B474" s="275">
        <v>0</v>
      </c>
      <c r="C474" s="263">
        <v>0</v>
      </c>
      <c r="D474" s="151" t="s">
        <v>52</v>
      </c>
      <c r="G474" s="151"/>
    </row>
    <row r="475" spans="1:7" ht="17" x14ac:dyDescent="0.2">
      <c r="A475" s="282" t="s">
        <v>1110</v>
      </c>
      <c r="B475" s="275">
        <v>0</v>
      </c>
      <c r="C475" s="263">
        <v>0</v>
      </c>
      <c r="D475" s="151" t="s">
        <v>52</v>
      </c>
      <c r="G475" s="151"/>
    </row>
    <row r="476" spans="1:7" ht="17" x14ac:dyDescent="0.2">
      <c r="A476" s="282" t="s">
        <v>1110</v>
      </c>
      <c r="B476" s="275">
        <v>0</v>
      </c>
      <c r="C476" s="263">
        <v>0</v>
      </c>
      <c r="D476" s="151" t="s">
        <v>52</v>
      </c>
      <c r="G476" s="151"/>
    </row>
    <row r="477" spans="1:7" ht="17" x14ac:dyDescent="0.2">
      <c r="A477" s="282" t="s">
        <v>1110</v>
      </c>
      <c r="B477" s="275">
        <v>0</v>
      </c>
      <c r="C477" s="263">
        <v>0</v>
      </c>
      <c r="D477" s="151" t="s">
        <v>52</v>
      </c>
      <c r="G477" s="151"/>
    </row>
    <row r="478" spans="1:7" ht="17" x14ac:dyDescent="0.2">
      <c r="A478" s="282" t="s">
        <v>1110</v>
      </c>
      <c r="B478" s="275">
        <v>0</v>
      </c>
      <c r="C478" s="263">
        <v>0</v>
      </c>
      <c r="D478" s="151" t="s">
        <v>52</v>
      </c>
      <c r="G478" s="151"/>
    </row>
    <row r="479" spans="1:7" ht="17" x14ac:dyDescent="0.2">
      <c r="A479" s="282" t="s">
        <v>1110</v>
      </c>
      <c r="B479" s="275">
        <v>0</v>
      </c>
      <c r="C479" s="263">
        <v>0</v>
      </c>
      <c r="D479" s="151" t="s">
        <v>52</v>
      </c>
      <c r="G479" s="151"/>
    </row>
    <row r="480" spans="1:7" ht="17" x14ac:dyDescent="0.2">
      <c r="A480" s="282" t="s">
        <v>1110</v>
      </c>
      <c r="B480" s="275">
        <v>0</v>
      </c>
      <c r="C480" s="263">
        <v>0</v>
      </c>
      <c r="D480" s="151" t="s">
        <v>52</v>
      </c>
      <c r="G480" s="151" t="s">
        <v>58</v>
      </c>
    </row>
    <row r="481" spans="1:7" ht="17" x14ac:dyDescent="0.2">
      <c r="A481" s="282" t="s">
        <v>1110</v>
      </c>
      <c r="B481" s="275">
        <v>0</v>
      </c>
      <c r="C481" s="263">
        <v>0</v>
      </c>
      <c r="D481" s="151" t="s">
        <v>49</v>
      </c>
      <c r="G481" s="151" t="s">
        <v>58</v>
      </c>
    </row>
    <row r="482" spans="1:7" ht="17" x14ac:dyDescent="0.2">
      <c r="A482" s="282" t="s">
        <v>1110</v>
      </c>
      <c r="B482" s="275">
        <v>0</v>
      </c>
      <c r="C482" s="263">
        <v>0</v>
      </c>
      <c r="D482" s="151" t="s">
        <v>52</v>
      </c>
      <c r="G482" s="151" t="s">
        <v>305</v>
      </c>
    </row>
    <row r="483" spans="1:7" ht="17" x14ac:dyDescent="0.2">
      <c r="A483" s="282" t="s">
        <v>1110</v>
      </c>
      <c r="B483" s="275">
        <v>0</v>
      </c>
      <c r="C483" s="263">
        <v>0</v>
      </c>
      <c r="D483" s="151" t="s">
        <v>52</v>
      </c>
      <c r="G483" s="151"/>
    </row>
    <row r="484" spans="1:7" ht="17" x14ac:dyDescent="0.2">
      <c r="A484" s="282" t="s">
        <v>1110</v>
      </c>
      <c r="B484" s="275">
        <v>0</v>
      </c>
      <c r="C484" s="263">
        <v>0</v>
      </c>
      <c r="D484" s="151" t="s">
        <v>49</v>
      </c>
      <c r="G484" s="151" t="s">
        <v>331</v>
      </c>
    </row>
    <row r="485" spans="1:7" ht="17" x14ac:dyDescent="0.2">
      <c r="A485" s="282" t="s">
        <v>1110</v>
      </c>
      <c r="B485" s="275">
        <v>0</v>
      </c>
      <c r="C485" s="263">
        <v>0</v>
      </c>
      <c r="D485" s="151" t="s">
        <v>52</v>
      </c>
      <c r="G485" s="151"/>
    </row>
    <row r="486" spans="1:7" ht="17" x14ac:dyDescent="0.2">
      <c r="A486" s="282" t="s">
        <v>1110</v>
      </c>
      <c r="B486" s="275">
        <v>0</v>
      </c>
      <c r="C486" s="263">
        <v>0</v>
      </c>
      <c r="D486" s="151" t="s">
        <v>52</v>
      </c>
      <c r="G486" s="151"/>
    </row>
    <row r="487" spans="1:7" ht="17" x14ac:dyDescent="0.2">
      <c r="A487" s="282" t="s">
        <v>1110</v>
      </c>
      <c r="B487" s="275">
        <v>0</v>
      </c>
      <c r="C487" s="263">
        <v>0</v>
      </c>
      <c r="D487" s="151" t="s">
        <v>49</v>
      </c>
      <c r="G487" s="151" t="s">
        <v>58</v>
      </c>
    </row>
    <row r="488" spans="1:7" ht="17" x14ac:dyDescent="0.2">
      <c r="A488" s="282" t="s">
        <v>1110</v>
      </c>
      <c r="B488" s="275">
        <v>0</v>
      </c>
      <c r="C488" s="263">
        <v>0</v>
      </c>
      <c r="D488" s="151" t="s">
        <v>52</v>
      </c>
      <c r="G488" s="151"/>
    </row>
    <row r="489" spans="1:7" ht="17" x14ac:dyDescent="0.2">
      <c r="A489" s="282" t="s">
        <v>1110</v>
      </c>
      <c r="B489" s="275">
        <v>0</v>
      </c>
      <c r="C489" s="263">
        <v>0</v>
      </c>
      <c r="D489" s="151" t="s">
        <v>52</v>
      </c>
      <c r="G489" s="151"/>
    </row>
    <row r="490" spans="1:7" ht="17" x14ac:dyDescent="0.2">
      <c r="A490" s="282" t="s">
        <v>1110</v>
      </c>
      <c r="B490" s="275">
        <v>0</v>
      </c>
      <c r="C490" s="263">
        <v>0</v>
      </c>
      <c r="D490" s="151" t="s">
        <v>52</v>
      </c>
      <c r="G490" s="151"/>
    </row>
    <row r="491" spans="1:7" ht="17" x14ac:dyDescent="0.2">
      <c r="A491" s="282" t="s">
        <v>1110</v>
      </c>
      <c r="B491" s="275">
        <v>0</v>
      </c>
      <c r="C491" s="263">
        <v>0</v>
      </c>
      <c r="D491" s="151" t="s">
        <v>52</v>
      </c>
      <c r="G491" s="151"/>
    </row>
    <row r="492" spans="1:7" ht="17" x14ac:dyDescent="0.2">
      <c r="A492" s="282" t="s">
        <v>1110</v>
      </c>
      <c r="B492" s="275">
        <v>0</v>
      </c>
      <c r="C492" s="263">
        <v>0</v>
      </c>
      <c r="D492" s="151" t="s">
        <v>52</v>
      </c>
      <c r="G492" s="151"/>
    </row>
    <row r="493" spans="1:7" ht="17" x14ac:dyDescent="0.2">
      <c r="A493" s="282" t="s">
        <v>1110</v>
      </c>
      <c r="B493" s="275">
        <v>0</v>
      </c>
      <c r="C493" s="263">
        <v>0</v>
      </c>
      <c r="D493" s="151" t="s">
        <v>52</v>
      </c>
      <c r="G493" s="151"/>
    </row>
    <row r="494" spans="1:7" ht="17" x14ac:dyDescent="0.2">
      <c r="A494" s="282" t="s">
        <v>1110</v>
      </c>
      <c r="B494" s="275">
        <v>0</v>
      </c>
      <c r="C494" s="263">
        <v>0</v>
      </c>
      <c r="D494" s="151" t="s">
        <v>52</v>
      </c>
      <c r="G494" s="151"/>
    </row>
    <row r="495" spans="1:7" ht="17" x14ac:dyDescent="0.2">
      <c r="A495" s="282" t="s">
        <v>1110</v>
      </c>
      <c r="B495" s="275">
        <v>0</v>
      </c>
      <c r="C495" s="263">
        <v>0</v>
      </c>
      <c r="D495" s="151" t="s">
        <v>52</v>
      </c>
      <c r="G495" s="151" t="s">
        <v>58</v>
      </c>
    </row>
    <row r="496" spans="1:7" ht="17" x14ac:dyDescent="0.2">
      <c r="A496" s="282" t="s">
        <v>1110</v>
      </c>
      <c r="B496" s="275">
        <v>0</v>
      </c>
      <c r="C496" s="263">
        <v>0</v>
      </c>
      <c r="D496" s="151" t="s">
        <v>52</v>
      </c>
      <c r="G496" s="151"/>
    </row>
    <row r="497" spans="1:7" ht="17" x14ac:dyDescent="0.2">
      <c r="A497" s="282" t="s">
        <v>1110</v>
      </c>
      <c r="B497" s="275">
        <v>0</v>
      </c>
      <c r="C497" s="263">
        <v>0</v>
      </c>
      <c r="D497" s="151" t="s">
        <v>52</v>
      </c>
      <c r="G497" s="151"/>
    </row>
    <row r="498" spans="1:7" ht="17" x14ac:dyDescent="0.2">
      <c r="A498" s="282" t="s">
        <v>1110</v>
      </c>
      <c r="B498" s="275">
        <v>0</v>
      </c>
      <c r="C498" s="263">
        <v>0</v>
      </c>
      <c r="D498" s="151" t="s">
        <v>52</v>
      </c>
      <c r="G498" s="151"/>
    </row>
    <row r="499" spans="1:7" ht="17" x14ac:dyDescent="0.2">
      <c r="A499" s="282" t="s">
        <v>1110</v>
      </c>
      <c r="B499" s="275">
        <v>0</v>
      </c>
      <c r="C499" s="263">
        <v>0</v>
      </c>
      <c r="D499" s="151" t="s">
        <v>52</v>
      </c>
      <c r="G499" s="151"/>
    </row>
    <row r="500" spans="1:7" ht="17" x14ac:dyDescent="0.2">
      <c r="A500" s="282" t="s">
        <v>1110</v>
      </c>
      <c r="B500" s="275">
        <v>0</v>
      </c>
      <c r="C500" s="263">
        <v>0</v>
      </c>
      <c r="D500" s="151" t="s">
        <v>52</v>
      </c>
      <c r="G500" s="151" t="s">
        <v>58</v>
      </c>
    </row>
    <row r="501" spans="1:7" ht="17" x14ac:dyDescent="0.2">
      <c r="A501" s="282" t="s">
        <v>1070</v>
      </c>
      <c r="B501" s="275">
        <v>1</v>
      </c>
      <c r="C501" s="263">
        <v>0</v>
      </c>
      <c r="D501" s="293" t="s">
        <v>49</v>
      </c>
      <c r="G501" s="185"/>
    </row>
    <row r="502" spans="1:7" ht="17" x14ac:dyDescent="0.2">
      <c r="A502" s="282" t="s">
        <v>1070</v>
      </c>
      <c r="B502" s="275">
        <v>1</v>
      </c>
      <c r="C502" s="263">
        <v>0</v>
      </c>
      <c r="D502" s="293" t="s">
        <v>49</v>
      </c>
      <c r="G502" s="185"/>
    </row>
    <row r="503" spans="1:7" ht="17" x14ac:dyDescent="0.2">
      <c r="A503" s="282" t="s">
        <v>1070</v>
      </c>
      <c r="B503" s="275">
        <v>1</v>
      </c>
      <c r="C503" s="263">
        <v>0</v>
      </c>
      <c r="D503" s="293" t="s">
        <v>49</v>
      </c>
      <c r="G503" s="185"/>
    </row>
    <row r="504" spans="1:7" ht="17" x14ac:dyDescent="0.2">
      <c r="A504" s="282" t="s">
        <v>1070</v>
      </c>
      <c r="B504" s="275">
        <v>1</v>
      </c>
      <c r="C504" s="263">
        <v>0</v>
      </c>
      <c r="D504" s="293" t="s">
        <v>49</v>
      </c>
      <c r="G504" s="185"/>
    </row>
    <row r="505" spans="1:7" ht="17" x14ac:dyDescent="0.2">
      <c r="A505" s="282" t="s">
        <v>1070</v>
      </c>
      <c r="B505" s="275">
        <v>1</v>
      </c>
      <c r="C505" s="263">
        <v>0</v>
      </c>
      <c r="D505" s="293" t="s">
        <v>49</v>
      </c>
      <c r="G505" s="185"/>
    </row>
    <row r="506" spans="1:7" ht="17" x14ac:dyDescent="0.2">
      <c r="A506" s="282" t="s">
        <v>1070</v>
      </c>
      <c r="B506" s="275">
        <v>1</v>
      </c>
      <c r="C506" s="263">
        <v>0</v>
      </c>
      <c r="D506" s="293" t="s">
        <v>49</v>
      </c>
      <c r="G506" s="185"/>
    </row>
    <row r="507" spans="1:7" ht="17" x14ac:dyDescent="0.2">
      <c r="A507" s="282" t="s">
        <v>1070</v>
      </c>
      <c r="B507" s="275">
        <v>1</v>
      </c>
      <c r="C507" s="263">
        <v>0</v>
      </c>
      <c r="D507" s="293" t="s">
        <v>49</v>
      </c>
      <c r="G507" s="185"/>
    </row>
    <row r="508" spans="1:7" ht="17" x14ac:dyDescent="0.2">
      <c r="A508" s="282" t="s">
        <v>1070</v>
      </c>
      <c r="B508" s="275">
        <v>1</v>
      </c>
      <c r="C508" s="263">
        <v>0</v>
      </c>
      <c r="D508" s="293" t="s">
        <v>638</v>
      </c>
      <c r="G508" s="185"/>
    </row>
    <row r="509" spans="1:7" ht="17" x14ac:dyDescent="0.2">
      <c r="A509" s="282" t="s">
        <v>1070</v>
      </c>
      <c r="B509" s="275">
        <v>1</v>
      </c>
      <c r="C509" s="263">
        <v>0</v>
      </c>
      <c r="D509" s="293" t="s">
        <v>638</v>
      </c>
      <c r="G509" s="185"/>
    </row>
    <row r="510" spans="1:7" ht="17" x14ac:dyDescent="0.2">
      <c r="A510" s="282" t="s">
        <v>1070</v>
      </c>
      <c r="B510" s="275">
        <v>1</v>
      </c>
      <c r="C510" s="263">
        <v>0</v>
      </c>
      <c r="D510" s="293" t="s">
        <v>68</v>
      </c>
      <c r="G510" s="185"/>
    </row>
    <row r="511" spans="1:7" ht="17" x14ac:dyDescent="0.2">
      <c r="A511" s="282" t="s">
        <v>1070</v>
      </c>
      <c r="B511" s="275">
        <v>1</v>
      </c>
      <c r="C511" s="263">
        <v>0</v>
      </c>
      <c r="D511" s="293" t="s">
        <v>49</v>
      </c>
      <c r="G511" s="185"/>
    </row>
    <row r="512" spans="1:7" ht="17" x14ac:dyDescent="0.2">
      <c r="A512" s="282" t="s">
        <v>1070</v>
      </c>
      <c r="B512" s="275">
        <v>1</v>
      </c>
      <c r="C512" s="263">
        <v>0</v>
      </c>
      <c r="D512" s="293" t="s">
        <v>49</v>
      </c>
      <c r="G512" s="185"/>
    </row>
    <row r="513" spans="1:7" ht="17" x14ac:dyDescent="0.2">
      <c r="A513" s="282" t="s">
        <v>1070</v>
      </c>
      <c r="B513" s="275">
        <v>1</v>
      </c>
      <c r="C513" s="263">
        <v>0</v>
      </c>
      <c r="D513" s="293" t="s">
        <v>638</v>
      </c>
      <c r="G513" s="185"/>
    </row>
    <row r="514" spans="1:7" ht="17" x14ac:dyDescent="0.2">
      <c r="A514" s="282" t="s">
        <v>1070</v>
      </c>
      <c r="B514" s="275">
        <v>1</v>
      </c>
      <c r="C514" s="263">
        <v>0</v>
      </c>
      <c r="D514" s="293" t="s">
        <v>49</v>
      </c>
      <c r="G514" s="185"/>
    </row>
    <row r="515" spans="1:7" ht="17" x14ac:dyDescent="0.2">
      <c r="A515" s="282" t="s">
        <v>1070</v>
      </c>
      <c r="B515" s="275">
        <v>1</v>
      </c>
      <c r="C515" s="263">
        <v>0</v>
      </c>
      <c r="D515" s="293" t="s">
        <v>638</v>
      </c>
      <c r="G515" s="185"/>
    </row>
    <row r="516" spans="1:7" ht="17" x14ac:dyDescent="0.2">
      <c r="A516" s="282" t="s">
        <v>1070</v>
      </c>
      <c r="B516" s="275">
        <v>1</v>
      </c>
      <c r="C516" s="263">
        <v>0</v>
      </c>
      <c r="D516" s="293" t="s">
        <v>638</v>
      </c>
      <c r="G516" s="185"/>
    </row>
    <row r="517" spans="1:7" ht="17" x14ac:dyDescent="0.2">
      <c r="A517" s="282" t="s">
        <v>1070</v>
      </c>
      <c r="B517" s="275">
        <v>1</v>
      </c>
      <c r="C517" s="263">
        <v>0</v>
      </c>
      <c r="D517" s="293" t="s">
        <v>638</v>
      </c>
      <c r="G517" s="185"/>
    </row>
    <row r="518" spans="1:7" ht="17" x14ac:dyDescent="0.2">
      <c r="A518" s="282" t="s">
        <v>1070</v>
      </c>
      <c r="B518" s="275">
        <v>1</v>
      </c>
      <c r="C518" s="263">
        <v>0</v>
      </c>
      <c r="D518" s="293" t="s">
        <v>49</v>
      </c>
      <c r="G518" s="185"/>
    </row>
    <row r="519" spans="1:7" ht="17" x14ac:dyDescent="0.2">
      <c r="A519" s="282" t="s">
        <v>1070</v>
      </c>
      <c r="B519" s="275">
        <v>1</v>
      </c>
      <c r="C519" s="263">
        <v>0</v>
      </c>
      <c r="D519" s="293" t="s">
        <v>49</v>
      </c>
      <c r="G519" s="185"/>
    </row>
    <row r="520" spans="1:7" ht="17" x14ac:dyDescent="0.2">
      <c r="A520" s="282" t="s">
        <v>1070</v>
      </c>
      <c r="B520" s="275">
        <v>1</v>
      </c>
      <c r="C520" s="263">
        <v>0</v>
      </c>
      <c r="D520" s="293" t="s">
        <v>52</v>
      </c>
      <c r="G520" s="185"/>
    </row>
    <row r="521" spans="1:7" ht="17" x14ac:dyDescent="0.2">
      <c r="A521" s="282" t="s">
        <v>1070</v>
      </c>
      <c r="B521" s="275">
        <v>1</v>
      </c>
      <c r="C521" s="263">
        <v>0</v>
      </c>
      <c r="D521" s="293" t="s">
        <v>52</v>
      </c>
      <c r="G521" s="196" t="s">
        <v>58</v>
      </c>
    </row>
    <row r="522" spans="1:7" ht="17" x14ac:dyDescent="0.2">
      <c r="A522" s="282" t="s">
        <v>1070</v>
      </c>
      <c r="B522" s="275">
        <v>1</v>
      </c>
      <c r="C522" s="263">
        <v>0</v>
      </c>
      <c r="D522" s="293" t="s">
        <v>52</v>
      </c>
      <c r="G522" s="185"/>
    </row>
    <row r="523" spans="1:7" ht="17" x14ac:dyDescent="0.2">
      <c r="A523" s="282" t="s">
        <v>1070</v>
      </c>
      <c r="B523" s="275">
        <v>1</v>
      </c>
      <c r="C523" s="263">
        <v>0</v>
      </c>
      <c r="D523" s="294" t="s">
        <v>638</v>
      </c>
      <c r="G523" s="185"/>
    </row>
    <row r="524" spans="1:7" ht="17" x14ac:dyDescent="0.2">
      <c r="A524" s="282" t="s">
        <v>1070</v>
      </c>
      <c r="B524" s="275">
        <v>1</v>
      </c>
      <c r="C524" s="263">
        <v>0</v>
      </c>
      <c r="D524" s="293" t="s">
        <v>52</v>
      </c>
      <c r="G524" s="185"/>
    </row>
    <row r="525" spans="1:7" ht="17" x14ac:dyDescent="0.2">
      <c r="A525" s="282" t="s">
        <v>1070</v>
      </c>
      <c r="B525" s="275">
        <v>1</v>
      </c>
      <c r="C525" s="263">
        <v>0</v>
      </c>
      <c r="D525" s="293" t="s">
        <v>52</v>
      </c>
      <c r="G525" s="185"/>
    </row>
    <row r="526" spans="1:7" ht="17" x14ac:dyDescent="0.2">
      <c r="A526" s="282" t="s">
        <v>1070</v>
      </c>
      <c r="B526" s="275">
        <v>1</v>
      </c>
      <c r="C526" s="263">
        <v>0</v>
      </c>
      <c r="D526" s="294" t="s">
        <v>68</v>
      </c>
      <c r="G526" s="185"/>
    </row>
    <row r="527" spans="1:7" ht="17" x14ac:dyDescent="0.2">
      <c r="A527" s="282" t="s">
        <v>1070</v>
      </c>
      <c r="B527" s="275">
        <v>1</v>
      </c>
      <c r="C527" s="263">
        <v>0</v>
      </c>
      <c r="D527" s="294" t="s">
        <v>638</v>
      </c>
      <c r="G527" s="185"/>
    </row>
    <row r="528" spans="1:7" ht="17" x14ac:dyDescent="0.2">
      <c r="A528" s="282" t="s">
        <v>1070</v>
      </c>
      <c r="B528" s="275">
        <v>1</v>
      </c>
      <c r="C528" s="263">
        <v>0</v>
      </c>
      <c r="D528" s="294" t="s">
        <v>638</v>
      </c>
      <c r="G528" s="185"/>
    </row>
    <row r="529" spans="1:7" ht="17" x14ac:dyDescent="0.2">
      <c r="A529" s="282" t="s">
        <v>1070</v>
      </c>
      <c r="B529" s="275">
        <v>1</v>
      </c>
      <c r="C529" s="263">
        <v>0</v>
      </c>
      <c r="D529" s="294" t="s">
        <v>638</v>
      </c>
      <c r="G529" s="185"/>
    </row>
    <row r="530" spans="1:7" ht="17" x14ac:dyDescent="0.2">
      <c r="A530" s="282" t="s">
        <v>1070</v>
      </c>
      <c r="B530" s="275">
        <v>1</v>
      </c>
      <c r="C530" s="263">
        <v>0</v>
      </c>
      <c r="D530" s="294" t="s">
        <v>638</v>
      </c>
      <c r="G530" s="185"/>
    </row>
    <row r="531" spans="1:7" ht="17" x14ac:dyDescent="0.2">
      <c r="A531" s="282" t="s">
        <v>1070</v>
      </c>
      <c r="B531" s="275">
        <v>1</v>
      </c>
      <c r="C531" s="263">
        <v>0</v>
      </c>
      <c r="D531" s="294" t="s">
        <v>638</v>
      </c>
      <c r="G531" s="185"/>
    </row>
    <row r="532" spans="1:7" ht="17" x14ac:dyDescent="0.2">
      <c r="A532" s="282" t="s">
        <v>1070</v>
      </c>
      <c r="B532" s="275">
        <v>1</v>
      </c>
      <c r="C532" s="263">
        <v>0</v>
      </c>
      <c r="D532" s="294" t="s">
        <v>638</v>
      </c>
      <c r="G532" s="185"/>
    </row>
    <row r="533" spans="1:7" ht="17" x14ac:dyDescent="0.2">
      <c r="A533" s="282" t="s">
        <v>1070</v>
      </c>
      <c r="B533" s="275">
        <v>1</v>
      </c>
      <c r="C533" s="263">
        <v>0</v>
      </c>
      <c r="D533" s="293" t="s">
        <v>49</v>
      </c>
      <c r="G533" s="185"/>
    </row>
    <row r="534" spans="1:7" ht="17" x14ac:dyDescent="0.2">
      <c r="A534" s="282" t="s">
        <v>1070</v>
      </c>
      <c r="B534" s="275">
        <v>1</v>
      </c>
      <c r="C534" s="263">
        <v>0</v>
      </c>
      <c r="D534" s="293" t="s">
        <v>49</v>
      </c>
      <c r="G534" s="185"/>
    </row>
    <row r="535" spans="1:7" ht="17" x14ac:dyDescent="0.2">
      <c r="A535" s="282" t="s">
        <v>1070</v>
      </c>
      <c r="B535" s="275">
        <v>1</v>
      </c>
      <c r="C535" s="263">
        <v>0</v>
      </c>
      <c r="D535" s="294" t="s">
        <v>638</v>
      </c>
      <c r="G535" s="185"/>
    </row>
    <row r="536" spans="1:7" ht="17" x14ac:dyDescent="0.2">
      <c r="A536" s="282" t="s">
        <v>1070</v>
      </c>
      <c r="B536" s="275">
        <v>1</v>
      </c>
      <c r="C536" s="263">
        <v>0</v>
      </c>
      <c r="D536" s="294" t="s">
        <v>638</v>
      </c>
      <c r="G536" s="185"/>
    </row>
    <row r="537" spans="1:7" ht="17" x14ac:dyDescent="0.2">
      <c r="A537" s="282" t="s">
        <v>1070</v>
      </c>
      <c r="B537" s="275">
        <v>1</v>
      </c>
      <c r="C537" s="263">
        <v>0</v>
      </c>
      <c r="D537" s="294" t="s">
        <v>638</v>
      </c>
      <c r="G537" s="185"/>
    </row>
    <row r="538" spans="1:7" ht="17" x14ac:dyDescent="0.2">
      <c r="A538" s="282" t="s">
        <v>1070</v>
      </c>
      <c r="B538" s="275">
        <v>1</v>
      </c>
      <c r="C538" s="263">
        <v>0</v>
      </c>
      <c r="D538" s="294" t="s">
        <v>638</v>
      </c>
      <c r="G538" s="185"/>
    </row>
    <row r="539" spans="1:7" ht="17" x14ac:dyDescent="0.2">
      <c r="A539" s="282" t="s">
        <v>1070</v>
      </c>
      <c r="B539" s="275">
        <v>1</v>
      </c>
      <c r="C539" s="263">
        <v>0</v>
      </c>
      <c r="D539" s="294" t="s">
        <v>638</v>
      </c>
      <c r="G539" s="185"/>
    </row>
    <row r="540" spans="1:7" ht="17" x14ac:dyDescent="0.2">
      <c r="A540" s="282" t="s">
        <v>1070</v>
      </c>
      <c r="B540" s="275">
        <v>1</v>
      </c>
      <c r="C540" s="263">
        <v>0</v>
      </c>
      <c r="D540" s="294" t="s">
        <v>638</v>
      </c>
      <c r="G540" s="185"/>
    </row>
    <row r="541" spans="1:7" ht="17" x14ac:dyDescent="0.2">
      <c r="A541" s="282" t="s">
        <v>1070</v>
      </c>
      <c r="B541" s="275">
        <v>1</v>
      </c>
      <c r="C541" s="263">
        <v>0</v>
      </c>
      <c r="D541" s="294" t="s">
        <v>638</v>
      </c>
      <c r="G541" s="185"/>
    </row>
    <row r="542" spans="1:7" ht="17" x14ac:dyDescent="0.2">
      <c r="A542" s="282" t="s">
        <v>1070</v>
      </c>
      <c r="B542" s="275">
        <v>1</v>
      </c>
      <c r="C542" s="263">
        <v>0</v>
      </c>
      <c r="D542" s="294" t="s">
        <v>638</v>
      </c>
      <c r="G542" s="185"/>
    </row>
    <row r="543" spans="1:7" ht="17" x14ac:dyDescent="0.2">
      <c r="A543" s="282" t="s">
        <v>1070</v>
      </c>
      <c r="B543" s="275">
        <v>1</v>
      </c>
      <c r="C543" s="263">
        <v>0</v>
      </c>
      <c r="D543" s="294" t="s">
        <v>638</v>
      </c>
      <c r="G543" s="185"/>
    </row>
    <row r="544" spans="1:7" ht="17" x14ac:dyDescent="0.2">
      <c r="A544" s="282" t="s">
        <v>1070</v>
      </c>
      <c r="B544" s="275">
        <v>1</v>
      </c>
      <c r="C544" s="263">
        <v>0</v>
      </c>
      <c r="D544" s="294" t="s">
        <v>638</v>
      </c>
      <c r="G544" s="185"/>
    </row>
    <row r="545" spans="1:7" ht="17" x14ac:dyDescent="0.2">
      <c r="A545" s="282" t="s">
        <v>1070</v>
      </c>
      <c r="B545" s="275">
        <v>1</v>
      </c>
      <c r="C545" s="263">
        <v>0</v>
      </c>
      <c r="D545" s="293" t="s">
        <v>49</v>
      </c>
      <c r="G545" s="185"/>
    </row>
    <row r="546" spans="1:7" ht="17" x14ac:dyDescent="0.2">
      <c r="A546" s="282" t="s">
        <v>1070</v>
      </c>
      <c r="B546" s="275">
        <v>1</v>
      </c>
      <c r="C546" s="263">
        <v>0</v>
      </c>
      <c r="D546" s="293" t="s">
        <v>52</v>
      </c>
      <c r="G546" s="196" t="s">
        <v>58</v>
      </c>
    </row>
    <row r="547" spans="1:7" ht="17" x14ac:dyDescent="0.2">
      <c r="A547" s="282" t="s">
        <v>1070</v>
      </c>
      <c r="B547" s="275">
        <v>1</v>
      </c>
      <c r="C547" s="263">
        <v>0</v>
      </c>
      <c r="D547" s="293" t="s">
        <v>52</v>
      </c>
      <c r="G547" s="185"/>
    </row>
    <row r="548" spans="1:7" ht="17" x14ac:dyDescent="0.2">
      <c r="A548" s="282" t="s">
        <v>1070</v>
      </c>
      <c r="B548" s="275">
        <v>1</v>
      </c>
      <c r="C548" s="263">
        <v>0</v>
      </c>
      <c r="D548" s="293" t="s">
        <v>52</v>
      </c>
      <c r="G548" s="185"/>
    </row>
    <row r="549" spans="1:7" ht="17" x14ac:dyDescent="0.2">
      <c r="A549" s="282" t="s">
        <v>1070</v>
      </c>
      <c r="B549" s="275">
        <v>1</v>
      </c>
      <c r="C549" s="263">
        <v>0</v>
      </c>
      <c r="D549" s="293" t="s">
        <v>52</v>
      </c>
      <c r="G549" s="191" t="s">
        <v>305</v>
      </c>
    </row>
    <row r="550" spans="1:7" ht="17" x14ac:dyDescent="0.2">
      <c r="A550" s="282" t="s">
        <v>1070</v>
      </c>
      <c r="B550" s="275">
        <v>1</v>
      </c>
      <c r="C550" s="263">
        <v>0</v>
      </c>
      <c r="D550" s="293" t="s">
        <v>49</v>
      </c>
      <c r="G550" s="185"/>
    </row>
    <row r="551" spans="1:7" ht="17" x14ac:dyDescent="0.2">
      <c r="A551" s="282" t="s">
        <v>1070</v>
      </c>
      <c r="B551" s="275">
        <v>1</v>
      </c>
      <c r="C551" s="263">
        <v>0</v>
      </c>
      <c r="D551" s="293" t="s">
        <v>52</v>
      </c>
      <c r="G551" s="191" t="s">
        <v>340</v>
      </c>
    </row>
    <row r="552" spans="1:7" ht="17" x14ac:dyDescent="0.2">
      <c r="A552" s="282" t="s">
        <v>1070</v>
      </c>
      <c r="B552" s="275">
        <v>1</v>
      </c>
      <c r="C552" s="263">
        <v>0</v>
      </c>
      <c r="D552" s="293" t="s">
        <v>52</v>
      </c>
      <c r="G552" s="196" t="s">
        <v>58</v>
      </c>
    </row>
    <row r="553" spans="1:7" ht="17" x14ac:dyDescent="0.2">
      <c r="A553" s="282" t="s">
        <v>1070</v>
      </c>
      <c r="B553" s="275">
        <v>1</v>
      </c>
      <c r="C553" s="263">
        <v>0</v>
      </c>
      <c r="D553" s="293" t="s">
        <v>52</v>
      </c>
      <c r="G553" s="196" t="s">
        <v>58</v>
      </c>
    </row>
    <row r="554" spans="1:7" ht="17" x14ac:dyDescent="0.2">
      <c r="A554" s="282" t="s">
        <v>1070</v>
      </c>
      <c r="B554" s="275">
        <v>1</v>
      </c>
      <c r="C554" s="263">
        <v>0</v>
      </c>
      <c r="D554" s="293" t="s">
        <v>52</v>
      </c>
      <c r="G554" s="185"/>
    </row>
    <row r="555" spans="1:7" ht="17" x14ac:dyDescent="0.2">
      <c r="A555" s="282" t="s">
        <v>1070</v>
      </c>
      <c r="B555" s="275">
        <v>1</v>
      </c>
      <c r="C555" s="263">
        <v>0</v>
      </c>
      <c r="D555" s="293" t="s">
        <v>52</v>
      </c>
      <c r="G555" s="191" t="s">
        <v>305</v>
      </c>
    </row>
    <row r="556" spans="1:7" ht="17" x14ac:dyDescent="0.2">
      <c r="A556" s="282" t="s">
        <v>1070</v>
      </c>
      <c r="B556" s="275">
        <v>1</v>
      </c>
      <c r="C556" s="263">
        <v>0</v>
      </c>
      <c r="D556" s="293" t="s">
        <v>52</v>
      </c>
      <c r="G556" s="185"/>
    </row>
    <row r="557" spans="1:7" ht="17" x14ac:dyDescent="0.2">
      <c r="A557" s="282" t="s">
        <v>1070</v>
      </c>
      <c r="B557" s="275">
        <v>1</v>
      </c>
      <c r="C557" s="263">
        <v>0</v>
      </c>
      <c r="D557" s="294" t="s">
        <v>638</v>
      </c>
      <c r="G557" s="185"/>
    </row>
    <row r="558" spans="1:7" ht="17" x14ac:dyDescent="0.2">
      <c r="A558" s="282" t="s">
        <v>1070</v>
      </c>
      <c r="B558" s="275">
        <v>1</v>
      </c>
      <c r="C558" s="263">
        <v>0</v>
      </c>
      <c r="D558" s="293" t="s">
        <v>52</v>
      </c>
      <c r="G558" s="185"/>
    </row>
    <row r="559" spans="1:7" ht="17" x14ac:dyDescent="0.2">
      <c r="A559" s="282" t="s">
        <v>1070</v>
      </c>
      <c r="B559" s="275">
        <v>1</v>
      </c>
      <c r="C559" s="263">
        <v>0</v>
      </c>
      <c r="D559" s="293" t="s">
        <v>52</v>
      </c>
      <c r="G559" s="191" t="s">
        <v>58</v>
      </c>
    </row>
    <row r="560" spans="1:7" ht="17" x14ac:dyDescent="0.2">
      <c r="A560" s="282" t="s">
        <v>1070</v>
      </c>
      <c r="B560" s="275">
        <v>1</v>
      </c>
      <c r="C560" s="263">
        <v>0</v>
      </c>
      <c r="D560" s="293" t="s">
        <v>49</v>
      </c>
      <c r="G560" s="196" t="s">
        <v>637</v>
      </c>
    </row>
    <row r="561" spans="1:7" ht="17" x14ac:dyDescent="0.2">
      <c r="A561" s="282" t="s">
        <v>1070</v>
      </c>
      <c r="B561" s="275">
        <v>1</v>
      </c>
      <c r="C561" s="263">
        <v>0</v>
      </c>
      <c r="D561" s="293" t="s">
        <v>52</v>
      </c>
      <c r="G561" s="185"/>
    </row>
    <row r="562" spans="1:7" ht="17" x14ac:dyDescent="0.2">
      <c r="A562" s="282" t="s">
        <v>1070</v>
      </c>
      <c r="B562" s="275">
        <v>1</v>
      </c>
      <c r="C562" s="263">
        <v>0</v>
      </c>
      <c r="D562" s="293" t="s">
        <v>52</v>
      </c>
      <c r="G562" s="185"/>
    </row>
    <row r="563" spans="1:7" ht="17" x14ac:dyDescent="0.2">
      <c r="A563" s="282" t="s">
        <v>1070</v>
      </c>
      <c r="B563" s="275">
        <v>1</v>
      </c>
      <c r="C563" s="263">
        <v>0</v>
      </c>
      <c r="D563" s="293" t="s">
        <v>52</v>
      </c>
      <c r="G563" s="185"/>
    </row>
    <row r="564" spans="1:7" ht="17" x14ac:dyDescent="0.2">
      <c r="A564" s="282" t="s">
        <v>1070</v>
      </c>
      <c r="B564" s="275">
        <v>1</v>
      </c>
      <c r="C564" s="263">
        <v>0</v>
      </c>
      <c r="D564" s="293" t="s">
        <v>52</v>
      </c>
      <c r="G564" s="191" t="s">
        <v>302</v>
      </c>
    </row>
    <row r="565" spans="1:7" ht="17" x14ac:dyDescent="0.2">
      <c r="A565" s="282" t="s">
        <v>1070</v>
      </c>
      <c r="B565" s="275">
        <v>1</v>
      </c>
      <c r="C565" s="263">
        <v>0</v>
      </c>
      <c r="D565" s="294" t="s">
        <v>68</v>
      </c>
      <c r="G565" s="185"/>
    </row>
    <row r="566" spans="1:7" ht="17" x14ac:dyDescent="0.2">
      <c r="A566" s="282" t="s">
        <v>1070</v>
      </c>
      <c r="B566" s="275">
        <v>1</v>
      </c>
      <c r="C566" s="263">
        <v>0</v>
      </c>
      <c r="D566" s="293" t="s">
        <v>638</v>
      </c>
      <c r="G566" s="185"/>
    </row>
    <row r="567" spans="1:7" ht="17" x14ac:dyDescent="0.2">
      <c r="A567" s="282" t="s">
        <v>1070</v>
      </c>
      <c r="B567" s="275">
        <v>1</v>
      </c>
      <c r="C567" s="263">
        <v>0</v>
      </c>
      <c r="D567" s="293" t="s">
        <v>52</v>
      </c>
      <c r="G567" s="185"/>
    </row>
    <row r="568" spans="1:7" ht="17" x14ac:dyDescent="0.2">
      <c r="A568" s="282" t="s">
        <v>1070</v>
      </c>
      <c r="B568" s="275">
        <v>1</v>
      </c>
      <c r="C568" s="263">
        <v>0</v>
      </c>
      <c r="D568" s="293" t="s">
        <v>52</v>
      </c>
      <c r="G568" s="191" t="s">
        <v>58</v>
      </c>
    </row>
    <row r="569" spans="1:7" ht="17" x14ac:dyDescent="0.2">
      <c r="A569" s="282" t="s">
        <v>1070</v>
      </c>
      <c r="B569" s="275">
        <v>1</v>
      </c>
      <c r="C569" s="263">
        <v>0</v>
      </c>
      <c r="D569" s="293" t="s">
        <v>52</v>
      </c>
      <c r="G569" s="185"/>
    </row>
    <row r="570" spans="1:7" ht="17" x14ac:dyDescent="0.2">
      <c r="A570" s="282" t="s">
        <v>1070</v>
      </c>
      <c r="B570" s="275">
        <v>1</v>
      </c>
      <c r="C570" s="263">
        <v>0</v>
      </c>
      <c r="D570" s="293" t="s">
        <v>52</v>
      </c>
      <c r="G570" s="185"/>
    </row>
    <row r="571" spans="1:7" ht="17" x14ac:dyDescent="0.2">
      <c r="A571" s="282" t="s">
        <v>1070</v>
      </c>
      <c r="B571" s="275">
        <v>1</v>
      </c>
      <c r="C571" s="263">
        <v>0</v>
      </c>
      <c r="D571" s="293" t="s">
        <v>52</v>
      </c>
      <c r="G571" s="185"/>
    </row>
    <row r="572" spans="1:7" ht="17" x14ac:dyDescent="0.2">
      <c r="A572" s="282" t="s">
        <v>1070</v>
      </c>
      <c r="B572" s="275">
        <v>1</v>
      </c>
      <c r="C572" s="263">
        <v>0</v>
      </c>
      <c r="D572" s="293" t="s">
        <v>52</v>
      </c>
      <c r="G572" s="185"/>
    </row>
    <row r="573" spans="1:7" ht="17" x14ac:dyDescent="0.2">
      <c r="A573" s="282" t="s">
        <v>1070</v>
      </c>
      <c r="B573" s="275">
        <v>1</v>
      </c>
      <c r="C573" s="263">
        <v>0</v>
      </c>
      <c r="D573" s="293" t="s">
        <v>52</v>
      </c>
      <c r="G573" s="191" t="s">
        <v>58</v>
      </c>
    </row>
    <row r="574" spans="1:7" ht="17" x14ac:dyDescent="0.2">
      <c r="A574" s="282" t="s">
        <v>1070</v>
      </c>
      <c r="B574" s="275">
        <v>1</v>
      </c>
      <c r="C574" s="263">
        <v>0</v>
      </c>
      <c r="D574" s="293" t="s">
        <v>52</v>
      </c>
      <c r="G574" s="196" t="s">
        <v>58</v>
      </c>
    </row>
    <row r="575" spans="1:7" ht="17" x14ac:dyDescent="0.2">
      <c r="A575" s="282" t="s">
        <v>1070</v>
      </c>
      <c r="B575" s="275">
        <v>1</v>
      </c>
      <c r="C575" s="263">
        <v>0</v>
      </c>
      <c r="D575" s="293" t="s">
        <v>49</v>
      </c>
      <c r="G575" s="185"/>
    </row>
    <row r="576" spans="1:7" ht="17" x14ac:dyDescent="0.2">
      <c r="A576" s="282" t="s">
        <v>1070</v>
      </c>
      <c r="B576" s="275">
        <v>1</v>
      </c>
      <c r="C576" s="263">
        <v>0</v>
      </c>
      <c r="D576" s="294" t="s">
        <v>68</v>
      </c>
      <c r="G576" s="185"/>
    </row>
    <row r="577" spans="1:7" ht="17" x14ac:dyDescent="0.2">
      <c r="A577" s="282" t="s">
        <v>1070</v>
      </c>
      <c r="B577" s="275">
        <v>1</v>
      </c>
      <c r="C577" s="263">
        <v>0</v>
      </c>
      <c r="D577" s="293" t="s">
        <v>49</v>
      </c>
      <c r="G577" s="185"/>
    </row>
    <row r="578" spans="1:7" ht="17" x14ac:dyDescent="0.2">
      <c r="A578" s="282" t="s">
        <v>1070</v>
      </c>
      <c r="B578" s="275">
        <v>1</v>
      </c>
      <c r="C578" s="263">
        <v>0</v>
      </c>
      <c r="D578" s="293" t="s">
        <v>49</v>
      </c>
      <c r="G578" s="185"/>
    </row>
    <row r="579" spans="1:7" ht="17" x14ac:dyDescent="0.2">
      <c r="A579" s="282" t="s">
        <v>1070</v>
      </c>
      <c r="B579" s="275">
        <v>1</v>
      </c>
      <c r="C579" s="263">
        <v>0</v>
      </c>
      <c r="D579" s="293" t="s">
        <v>49</v>
      </c>
      <c r="G579" s="185"/>
    </row>
    <row r="580" spans="1:7" ht="17" x14ac:dyDescent="0.2">
      <c r="A580" s="282" t="s">
        <v>1070</v>
      </c>
      <c r="B580" s="275">
        <v>1</v>
      </c>
      <c r="C580" s="263">
        <v>0</v>
      </c>
      <c r="D580" s="293" t="s">
        <v>49</v>
      </c>
      <c r="G580" s="185"/>
    </row>
    <row r="581" spans="1:7" ht="17" x14ac:dyDescent="0.2">
      <c r="A581" s="282" t="s">
        <v>1070</v>
      </c>
      <c r="B581" s="275">
        <v>1</v>
      </c>
      <c r="C581" s="263">
        <v>0</v>
      </c>
      <c r="D581" s="293" t="s">
        <v>49</v>
      </c>
      <c r="G581" s="185"/>
    </row>
    <row r="582" spans="1:7" ht="17" x14ac:dyDescent="0.2">
      <c r="A582" s="282" t="s">
        <v>1070</v>
      </c>
      <c r="B582" s="275">
        <v>1</v>
      </c>
      <c r="C582" s="263">
        <v>0</v>
      </c>
      <c r="D582" s="293" t="s">
        <v>49</v>
      </c>
      <c r="G582" s="185"/>
    </row>
    <row r="583" spans="1:7" ht="17" x14ac:dyDescent="0.2">
      <c r="A583" s="282" t="s">
        <v>1070</v>
      </c>
      <c r="B583" s="275">
        <v>1</v>
      </c>
      <c r="C583" s="263">
        <v>0</v>
      </c>
      <c r="D583" s="294" t="s">
        <v>638</v>
      </c>
      <c r="G583" s="185"/>
    </row>
    <row r="584" spans="1:7" ht="17" x14ac:dyDescent="0.2">
      <c r="A584" s="282" t="s">
        <v>1070</v>
      </c>
      <c r="B584" s="275">
        <v>1</v>
      </c>
      <c r="C584" s="263">
        <v>0</v>
      </c>
      <c r="D584" s="293" t="s">
        <v>49</v>
      </c>
      <c r="G584" s="185"/>
    </row>
    <row r="585" spans="1:7" ht="17" x14ac:dyDescent="0.2">
      <c r="A585" s="282" t="s">
        <v>1070</v>
      </c>
      <c r="B585" s="275">
        <v>1</v>
      </c>
      <c r="C585" s="263">
        <v>0</v>
      </c>
      <c r="D585" s="293" t="s">
        <v>52</v>
      </c>
      <c r="G585" s="191" t="s">
        <v>58</v>
      </c>
    </row>
    <row r="586" spans="1:7" ht="17" x14ac:dyDescent="0.2">
      <c r="A586" s="282" t="s">
        <v>1070</v>
      </c>
      <c r="B586" s="275">
        <v>1</v>
      </c>
      <c r="C586" s="263">
        <v>0</v>
      </c>
      <c r="D586" s="293" t="s">
        <v>52</v>
      </c>
      <c r="G586" s="185"/>
    </row>
    <row r="587" spans="1:7" ht="17" x14ac:dyDescent="0.2">
      <c r="A587" s="282" t="s">
        <v>1070</v>
      </c>
      <c r="B587" s="275">
        <v>1</v>
      </c>
      <c r="C587" s="263">
        <v>0</v>
      </c>
      <c r="D587" s="293" t="s">
        <v>49</v>
      </c>
      <c r="G587" s="185"/>
    </row>
    <row r="588" spans="1:7" ht="17" x14ac:dyDescent="0.2">
      <c r="A588" s="282" t="s">
        <v>1070</v>
      </c>
      <c r="B588" s="275">
        <v>1</v>
      </c>
      <c r="C588" s="263">
        <v>0</v>
      </c>
      <c r="D588" s="293" t="s">
        <v>49</v>
      </c>
      <c r="G588" s="185"/>
    </row>
    <row r="589" spans="1:7" ht="17" x14ac:dyDescent="0.2">
      <c r="A589" s="282" t="s">
        <v>1070</v>
      </c>
      <c r="B589" s="275">
        <v>1</v>
      </c>
      <c r="C589" s="263">
        <v>0</v>
      </c>
      <c r="D589" s="293" t="s">
        <v>49</v>
      </c>
      <c r="G589" s="185"/>
    </row>
    <row r="590" spans="1:7" ht="17" x14ac:dyDescent="0.2">
      <c r="A590" s="282" t="s">
        <v>1070</v>
      </c>
      <c r="B590" s="275">
        <v>1</v>
      </c>
      <c r="C590" s="263">
        <v>0</v>
      </c>
      <c r="D590" s="293" t="s">
        <v>49</v>
      </c>
      <c r="G590" s="185"/>
    </row>
    <row r="591" spans="1:7" ht="17" x14ac:dyDescent="0.2">
      <c r="A591" s="282" t="s">
        <v>1070</v>
      </c>
      <c r="B591" s="275">
        <v>1</v>
      </c>
      <c r="C591" s="263">
        <v>0</v>
      </c>
      <c r="D591" s="293" t="s">
        <v>49</v>
      </c>
      <c r="G591" s="185"/>
    </row>
    <row r="592" spans="1:7" ht="17" x14ac:dyDescent="0.2">
      <c r="A592" s="282" t="s">
        <v>1070</v>
      </c>
      <c r="B592" s="275">
        <v>1</v>
      </c>
      <c r="C592" s="263">
        <v>0</v>
      </c>
      <c r="D592" s="295" t="s">
        <v>52</v>
      </c>
      <c r="G592" s="196" t="s">
        <v>58</v>
      </c>
    </row>
    <row r="593" spans="1:7" ht="17" x14ac:dyDescent="0.2">
      <c r="A593" s="282" t="s">
        <v>1070</v>
      </c>
      <c r="B593" s="275">
        <v>1</v>
      </c>
      <c r="C593" s="263">
        <v>0</v>
      </c>
      <c r="D593" s="293" t="s">
        <v>52</v>
      </c>
      <c r="G593" s="185"/>
    </row>
    <row r="594" spans="1:7" ht="17" x14ac:dyDescent="0.2">
      <c r="A594" s="282" t="s">
        <v>1070</v>
      </c>
      <c r="B594" s="275">
        <v>1</v>
      </c>
      <c r="C594" s="263">
        <v>0</v>
      </c>
      <c r="D594" s="293" t="s">
        <v>52</v>
      </c>
      <c r="G594" s="191" t="s">
        <v>340</v>
      </c>
    </row>
    <row r="595" spans="1:7" ht="17" x14ac:dyDescent="0.2">
      <c r="A595" s="282" t="s">
        <v>1070</v>
      </c>
      <c r="B595" s="275">
        <v>1</v>
      </c>
      <c r="C595" s="263">
        <v>0</v>
      </c>
      <c r="D595" s="293" t="s">
        <v>52</v>
      </c>
      <c r="G595" s="185"/>
    </row>
    <row r="596" spans="1:7" ht="17" x14ac:dyDescent="0.2">
      <c r="A596" s="282" t="s">
        <v>1070</v>
      </c>
      <c r="B596" s="275">
        <v>1</v>
      </c>
      <c r="C596" s="263">
        <v>0</v>
      </c>
      <c r="D596" s="293" t="s">
        <v>52</v>
      </c>
      <c r="G596" s="191" t="s">
        <v>58</v>
      </c>
    </row>
    <row r="597" spans="1:7" ht="17" x14ac:dyDescent="0.2">
      <c r="A597" s="282" t="s">
        <v>1070</v>
      </c>
      <c r="B597" s="275">
        <v>1</v>
      </c>
      <c r="C597" s="263">
        <v>0</v>
      </c>
      <c r="D597" s="293" t="s">
        <v>52</v>
      </c>
      <c r="G597" s="185"/>
    </row>
    <row r="598" spans="1:7" ht="17" x14ac:dyDescent="0.2">
      <c r="A598" s="282" t="s">
        <v>1070</v>
      </c>
      <c r="B598" s="275">
        <v>1</v>
      </c>
      <c r="C598" s="263">
        <v>0</v>
      </c>
      <c r="D598" s="293" t="s">
        <v>49</v>
      </c>
      <c r="G598" s="185"/>
    </row>
    <row r="599" spans="1:7" ht="15" x14ac:dyDescent="0.2">
      <c r="A599" s="270" t="s">
        <v>1072</v>
      </c>
      <c r="B599" s="275">
        <v>0</v>
      </c>
      <c r="C599" s="263">
        <v>0</v>
      </c>
      <c r="D599" s="190" t="s">
        <v>52</v>
      </c>
    </row>
    <row r="600" spans="1:7" ht="15" x14ac:dyDescent="0.2">
      <c r="A600" s="270" t="s">
        <v>1072</v>
      </c>
      <c r="B600" s="275">
        <v>0</v>
      </c>
      <c r="C600" s="263">
        <v>0</v>
      </c>
      <c r="D600" s="190" t="s">
        <v>52</v>
      </c>
    </row>
    <row r="601" spans="1:7" ht="15" x14ac:dyDescent="0.2">
      <c r="A601" s="270" t="s">
        <v>1072</v>
      </c>
      <c r="B601" s="275">
        <v>0</v>
      </c>
      <c r="C601" s="263">
        <v>0</v>
      </c>
      <c r="D601" s="190" t="s">
        <v>52</v>
      </c>
    </row>
    <row r="602" spans="1:7" ht="15" x14ac:dyDescent="0.2">
      <c r="A602" s="270" t="s">
        <v>1072</v>
      </c>
      <c r="B602" s="275">
        <v>0</v>
      </c>
      <c r="C602" s="263">
        <v>0</v>
      </c>
      <c r="D602" s="190" t="s">
        <v>52</v>
      </c>
    </row>
    <row r="603" spans="1:7" ht="15" x14ac:dyDescent="0.2">
      <c r="A603" s="270" t="s">
        <v>1072</v>
      </c>
      <c r="B603" s="275">
        <v>0</v>
      </c>
      <c r="C603" s="263">
        <v>0</v>
      </c>
      <c r="D603" s="190" t="s">
        <v>52</v>
      </c>
    </row>
    <row r="604" spans="1:7" ht="15" x14ac:dyDescent="0.2">
      <c r="A604" s="270" t="s">
        <v>1072</v>
      </c>
      <c r="B604" s="275">
        <v>0</v>
      </c>
      <c r="C604" s="263">
        <v>0</v>
      </c>
      <c r="D604" s="190" t="s">
        <v>52</v>
      </c>
    </row>
    <row r="605" spans="1:7" ht="15" x14ac:dyDescent="0.2">
      <c r="A605" s="270" t="s">
        <v>1072</v>
      </c>
      <c r="B605" s="275">
        <v>0</v>
      </c>
      <c r="C605" s="263">
        <v>0</v>
      </c>
      <c r="D605" s="190" t="s">
        <v>52</v>
      </c>
    </row>
    <row r="606" spans="1:7" ht="15" x14ac:dyDescent="0.2">
      <c r="A606" s="270" t="s">
        <v>1072</v>
      </c>
      <c r="B606" s="275">
        <v>0</v>
      </c>
      <c r="C606" s="263">
        <v>1</v>
      </c>
      <c r="D606" s="190" t="s">
        <v>52</v>
      </c>
    </row>
    <row r="607" spans="1:7" ht="17" x14ac:dyDescent="0.2">
      <c r="A607" t="s">
        <v>1074</v>
      </c>
      <c r="B607" s="275">
        <v>1</v>
      </c>
      <c r="C607" s="263">
        <v>1</v>
      </c>
      <c r="D607" s="187" t="s">
        <v>49</v>
      </c>
      <c r="G607" s="188"/>
    </row>
    <row r="608" spans="1:7" ht="17" x14ac:dyDescent="0.2">
      <c r="A608" t="s">
        <v>1074</v>
      </c>
      <c r="B608" s="275">
        <v>1</v>
      </c>
      <c r="C608" s="263">
        <v>1</v>
      </c>
      <c r="D608" s="187" t="s">
        <v>49</v>
      </c>
      <c r="G608" s="185"/>
    </row>
    <row r="609" spans="1:7" ht="17" x14ac:dyDescent="0.2">
      <c r="A609" t="s">
        <v>1074</v>
      </c>
      <c r="B609" s="275">
        <v>1</v>
      </c>
      <c r="C609" s="263">
        <v>1</v>
      </c>
      <c r="D609" s="187" t="s">
        <v>49</v>
      </c>
      <c r="G609" s="185"/>
    </row>
    <row r="610" spans="1:7" ht="17" x14ac:dyDescent="0.2">
      <c r="A610" t="s">
        <v>1074</v>
      </c>
      <c r="B610" s="275">
        <v>1</v>
      </c>
      <c r="C610" s="263">
        <v>1</v>
      </c>
      <c r="D610" s="187" t="s">
        <v>49</v>
      </c>
      <c r="G610" s="185"/>
    </row>
    <row r="611" spans="1:7" ht="17" x14ac:dyDescent="0.2">
      <c r="A611" t="s">
        <v>1074</v>
      </c>
      <c r="B611" s="275">
        <v>1</v>
      </c>
      <c r="C611" s="263">
        <v>1</v>
      </c>
      <c r="D611" s="187" t="s">
        <v>49</v>
      </c>
      <c r="G611" s="185"/>
    </row>
    <row r="612" spans="1:7" ht="17" x14ac:dyDescent="0.2">
      <c r="A612" t="s">
        <v>1074</v>
      </c>
      <c r="B612" s="275">
        <v>1</v>
      </c>
      <c r="C612" s="263">
        <v>1</v>
      </c>
      <c r="D612" s="181" t="s">
        <v>68</v>
      </c>
      <c r="G612" s="185"/>
    </row>
    <row r="613" spans="1:7" ht="17" x14ac:dyDescent="0.2">
      <c r="A613" t="s">
        <v>1074</v>
      </c>
      <c r="B613" s="275">
        <v>1</v>
      </c>
      <c r="C613" s="263">
        <v>1</v>
      </c>
      <c r="D613" s="181" t="s">
        <v>638</v>
      </c>
      <c r="G613" s="185"/>
    </row>
    <row r="614" spans="1:7" ht="17" x14ac:dyDescent="0.2">
      <c r="A614" t="s">
        <v>1074</v>
      </c>
      <c r="B614" s="275">
        <v>1</v>
      </c>
      <c r="C614" s="263">
        <v>1</v>
      </c>
      <c r="D614" s="181" t="s">
        <v>108</v>
      </c>
      <c r="G614" s="185"/>
    </row>
    <row r="615" spans="1:7" ht="17" x14ac:dyDescent="0.2">
      <c r="A615" t="s">
        <v>1074</v>
      </c>
      <c r="B615" s="275">
        <v>1</v>
      </c>
      <c r="C615" s="263">
        <v>1</v>
      </c>
      <c r="D615" s="187" t="s">
        <v>49</v>
      </c>
      <c r="G615" s="185"/>
    </row>
    <row r="616" spans="1:7" ht="17" x14ac:dyDescent="0.2">
      <c r="A616" t="s">
        <v>1074</v>
      </c>
      <c r="B616" s="275">
        <v>1</v>
      </c>
      <c r="C616" s="263">
        <v>1</v>
      </c>
      <c r="D616" s="181" t="s">
        <v>52</v>
      </c>
      <c r="G616" s="185"/>
    </row>
    <row r="617" spans="1:7" ht="17" x14ac:dyDescent="0.2">
      <c r="A617" t="s">
        <v>1074</v>
      </c>
      <c r="B617" s="275">
        <v>1</v>
      </c>
      <c r="C617" s="263">
        <v>1</v>
      </c>
      <c r="D617" s="181" t="s">
        <v>52</v>
      </c>
      <c r="G617" s="185"/>
    </row>
    <row r="618" spans="1:7" ht="17" x14ac:dyDescent="0.2">
      <c r="A618" t="s">
        <v>1074</v>
      </c>
      <c r="B618" s="275">
        <v>1</v>
      </c>
      <c r="C618" s="263">
        <v>1</v>
      </c>
      <c r="D618" s="181" t="s">
        <v>52</v>
      </c>
      <c r="G618" s="181" t="s">
        <v>58</v>
      </c>
    </row>
    <row r="619" spans="1:7" ht="17" x14ac:dyDescent="0.2">
      <c r="A619" t="s">
        <v>1074</v>
      </c>
      <c r="B619" s="275">
        <v>1</v>
      </c>
      <c r="C619" s="263">
        <v>1</v>
      </c>
      <c r="D619" s="181" t="s">
        <v>52</v>
      </c>
      <c r="G619" s="181" t="s">
        <v>58</v>
      </c>
    </row>
    <row r="620" spans="1:7" ht="17" x14ac:dyDescent="0.2">
      <c r="A620" t="s">
        <v>1074</v>
      </c>
      <c r="B620" s="275">
        <v>1</v>
      </c>
      <c r="C620" s="263">
        <v>1</v>
      </c>
      <c r="D620" s="181" t="s">
        <v>166</v>
      </c>
      <c r="G620" s="181" t="s">
        <v>305</v>
      </c>
    </row>
    <row r="621" spans="1:7" ht="17" x14ac:dyDescent="0.2">
      <c r="A621" t="s">
        <v>1074</v>
      </c>
      <c r="B621" s="275">
        <v>1</v>
      </c>
      <c r="C621" s="263">
        <v>1</v>
      </c>
      <c r="D621" s="181" t="s">
        <v>108</v>
      </c>
      <c r="G621" s="185"/>
    </row>
    <row r="622" spans="1:7" ht="17" x14ac:dyDescent="0.2">
      <c r="A622" t="s">
        <v>1074</v>
      </c>
      <c r="B622" s="275">
        <v>1</v>
      </c>
      <c r="C622" s="263">
        <v>1</v>
      </c>
      <c r="D622" s="181" t="s">
        <v>52</v>
      </c>
      <c r="G622" s="181" t="s">
        <v>58</v>
      </c>
    </row>
    <row r="623" spans="1:7" ht="17" x14ac:dyDescent="0.2">
      <c r="A623" t="s">
        <v>1074</v>
      </c>
      <c r="B623" s="275">
        <v>1</v>
      </c>
      <c r="C623" s="263">
        <v>1</v>
      </c>
      <c r="D623" s="181" t="s">
        <v>52</v>
      </c>
      <c r="G623" s="181" t="s">
        <v>305</v>
      </c>
    </row>
    <row r="624" spans="1:7" ht="17" x14ac:dyDescent="0.2">
      <c r="A624" t="s">
        <v>1074</v>
      </c>
      <c r="B624" s="275">
        <v>1</v>
      </c>
      <c r="C624" s="263">
        <v>1</v>
      </c>
      <c r="D624" s="181" t="s">
        <v>52</v>
      </c>
      <c r="G624" s="185"/>
    </row>
    <row r="625" spans="1:7" ht="17" x14ac:dyDescent="0.2">
      <c r="A625" t="s">
        <v>1074</v>
      </c>
      <c r="B625" s="275">
        <v>1</v>
      </c>
      <c r="C625" s="263">
        <v>1</v>
      </c>
      <c r="D625" s="181" t="s">
        <v>52</v>
      </c>
      <c r="G625" s="181" t="s">
        <v>58</v>
      </c>
    </row>
    <row r="626" spans="1:7" ht="17" x14ac:dyDescent="0.2">
      <c r="A626" t="s">
        <v>1074</v>
      </c>
      <c r="B626" s="275">
        <v>1</v>
      </c>
      <c r="C626" s="263">
        <v>1</v>
      </c>
      <c r="D626" s="181" t="s">
        <v>52</v>
      </c>
      <c r="G626" s="181" t="s">
        <v>305</v>
      </c>
    </row>
    <row r="627" spans="1:7" ht="17" x14ac:dyDescent="0.2">
      <c r="A627" t="s">
        <v>1074</v>
      </c>
      <c r="B627" s="275">
        <v>1</v>
      </c>
      <c r="C627" s="263">
        <v>1</v>
      </c>
      <c r="D627" s="181" t="s">
        <v>108</v>
      </c>
      <c r="G627" s="181" t="s">
        <v>331</v>
      </c>
    </row>
    <row r="628" spans="1:7" ht="17" x14ac:dyDescent="0.2">
      <c r="A628" t="s">
        <v>1074</v>
      </c>
      <c r="B628" s="275">
        <v>1</v>
      </c>
      <c r="C628" s="263">
        <v>1</v>
      </c>
      <c r="D628" s="181" t="s">
        <v>52</v>
      </c>
      <c r="G628" s="181" t="s">
        <v>58</v>
      </c>
    </row>
    <row r="629" spans="1:7" ht="17" x14ac:dyDescent="0.2">
      <c r="A629" t="s">
        <v>1074</v>
      </c>
      <c r="B629" s="275">
        <v>1</v>
      </c>
      <c r="C629" s="263">
        <v>1</v>
      </c>
      <c r="D629" s="181" t="s">
        <v>52</v>
      </c>
      <c r="G629" s="181" t="s">
        <v>58</v>
      </c>
    </row>
    <row r="630" spans="1:7" ht="17" x14ac:dyDescent="0.2">
      <c r="A630" t="s">
        <v>1074</v>
      </c>
      <c r="B630" s="275">
        <v>1</v>
      </c>
      <c r="C630" s="263">
        <v>1</v>
      </c>
      <c r="D630" s="181" t="s">
        <v>52</v>
      </c>
      <c r="G630" s="185"/>
    </row>
    <row r="631" spans="1:7" ht="17" x14ac:dyDescent="0.2">
      <c r="A631" t="s">
        <v>1074</v>
      </c>
      <c r="B631" s="275">
        <v>1</v>
      </c>
      <c r="C631" s="263">
        <v>1</v>
      </c>
      <c r="D631" s="181" t="s">
        <v>52</v>
      </c>
      <c r="G631" s="185"/>
    </row>
    <row r="632" spans="1:7" ht="17" x14ac:dyDescent="0.2">
      <c r="A632" t="s">
        <v>1074</v>
      </c>
      <c r="B632" s="275">
        <v>1</v>
      </c>
      <c r="C632" s="263">
        <v>1</v>
      </c>
      <c r="D632" s="181" t="s">
        <v>52</v>
      </c>
      <c r="G632" s="181" t="s">
        <v>58</v>
      </c>
    </row>
    <row r="633" spans="1:7" ht="17" x14ac:dyDescent="0.2">
      <c r="A633" t="s">
        <v>1074</v>
      </c>
      <c r="B633" s="275">
        <v>1</v>
      </c>
      <c r="C633" s="263">
        <v>1</v>
      </c>
      <c r="D633" s="181" t="s">
        <v>49</v>
      </c>
      <c r="G633" s="181" t="s">
        <v>637</v>
      </c>
    </row>
    <row r="634" spans="1:7" ht="17" x14ac:dyDescent="0.2">
      <c r="A634" t="s">
        <v>1074</v>
      </c>
      <c r="B634" s="275">
        <v>1</v>
      </c>
      <c r="C634" s="263">
        <v>1</v>
      </c>
      <c r="D634" s="181" t="s">
        <v>52</v>
      </c>
      <c r="G634" s="181" t="s">
        <v>637</v>
      </c>
    </row>
    <row r="635" spans="1:7" ht="17" x14ac:dyDescent="0.2">
      <c r="A635" t="s">
        <v>1074</v>
      </c>
      <c r="B635" s="275">
        <v>1</v>
      </c>
      <c r="C635" s="263">
        <v>1</v>
      </c>
      <c r="D635" s="181" t="s">
        <v>52</v>
      </c>
      <c r="G635" s="181" t="s">
        <v>58</v>
      </c>
    </row>
    <row r="636" spans="1:7" ht="17" x14ac:dyDescent="0.2">
      <c r="A636" t="s">
        <v>1074</v>
      </c>
      <c r="B636" s="275">
        <v>1</v>
      </c>
      <c r="C636" s="263">
        <v>1</v>
      </c>
      <c r="D636" s="181" t="s">
        <v>108</v>
      </c>
      <c r="G636" s="185"/>
    </row>
    <row r="637" spans="1:7" ht="17" x14ac:dyDescent="0.2">
      <c r="A637" t="s">
        <v>1074</v>
      </c>
      <c r="B637" s="275">
        <v>1</v>
      </c>
      <c r="C637" s="263">
        <v>1</v>
      </c>
      <c r="D637" s="181" t="s">
        <v>52</v>
      </c>
      <c r="G637" s="185"/>
    </row>
    <row r="638" spans="1:7" ht="17" x14ac:dyDescent="0.2">
      <c r="A638" t="s">
        <v>1074</v>
      </c>
      <c r="B638" s="275">
        <v>1</v>
      </c>
      <c r="C638" s="263">
        <v>1</v>
      </c>
      <c r="D638" s="181" t="s">
        <v>638</v>
      </c>
      <c r="G638" s="185"/>
    </row>
    <row r="639" spans="1:7" ht="17" x14ac:dyDescent="0.2">
      <c r="A639" t="s">
        <v>1074</v>
      </c>
      <c r="B639" s="275">
        <v>1</v>
      </c>
      <c r="C639" s="263">
        <v>1</v>
      </c>
      <c r="D639" s="181" t="s">
        <v>108</v>
      </c>
      <c r="G639" s="185"/>
    </row>
    <row r="640" spans="1:7" ht="17" x14ac:dyDescent="0.2">
      <c r="A640" t="s">
        <v>1074</v>
      </c>
      <c r="B640" s="275">
        <v>1</v>
      </c>
      <c r="C640" s="263">
        <v>1</v>
      </c>
      <c r="D640" s="181" t="s">
        <v>52</v>
      </c>
      <c r="G640" s="185"/>
    </row>
    <row r="641" spans="1:7" ht="17" x14ac:dyDescent="0.2">
      <c r="A641" t="s">
        <v>1074</v>
      </c>
      <c r="B641" s="275">
        <v>1</v>
      </c>
      <c r="C641" s="263">
        <v>1</v>
      </c>
      <c r="D641" s="181" t="s">
        <v>108</v>
      </c>
      <c r="G641" s="185"/>
    </row>
    <row r="642" spans="1:7" ht="17" x14ac:dyDescent="0.2">
      <c r="A642" t="s">
        <v>1074</v>
      </c>
      <c r="B642" s="275">
        <v>1</v>
      </c>
      <c r="C642" s="263">
        <v>1</v>
      </c>
      <c r="D642" s="181" t="s">
        <v>108</v>
      </c>
      <c r="G642" s="181" t="s">
        <v>637</v>
      </c>
    </row>
    <row r="643" spans="1:7" ht="17" x14ac:dyDescent="0.2">
      <c r="A643" t="s">
        <v>1074</v>
      </c>
      <c r="B643" s="275">
        <v>1</v>
      </c>
      <c r="C643" s="263">
        <v>1</v>
      </c>
      <c r="D643" s="181" t="s">
        <v>108</v>
      </c>
      <c r="G643" s="185"/>
    </row>
    <row r="644" spans="1:7" ht="17" x14ac:dyDescent="0.2">
      <c r="A644" t="s">
        <v>1074</v>
      </c>
      <c r="B644" s="275">
        <v>1</v>
      </c>
      <c r="C644" s="263">
        <v>1</v>
      </c>
      <c r="D644" s="181" t="s">
        <v>108</v>
      </c>
      <c r="G644" s="185"/>
    </row>
    <row r="645" spans="1:7" ht="17" x14ac:dyDescent="0.2">
      <c r="A645" t="s">
        <v>1074</v>
      </c>
      <c r="B645" s="275">
        <v>1</v>
      </c>
      <c r="C645" s="263">
        <v>1</v>
      </c>
      <c r="D645" s="181" t="s">
        <v>108</v>
      </c>
      <c r="G645" s="181" t="s">
        <v>58</v>
      </c>
    </row>
    <row r="646" spans="1:7" ht="17" x14ac:dyDescent="0.2">
      <c r="A646" t="s">
        <v>1074</v>
      </c>
      <c r="B646" s="275">
        <v>1</v>
      </c>
      <c r="C646" s="263">
        <v>1</v>
      </c>
      <c r="D646" s="181" t="s">
        <v>52</v>
      </c>
      <c r="G646" s="185"/>
    </row>
    <row r="647" spans="1:7" ht="17" x14ac:dyDescent="0.2">
      <c r="A647" t="s">
        <v>1074</v>
      </c>
      <c r="B647" s="275">
        <v>1</v>
      </c>
      <c r="C647" s="263">
        <v>1</v>
      </c>
      <c r="D647" s="181" t="s">
        <v>52</v>
      </c>
      <c r="G647" s="185"/>
    </row>
    <row r="648" spans="1:7" ht="17" x14ac:dyDescent="0.2">
      <c r="A648" t="s">
        <v>1074</v>
      </c>
      <c r="B648" s="275">
        <v>1</v>
      </c>
      <c r="C648" s="263">
        <v>1</v>
      </c>
      <c r="D648" s="181" t="s">
        <v>108</v>
      </c>
      <c r="G648" s="185"/>
    </row>
    <row r="649" spans="1:7" ht="17" x14ac:dyDescent="0.2">
      <c r="A649" t="s">
        <v>1074</v>
      </c>
      <c r="B649" s="275">
        <v>1</v>
      </c>
      <c r="C649" s="263">
        <v>1</v>
      </c>
      <c r="D649" s="181" t="s">
        <v>49</v>
      </c>
      <c r="G649" s="181" t="s">
        <v>637</v>
      </c>
    </row>
    <row r="650" spans="1:7" ht="17" x14ac:dyDescent="0.2">
      <c r="A650" t="s">
        <v>1074</v>
      </c>
      <c r="B650" s="275">
        <v>1</v>
      </c>
      <c r="C650" s="263">
        <v>1</v>
      </c>
      <c r="D650" s="181" t="s">
        <v>52</v>
      </c>
      <c r="G650" s="185"/>
    </row>
    <row r="651" spans="1:7" ht="17" x14ac:dyDescent="0.2">
      <c r="A651" t="s">
        <v>1074</v>
      </c>
      <c r="B651" s="275">
        <v>1</v>
      </c>
      <c r="C651" s="263">
        <v>1</v>
      </c>
      <c r="D651" s="181" t="s">
        <v>52</v>
      </c>
      <c r="G651" s="185"/>
    </row>
    <row r="652" spans="1:7" ht="17" x14ac:dyDescent="0.2">
      <c r="A652" t="s">
        <v>1074</v>
      </c>
      <c r="B652" s="275">
        <v>1</v>
      </c>
      <c r="C652" s="263">
        <v>1</v>
      </c>
      <c r="D652" s="181" t="s">
        <v>166</v>
      </c>
      <c r="G652" s="181" t="s">
        <v>58</v>
      </c>
    </row>
    <row r="653" spans="1:7" ht="17" x14ac:dyDescent="0.2">
      <c r="A653" t="s">
        <v>1074</v>
      </c>
      <c r="B653" s="275">
        <v>1</v>
      </c>
      <c r="C653" s="263">
        <v>1</v>
      </c>
      <c r="D653" s="181" t="s">
        <v>52</v>
      </c>
      <c r="G653" s="185"/>
    </row>
    <row r="654" spans="1:7" ht="17" x14ac:dyDescent="0.2">
      <c r="A654" t="s">
        <v>1074</v>
      </c>
      <c r="B654" s="275">
        <v>1</v>
      </c>
      <c r="C654" s="263">
        <v>1</v>
      </c>
      <c r="D654" s="181" t="s">
        <v>52</v>
      </c>
      <c r="G654" s="181" t="s">
        <v>58</v>
      </c>
    </row>
    <row r="655" spans="1:7" ht="17" x14ac:dyDescent="0.2">
      <c r="A655" t="s">
        <v>1074</v>
      </c>
      <c r="B655" s="275">
        <v>1</v>
      </c>
      <c r="C655" s="263">
        <v>1</v>
      </c>
      <c r="D655" s="181" t="s">
        <v>52</v>
      </c>
      <c r="G655" s="181" t="s">
        <v>637</v>
      </c>
    </row>
    <row r="656" spans="1:7" ht="17" x14ac:dyDescent="0.2">
      <c r="A656" t="s">
        <v>1074</v>
      </c>
      <c r="B656" s="275">
        <v>1</v>
      </c>
      <c r="C656" s="263">
        <v>1</v>
      </c>
      <c r="D656" s="181" t="s">
        <v>638</v>
      </c>
      <c r="G656" s="181"/>
    </row>
    <row r="657" spans="1:7" ht="17" x14ac:dyDescent="0.2">
      <c r="A657" t="s">
        <v>1074</v>
      </c>
      <c r="B657" s="275">
        <v>1</v>
      </c>
      <c r="C657" s="263">
        <v>1</v>
      </c>
      <c r="D657" s="181" t="s">
        <v>638</v>
      </c>
      <c r="G657" s="185"/>
    </row>
    <row r="658" spans="1:7" ht="17" x14ac:dyDescent="0.2">
      <c r="A658" t="s">
        <v>1074</v>
      </c>
      <c r="B658" s="275">
        <v>1</v>
      </c>
      <c r="C658" s="263">
        <v>1</v>
      </c>
      <c r="D658" s="181" t="s">
        <v>638</v>
      </c>
      <c r="G658" s="185"/>
    </row>
    <row r="659" spans="1:7" ht="17" x14ac:dyDescent="0.2">
      <c r="A659" t="s">
        <v>1074</v>
      </c>
      <c r="B659" s="275">
        <v>1</v>
      </c>
      <c r="C659" s="263">
        <v>1</v>
      </c>
      <c r="D659" s="181" t="s">
        <v>52</v>
      </c>
      <c r="G659" s="181" t="s">
        <v>58</v>
      </c>
    </row>
    <row r="660" spans="1:7" ht="17" x14ac:dyDescent="0.2">
      <c r="A660" t="s">
        <v>1074</v>
      </c>
      <c r="B660" s="275">
        <v>1</v>
      </c>
      <c r="C660" s="263">
        <v>1</v>
      </c>
      <c r="D660" s="181" t="s">
        <v>52</v>
      </c>
      <c r="G660" s="185"/>
    </row>
    <row r="661" spans="1:7" ht="17" x14ac:dyDescent="0.2">
      <c r="A661" t="s">
        <v>1074</v>
      </c>
      <c r="B661" s="275">
        <v>1</v>
      </c>
      <c r="C661" s="263">
        <v>1</v>
      </c>
      <c r="D661" s="181" t="s">
        <v>638</v>
      </c>
      <c r="G661" s="181" t="s">
        <v>58</v>
      </c>
    </row>
    <row r="662" spans="1:7" ht="17" x14ac:dyDescent="0.2">
      <c r="A662" t="s">
        <v>1074</v>
      </c>
      <c r="B662" s="275">
        <v>1</v>
      </c>
      <c r="C662" s="263">
        <v>1</v>
      </c>
      <c r="D662" s="181" t="s">
        <v>52</v>
      </c>
      <c r="G662" s="185"/>
    </row>
    <row r="663" spans="1:7" ht="17" x14ac:dyDescent="0.2">
      <c r="A663" t="s">
        <v>1074</v>
      </c>
      <c r="B663" s="275">
        <v>1</v>
      </c>
      <c r="C663" s="263">
        <v>1</v>
      </c>
      <c r="D663" s="181" t="s">
        <v>52</v>
      </c>
      <c r="G663" s="181" t="s">
        <v>58</v>
      </c>
    </row>
    <row r="664" spans="1:7" ht="17" x14ac:dyDescent="0.2">
      <c r="A664" t="s">
        <v>1074</v>
      </c>
      <c r="B664" s="275">
        <v>1</v>
      </c>
      <c r="C664" s="263">
        <v>1</v>
      </c>
      <c r="D664" s="181" t="s">
        <v>49</v>
      </c>
      <c r="G664" s="181"/>
    </row>
    <row r="665" spans="1:7" ht="17" x14ac:dyDescent="0.2">
      <c r="A665" t="s">
        <v>1074</v>
      </c>
      <c r="B665" s="275">
        <v>1</v>
      </c>
      <c r="C665" s="263">
        <v>1</v>
      </c>
      <c r="D665" s="181" t="s">
        <v>49</v>
      </c>
      <c r="G665" s="181"/>
    </row>
    <row r="666" spans="1:7" ht="17" x14ac:dyDescent="0.2">
      <c r="A666" t="s">
        <v>1074</v>
      </c>
      <c r="B666" s="275">
        <v>1</v>
      </c>
      <c r="C666" s="263">
        <v>1</v>
      </c>
      <c r="D666" s="181" t="s">
        <v>49</v>
      </c>
      <c r="G666" s="181"/>
    </row>
    <row r="667" spans="1:7" ht="17" x14ac:dyDescent="0.2">
      <c r="A667" t="s">
        <v>1074</v>
      </c>
      <c r="B667" s="275">
        <v>1</v>
      </c>
      <c r="C667" s="263">
        <v>1</v>
      </c>
      <c r="D667" s="181" t="s">
        <v>49</v>
      </c>
      <c r="G667" s="181"/>
    </row>
    <row r="668" spans="1:7" ht="17" x14ac:dyDescent="0.2">
      <c r="A668" t="s">
        <v>1074</v>
      </c>
      <c r="B668" s="275">
        <v>1</v>
      </c>
      <c r="C668" s="263">
        <v>1</v>
      </c>
      <c r="D668" s="181" t="s">
        <v>49</v>
      </c>
      <c r="G668" s="181"/>
    </row>
    <row r="669" spans="1:7" ht="17" x14ac:dyDescent="0.2">
      <c r="A669" t="s">
        <v>1074</v>
      </c>
      <c r="B669" s="275">
        <v>1</v>
      </c>
      <c r="C669" s="263">
        <v>1</v>
      </c>
      <c r="D669" s="181" t="s">
        <v>52</v>
      </c>
      <c r="G669" s="181"/>
    </row>
    <row r="670" spans="1:7" ht="17" x14ac:dyDescent="0.2">
      <c r="A670" t="s">
        <v>1074</v>
      </c>
      <c r="B670" s="275">
        <v>1</v>
      </c>
      <c r="C670" s="263">
        <v>1</v>
      </c>
      <c r="D670" s="181" t="s">
        <v>49</v>
      </c>
      <c r="G670" s="185"/>
    </row>
    <row r="671" spans="1:7" ht="17" x14ac:dyDescent="0.2">
      <c r="A671" t="s">
        <v>1074</v>
      </c>
      <c r="B671" s="275">
        <v>1</v>
      </c>
      <c r="C671" s="263">
        <v>1</v>
      </c>
      <c r="D671" s="181" t="s">
        <v>108</v>
      </c>
      <c r="G671" s="185"/>
    </row>
    <row r="672" spans="1:7" ht="17" x14ac:dyDescent="0.2">
      <c r="A672" t="s">
        <v>1074</v>
      </c>
      <c r="B672" s="275">
        <v>1</v>
      </c>
      <c r="C672" s="263">
        <v>1</v>
      </c>
      <c r="D672" s="181" t="s">
        <v>108</v>
      </c>
      <c r="G672" s="181" t="s">
        <v>58</v>
      </c>
    </row>
    <row r="673" spans="1:7" ht="17" x14ac:dyDescent="0.2">
      <c r="A673" t="s">
        <v>1074</v>
      </c>
      <c r="B673" s="275">
        <v>1</v>
      </c>
      <c r="C673" s="263">
        <v>1</v>
      </c>
      <c r="D673" s="181" t="s">
        <v>108</v>
      </c>
      <c r="G673" s="185"/>
    </row>
    <row r="674" spans="1:7" ht="17" x14ac:dyDescent="0.2">
      <c r="A674" t="s">
        <v>1074</v>
      </c>
      <c r="B674" s="275">
        <v>1</v>
      </c>
      <c r="C674" s="263">
        <v>1</v>
      </c>
      <c r="D674" s="181" t="s">
        <v>108</v>
      </c>
      <c r="G674" s="185"/>
    </row>
    <row r="675" spans="1:7" ht="17" x14ac:dyDescent="0.2">
      <c r="A675" t="s">
        <v>1074</v>
      </c>
      <c r="B675" s="275">
        <v>1</v>
      </c>
      <c r="C675" s="263">
        <v>1</v>
      </c>
      <c r="D675" s="181" t="s">
        <v>638</v>
      </c>
      <c r="G675" s="185"/>
    </row>
    <row r="676" spans="1:7" ht="17" x14ac:dyDescent="0.2">
      <c r="A676" t="s">
        <v>1074</v>
      </c>
      <c r="B676" s="275">
        <v>1</v>
      </c>
      <c r="C676" s="263">
        <v>1</v>
      </c>
      <c r="D676" s="181" t="s">
        <v>638</v>
      </c>
      <c r="G676" s="185"/>
    </row>
    <row r="677" spans="1:7" ht="17" x14ac:dyDescent="0.2">
      <c r="A677" t="s">
        <v>1074</v>
      </c>
      <c r="B677" s="275">
        <v>1</v>
      </c>
      <c r="C677" s="263">
        <v>1</v>
      </c>
      <c r="D677" s="181" t="s">
        <v>638</v>
      </c>
      <c r="G677" s="181"/>
    </row>
    <row r="678" spans="1:7" ht="17" x14ac:dyDescent="0.2">
      <c r="A678" t="s">
        <v>1074</v>
      </c>
      <c r="B678" s="275">
        <v>1</v>
      </c>
      <c r="C678" s="263">
        <v>1</v>
      </c>
      <c r="D678" s="181" t="s">
        <v>638</v>
      </c>
      <c r="G678" s="181"/>
    </row>
    <row r="679" spans="1:7" ht="17" x14ac:dyDescent="0.2">
      <c r="A679" t="s">
        <v>1074</v>
      </c>
      <c r="B679" s="275">
        <v>1</v>
      </c>
      <c r="C679" s="263">
        <v>1</v>
      </c>
      <c r="D679" s="181" t="s">
        <v>638</v>
      </c>
      <c r="G679" s="185"/>
    </row>
    <row r="680" spans="1:7" ht="17" x14ac:dyDescent="0.2">
      <c r="A680" t="s">
        <v>1074</v>
      </c>
      <c r="B680" s="275">
        <v>1</v>
      </c>
      <c r="C680" s="263">
        <v>1</v>
      </c>
      <c r="D680" s="181" t="s">
        <v>108</v>
      </c>
      <c r="G680" s="185"/>
    </row>
    <row r="681" spans="1:7" ht="17" x14ac:dyDescent="0.2">
      <c r="A681" t="s">
        <v>1074</v>
      </c>
      <c r="B681" s="275">
        <v>1</v>
      </c>
      <c r="C681" s="263">
        <v>1</v>
      </c>
      <c r="D681" s="187" t="s">
        <v>49</v>
      </c>
      <c r="G681" s="181"/>
    </row>
    <row r="682" spans="1:7" ht="17" x14ac:dyDescent="0.2">
      <c r="A682" t="s">
        <v>1074</v>
      </c>
      <c r="B682" s="275">
        <v>1</v>
      </c>
      <c r="C682" s="263">
        <v>1</v>
      </c>
      <c r="D682" s="187" t="s">
        <v>49</v>
      </c>
      <c r="G682" s="181"/>
    </row>
    <row r="683" spans="1:7" ht="17" x14ac:dyDescent="0.2">
      <c r="A683" t="s">
        <v>1074</v>
      </c>
      <c r="B683" s="275">
        <v>1</v>
      </c>
      <c r="C683" s="263">
        <v>1</v>
      </c>
      <c r="D683" s="187" t="s">
        <v>49</v>
      </c>
      <c r="G683" s="181"/>
    </row>
    <row r="684" spans="1:7" ht="17" x14ac:dyDescent="0.2">
      <c r="A684" t="s">
        <v>1074</v>
      </c>
      <c r="B684" s="275">
        <v>1</v>
      </c>
      <c r="C684" s="263">
        <v>1</v>
      </c>
      <c r="D684" s="187" t="s">
        <v>49</v>
      </c>
      <c r="G684" s="181"/>
    </row>
    <row r="685" spans="1:7" ht="17" x14ac:dyDescent="0.2">
      <c r="A685" t="s">
        <v>1074</v>
      </c>
      <c r="B685" s="275">
        <v>1</v>
      </c>
      <c r="C685" s="263">
        <v>1</v>
      </c>
      <c r="D685" s="187" t="s">
        <v>49</v>
      </c>
      <c r="G685" s="181"/>
    </row>
    <row r="686" spans="1:7" ht="17" x14ac:dyDescent="0.2">
      <c r="A686" t="s">
        <v>1074</v>
      </c>
      <c r="B686" s="275">
        <v>1</v>
      </c>
      <c r="C686" s="263">
        <v>1</v>
      </c>
      <c r="D686" s="187" t="s">
        <v>49</v>
      </c>
      <c r="G686" s="181"/>
    </row>
    <row r="687" spans="1:7" ht="17" x14ac:dyDescent="0.2">
      <c r="A687" t="s">
        <v>1074</v>
      </c>
      <c r="B687" s="275">
        <v>1</v>
      </c>
      <c r="C687" s="263">
        <v>1</v>
      </c>
      <c r="D687" s="187" t="s">
        <v>49</v>
      </c>
      <c r="G687" s="181"/>
    </row>
    <row r="688" spans="1:7" ht="17" x14ac:dyDescent="0.2">
      <c r="A688" t="s">
        <v>1074</v>
      </c>
      <c r="B688" s="275">
        <v>1</v>
      </c>
      <c r="C688" s="263">
        <v>1</v>
      </c>
      <c r="D688" s="187" t="s">
        <v>49</v>
      </c>
      <c r="G688" s="181"/>
    </row>
    <row r="689" spans="1:7" ht="16" x14ac:dyDescent="0.2">
      <c r="A689" t="s">
        <v>1076</v>
      </c>
      <c r="B689" s="275">
        <v>0</v>
      </c>
      <c r="C689" s="263">
        <v>1</v>
      </c>
      <c r="D689" s="190" t="s">
        <v>52</v>
      </c>
      <c r="G689" s="184"/>
    </row>
    <row r="690" spans="1:7" ht="16" x14ac:dyDescent="0.2">
      <c r="A690" t="s">
        <v>1076</v>
      </c>
      <c r="B690" s="275">
        <v>0</v>
      </c>
      <c r="C690" s="263">
        <v>1</v>
      </c>
      <c r="D690" s="190" t="s">
        <v>52</v>
      </c>
      <c r="G690" s="184"/>
    </row>
    <row r="691" spans="1:7" ht="14" x14ac:dyDescent="0.15">
      <c r="A691" t="s">
        <v>1076</v>
      </c>
      <c r="B691" s="275">
        <v>0</v>
      </c>
      <c r="C691" s="263">
        <v>1</v>
      </c>
      <c r="D691" s="190" t="s">
        <v>52</v>
      </c>
      <c r="G691" s="190" t="s">
        <v>58</v>
      </c>
    </row>
    <row r="692" spans="1:7" ht="16" x14ac:dyDescent="0.2">
      <c r="A692" t="s">
        <v>1076</v>
      </c>
      <c r="B692" s="275">
        <v>0</v>
      </c>
      <c r="C692" s="263">
        <v>1</v>
      </c>
      <c r="D692" s="190" t="s">
        <v>52</v>
      </c>
      <c r="G692" s="184"/>
    </row>
    <row r="693" spans="1:7" ht="14" x14ac:dyDescent="0.15">
      <c r="A693" t="s">
        <v>1076</v>
      </c>
      <c r="B693" s="275">
        <v>0</v>
      </c>
      <c r="C693" s="263">
        <v>1</v>
      </c>
      <c r="D693" s="190" t="s">
        <v>52</v>
      </c>
      <c r="G693" s="190" t="s">
        <v>58</v>
      </c>
    </row>
    <row r="694" spans="1:7" ht="16" x14ac:dyDescent="0.2">
      <c r="A694" t="s">
        <v>1076</v>
      </c>
      <c r="B694" s="275">
        <v>0</v>
      </c>
      <c r="C694" s="263">
        <v>1</v>
      </c>
      <c r="D694" s="190" t="s">
        <v>52</v>
      </c>
      <c r="G694" s="184"/>
    </row>
    <row r="695" spans="1:7" ht="16" x14ac:dyDescent="0.2">
      <c r="A695" t="s">
        <v>1076</v>
      </c>
      <c r="B695" s="275">
        <v>0</v>
      </c>
      <c r="C695" s="263">
        <v>1</v>
      </c>
      <c r="D695" s="190" t="s">
        <v>52</v>
      </c>
      <c r="G695" s="184"/>
    </row>
    <row r="696" spans="1:7" ht="16" x14ac:dyDescent="0.2">
      <c r="A696" t="s">
        <v>1076</v>
      </c>
      <c r="B696" s="275">
        <v>0</v>
      </c>
      <c r="C696" s="263">
        <v>1</v>
      </c>
      <c r="D696" s="190" t="s">
        <v>52</v>
      </c>
      <c r="G696" s="184"/>
    </row>
    <row r="697" spans="1:7" ht="16" x14ac:dyDescent="0.2">
      <c r="A697" t="s">
        <v>1076</v>
      </c>
      <c r="B697" s="275">
        <v>0</v>
      </c>
      <c r="C697" s="263">
        <v>1</v>
      </c>
      <c r="D697" s="190" t="s">
        <v>68</v>
      </c>
      <c r="G697" s="184"/>
    </row>
    <row r="698" spans="1:7" ht="16" x14ac:dyDescent="0.2">
      <c r="A698" t="s">
        <v>1076</v>
      </c>
      <c r="B698" s="275">
        <v>0</v>
      </c>
      <c r="C698" s="263">
        <v>1</v>
      </c>
      <c r="D698" s="190" t="s">
        <v>68</v>
      </c>
      <c r="G698" s="184"/>
    </row>
    <row r="699" spans="1:7" ht="16" x14ac:dyDescent="0.2">
      <c r="A699" t="s">
        <v>1076</v>
      </c>
      <c r="B699" s="275">
        <v>0</v>
      </c>
      <c r="C699" s="263">
        <v>1</v>
      </c>
      <c r="D699" s="190" t="s">
        <v>68</v>
      </c>
      <c r="G699" s="184"/>
    </row>
    <row r="700" spans="1:7" ht="16" x14ac:dyDescent="0.2">
      <c r="A700" t="s">
        <v>1076</v>
      </c>
      <c r="B700" s="275">
        <v>0</v>
      </c>
      <c r="C700" s="263">
        <v>1</v>
      </c>
      <c r="D700" s="190" t="s">
        <v>68</v>
      </c>
      <c r="G700" s="184"/>
    </row>
    <row r="701" spans="1:7" ht="16" x14ac:dyDescent="0.2">
      <c r="A701" t="s">
        <v>1076</v>
      </c>
      <c r="B701" s="275">
        <v>0</v>
      </c>
      <c r="C701" s="263">
        <v>1</v>
      </c>
      <c r="D701" s="190" t="s">
        <v>638</v>
      </c>
      <c r="G701" s="184"/>
    </row>
    <row r="702" spans="1:7" ht="16" x14ac:dyDescent="0.2">
      <c r="A702" t="s">
        <v>1076</v>
      </c>
      <c r="B702" s="275">
        <v>0</v>
      </c>
      <c r="C702" s="263">
        <v>1</v>
      </c>
      <c r="D702" s="190" t="s">
        <v>52</v>
      </c>
      <c r="G702" s="184"/>
    </row>
    <row r="703" spans="1:7" ht="16" x14ac:dyDescent="0.2">
      <c r="A703" t="s">
        <v>1076</v>
      </c>
      <c r="B703" s="275">
        <v>0</v>
      </c>
      <c r="C703" s="263">
        <v>1</v>
      </c>
      <c r="D703" s="190" t="s">
        <v>638</v>
      </c>
      <c r="G703" s="184"/>
    </row>
    <row r="704" spans="1:7" ht="16" x14ac:dyDescent="0.2">
      <c r="A704" t="s">
        <v>1076</v>
      </c>
      <c r="B704" s="275">
        <v>0</v>
      </c>
      <c r="C704" s="263">
        <v>1</v>
      </c>
      <c r="D704" s="190" t="s">
        <v>52</v>
      </c>
      <c r="G704" s="184"/>
    </row>
    <row r="705" spans="1:7" ht="16" x14ac:dyDescent="0.2">
      <c r="A705" t="s">
        <v>1076</v>
      </c>
      <c r="B705" s="275">
        <v>0</v>
      </c>
      <c r="C705" s="263">
        <v>1</v>
      </c>
      <c r="D705" s="190" t="s">
        <v>638</v>
      </c>
      <c r="G705" s="184"/>
    </row>
    <row r="706" spans="1:7" ht="16" x14ac:dyDescent="0.2">
      <c r="A706" t="s">
        <v>1076</v>
      </c>
      <c r="B706" s="275">
        <v>0</v>
      </c>
      <c r="C706" s="263">
        <v>1</v>
      </c>
      <c r="D706" s="190" t="s">
        <v>638</v>
      </c>
      <c r="G706" s="184"/>
    </row>
    <row r="707" spans="1:7" ht="16" x14ac:dyDescent="0.2">
      <c r="A707" t="s">
        <v>1076</v>
      </c>
      <c r="B707" s="275">
        <v>0</v>
      </c>
      <c r="C707" s="263">
        <v>1</v>
      </c>
      <c r="D707" s="190" t="s">
        <v>68</v>
      </c>
      <c r="G707" s="184"/>
    </row>
    <row r="708" spans="1:7" ht="16" x14ac:dyDescent="0.2">
      <c r="A708" t="s">
        <v>1076</v>
      </c>
      <c r="B708" s="275">
        <v>0</v>
      </c>
      <c r="C708" s="263">
        <v>1</v>
      </c>
      <c r="D708" s="190" t="s">
        <v>68</v>
      </c>
      <c r="G708" s="184"/>
    </row>
    <row r="709" spans="1:7" ht="16" x14ac:dyDescent="0.2">
      <c r="A709" t="s">
        <v>1076</v>
      </c>
      <c r="B709" s="275">
        <v>0</v>
      </c>
      <c r="C709" s="263">
        <v>1</v>
      </c>
      <c r="D709" s="190" t="s">
        <v>68</v>
      </c>
      <c r="G709" s="184"/>
    </row>
    <row r="710" spans="1:7" ht="16" x14ac:dyDescent="0.2">
      <c r="A710" t="s">
        <v>1076</v>
      </c>
      <c r="B710" s="275">
        <v>0</v>
      </c>
      <c r="C710" s="263">
        <v>1</v>
      </c>
      <c r="D710" s="190" t="s">
        <v>68</v>
      </c>
      <c r="G710" s="184"/>
    </row>
    <row r="711" spans="1:7" ht="16" x14ac:dyDescent="0.2">
      <c r="A711" t="s">
        <v>1076</v>
      </c>
      <c r="B711" s="275">
        <v>0</v>
      </c>
      <c r="C711" s="263">
        <v>1</v>
      </c>
      <c r="D711" s="190" t="s">
        <v>108</v>
      </c>
      <c r="G711" s="184"/>
    </row>
  </sheetData>
  <sortState xmlns:xlrd2="http://schemas.microsoft.com/office/spreadsheetml/2017/richdata2" ref="L2:M7">
    <sortCondition descending="1" ref="M2:M7"/>
  </sortState>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643C-6B2D-664A-9839-CDBA9EB0B6E6}">
  <dimension ref="A1:R19"/>
  <sheetViews>
    <sheetView zoomScaleNormal="100" workbookViewId="0">
      <pane xSplit="1" ySplit="1" topLeftCell="C7" activePane="bottomRight" state="frozen"/>
      <selection pane="topRight" activeCell="B1" sqref="B1"/>
      <selection pane="bottomLeft" activeCell="A2" sqref="A2"/>
      <selection pane="bottomRight" activeCell="I15" sqref="I15"/>
    </sheetView>
  </sheetViews>
  <sheetFormatPr baseColWidth="10" defaultColWidth="10.83203125" defaultRowHeight="13" x14ac:dyDescent="0.15"/>
  <cols>
    <col min="1" max="1" width="40" customWidth="1"/>
    <col min="2" max="2" width="100.83203125" style="109" customWidth="1"/>
    <col min="3" max="3" width="41.83203125" customWidth="1"/>
    <col min="4" max="4" width="14.6640625" style="302" customWidth="1"/>
    <col min="5" max="5" width="19" style="267" customWidth="1"/>
    <col min="6" max="6" width="8.33203125" style="267" customWidth="1"/>
    <col min="7" max="7" width="25.1640625" style="267" customWidth="1"/>
    <col min="8" max="9" width="25.1640625" style="302" customWidth="1"/>
    <col min="10" max="10" width="22.1640625" customWidth="1"/>
    <col min="11" max="11" width="19.83203125" customWidth="1"/>
    <col min="12" max="12" width="22.6640625" customWidth="1"/>
    <col min="13" max="13" width="12.5" customWidth="1"/>
    <col min="14" max="14" width="31.33203125" customWidth="1"/>
    <col min="15" max="15" width="40.33203125" style="109" customWidth="1"/>
    <col min="16" max="16" width="23.5" customWidth="1"/>
    <col min="17" max="17" width="12.5" customWidth="1"/>
    <col min="18" max="18" width="17.5" customWidth="1"/>
  </cols>
  <sheetData>
    <row r="1" spans="1:18" s="237" customFormat="1" ht="28" customHeight="1" x14ac:dyDescent="0.2">
      <c r="A1" s="237" t="s">
        <v>1078</v>
      </c>
      <c r="B1" s="239" t="s">
        <v>1079</v>
      </c>
      <c r="C1" s="237" t="s">
        <v>1078</v>
      </c>
      <c r="D1" s="297" t="s">
        <v>1080</v>
      </c>
      <c r="E1" s="270" t="s">
        <v>1081</v>
      </c>
      <c r="F1" s="286" t="s">
        <v>1082</v>
      </c>
      <c r="G1" s="237" t="s">
        <v>1083</v>
      </c>
      <c r="H1" s="305" t="s">
        <v>1084</v>
      </c>
      <c r="I1" s="305" t="s">
        <v>1129</v>
      </c>
      <c r="J1" s="237" t="s">
        <v>1085</v>
      </c>
      <c r="K1" s="237" t="s">
        <v>1086</v>
      </c>
      <c r="L1" s="237" t="s">
        <v>1087</v>
      </c>
      <c r="M1" s="237" t="s">
        <v>1088</v>
      </c>
      <c r="N1" s="237" t="s">
        <v>1089</v>
      </c>
      <c r="O1" s="239" t="s">
        <v>1090</v>
      </c>
      <c r="P1" s="237" t="s">
        <v>1091</v>
      </c>
      <c r="Q1" s="237" t="s">
        <v>1092</v>
      </c>
      <c r="R1" s="237" t="s">
        <v>1093</v>
      </c>
    </row>
    <row r="2" spans="1:18" s="117" customFormat="1" ht="28" customHeight="1" x14ac:dyDescent="0.15">
      <c r="A2" s="101" t="s">
        <v>1095</v>
      </c>
      <c r="B2" s="111" t="s">
        <v>653</v>
      </c>
      <c r="C2" s="101" t="s">
        <v>1095</v>
      </c>
      <c r="D2" s="298">
        <v>1</v>
      </c>
      <c r="E2" s="264">
        <v>3</v>
      </c>
      <c r="F2" s="267">
        <v>9</v>
      </c>
      <c r="G2">
        <v>0</v>
      </c>
      <c r="H2" s="306">
        <v>0</v>
      </c>
      <c r="I2" s="306">
        <v>4</v>
      </c>
      <c r="J2">
        <v>0</v>
      </c>
      <c r="K2">
        <v>8</v>
      </c>
      <c r="L2">
        <v>9</v>
      </c>
      <c r="M2">
        <v>1</v>
      </c>
      <c r="N2" s="117">
        <f t="shared" ref="N2:N19" si="0">M2/F2</f>
        <v>0.1111111111111111</v>
      </c>
      <c r="O2" s="287"/>
      <c r="P2"/>
      <c r="Q2"/>
      <c r="R2"/>
    </row>
    <row r="3" spans="1:18" ht="112" x14ac:dyDescent="0.15">
      <c r="A3" s="107" t="s">
        <v>1096</v>
      </c>
      <c r="B3" s="109" t="s">
        <v>655</v>
      </c>
      <c r="C3" s="107" t="s">
        <v>1096</v>
      </c>
      <c r="D3" s="298">
        <v>1</v>
      </c>
      <c r="E3" s="265">
        <v>3</v>
      </c>
      <c r="F3" s="267">
        <v>62</v>
      </c>
      <c r="G3">
        <v>0</v>
      </c>
      <c r="H3" s="306">
        <v>0</v>
      </c>
      <c r="I3" s="306">
        <v>4</v>
      </c>
      <c r="J3">
        <v>0</v>
      </c>
      <c r="K3">
        <v>29</v>
      </c>
      <c r="L3">
        <v>23</v>
      </c>
      <c r="M3">
        <v>3</v>
      </c>
      <c r="N3" s="117">
        <f t="shared" si="0"/>
        <v>4.8387096774193547E-2</v>
      </c>
      <c r="O3" s="287"/>
    </row>
    <row r="4" spans="1:18" ht="98" x14ac:dyDescent="0.15">
      <c r="A4" s="107" t="s">
        <v>1097</v>
      </c>
      <c r="B4" s="112" t="s">
        <v>1098</v>
      </c>
      <c r="C4" s="107" t="s">
        <v>1097</v>
      </c>
      <c r="D4" s="298">
        <v>1</v>
      </c>
      <c r="E4" s="265">
        <v>2</v>
      </c>
      <c r="F4" s="267">
        <v>97</v>
      </c>
      <c r="G4">
        <v>0</v>
      </c>
      <c r="H4" s="306">
        <v>0</v>
      </c>
      <c r="I4" s="306">
        <v>4</v>
      </c>
      <c r="J4">
        <v>0</v>
      </c>
      <c r="K4">
        <v>56</v>
      </c>
      <c r="L4">
        <v>97</v>
      </c>
      <c r="M4">
        <v>8</v>
      </c>
      <c r="N4" s="290">
        <f t="shared" si="0"/>
        <v>8.247422680412371E-2</v>
      </c>
      <c r="O4" s="291" t="s">
        <v>1099</v>
      </c>
    </row>
    <row r="5" spans="1:18" ht="84" x14ac:dyDescent="0.15">
      <c r="A5" s="276" t="s">
        <v>1100</v>
      </c>
      <c r="B5" s="277" t="s">
        <v>661</v>
      </c>
      <c r="C5" s="276" t="s">
        <v>1101</v>
      </c>
      <c r="D5" s="299">
        <v>1</v>
      </c>
      <c r="E5" s="278">
        <v>2</v>
      </c>
      <c r="F5" s="289">
        <v>17</v>
      </c>
      <c r="G5" s="275">
        <v>0</v>
      </c>
      <c r="H5" s="306">
        <v>0</v>
      </c>
      <c r="I5" s="306">
        <v>4</v>
      </c>
      <c r="J5" s="275">
        <v>0</v>
      </c>
      <c r="K5" s="275">
        <v>16</v>
      </c>
      <c r="L5" s="275">
        <v>18</v>
      </c>
      <c r="M5" s="275">
        <v>2</v>
      </c>
      <c r="N5" s="117">
        <f t="shared" si="0"/>
        <v>0.11764705882352941</v>
      </c>
      <c r="O5" s="287"/>
      <c r="P5" s="275"/>
      <c r="Q5" s="275"/>
      <c r="R5" s="275"/>
    </row>
    <row r="6" spans="1:18" s="275" customFormat="1" ht="178" x14ac:dyDescent="0.2">
      <c r="A6" s="282" t="s">
        <v>1102</v>
      </c>
      <c r="B6" s="273" t="s">
        <v>800</v>
      </c>
      <c r="C6" s="282" t="s">
        <v>1102</v>
      </c>
      <c r="D6" s="300">
        <v>1</v>
      </c>
      <c r="E6" s="274">
        <v>3</v>
      </c>
      <c r="F6" s="289">
        <v>17</v>
      </c>
      <c r="G6" s="275">
        <v>0</v>
      </c>
      <c r="H6" s="306">
        <v>1</v>
      </c>
      <c r="I6" s="306">
        <v>1</v>
      </c>
      <c r="J6" s="275">
        <v>0.5</v>
      </c>
      <c r="K6" s="275">
        <v>9</v>
      </c>
      <c r="L6" s="275">
        <v>18</v>
      </c>
      <c r="M6" s="275">
        <v>5</v>
      </c>
      <c r="N6" s="117">
        <f t="shared" si="0"/>
        <v>0.29411764705882354</v>
      </c>
      <c r="O6" s="287"/>
    </row>
    <row r="7" spans="1:18" s="275" customFormat="1" ht="85" x14ac:dyDescent="0.2">
      <c r="A7" s="283" t="s">
        <v>1103</v>
      </c>
      <c r="B7" s="268" t="s">
        <v>802</v>
      </c>
      <c r="C7" s="283" t="s">
        <v>1103</v>
      </c>
      <c r="D7" s="300">
        <v>1</v>
      </c>
      <c r="E7" s="279">
        <v>3</v>
      </c>
      <c r="F7" s="267">
        <v>6</v>
      </c>
      <c r="G7">
        <v>0</v>
      </c>
      <c r="H7" s="306">
        <v>1</v>
      </c>
      <c r="I7" s="306">
        <v>3</v>
      </c>
      <c r="J7">
        <v>0.5</v>
      </c>
      <c r="K7">
        <v>6</v>
      </c>
      <c r="L7">
        <v>8</v>
      </c>
      <c r="M7">
        <v>5</v>
      </c>
      <c r="N7" s="117">
        <f t="shared" si="0"/>
        <v>0.83333333333333337</v>
      </c>
      <c r="O7" s="287"/>
      <c r="P7"/>
      <c r="Q7"/>
      <c r="R7"/>
    </row>
    <row r="8" spans="1:18" ht="132" customHeight="1" x14ac:dyDescent="0.2">
      <c r="A8" s="283" t="s">
        <v>1104</v>
      </c>
      <c r="B8" s="58" t="s">
        <v>804</v>
      </c>
      <c r="C8" s="283" t="s">
        <v>1104</v>
      </c>
      <c r="D8" s="301">
        <v>1</v>
      </c>
      <c r="E8" s="266"/>
      <c r="F8" s="267">
        <v>11</v>
      </c>
      <c r="G8">
        <v>0</v>
      </c>
      <c r="H8" s="306">
        <v>0</v>
      </c>
      <c r="I8" s="306">
        <v>1.5</v>
      </c>
      <c r="J8">
        <v>0</v>
      </c>
      <c r="K8">
        <v>10</v>
      </c>
      <c r="L8">
        <v>12</v>
      </c>
      <c r="M8">
        <v>5</v>
      </c>
      <c r="N8" s="117">
        <f t="shared" si="0"/>
        <v>0.45454545454545453</v>
      </c>
      <c r="O8" s="287"/>
    </row>
    <row r="9" spans="1:18" ht="68" x14ac:dyDescent="0.2">
      <c r="A9" s="282" t="s">
        <v>1105</v>
      </c>
      <c r="B9" s="273" t="s">
        <v>806</v>
      </c>
      <c r="C9" s="282" t="s">
        <v>1105</v>
      </c>
      <c r="D9" s="301">
        <v>1</v>
      </c>
      <c r="E9" s="274">
        <v>4</v>
      </c>
      <c r="F9" s="289">
        <v>60</v>
      </c>
      <c r="G9" s="275">
        <v>1</v>
      </c>
      <c r="H9" s="306">
        <v>1</v>
      </c>
      <c r="I9" s="306">
        <v>3</v>
      </c>
      <c r="J9" s="275">
        <v>1</v>
      </c>
      <c r="K9" s="275">
        <v>29</v>
      </c>
      <c r="L9" s="275">
        <v>53</v>
      </c>
      <c r="M9" s="275">
        <v>7</v>
      </c>
      <c r="N9" s="117">
        <f t="shared" si="0"/>
        <v>0.11666666666666667</v>
      </c>
      <c r="O9" s="287"/>
      <c r="P9" s="275"/>
      <c r="Q9" s="275"/>
      <c r="R9" s="275"/>
    </row>
    <row r="10" spans="1:18" s="275" customFormat="1" ht="99" customHeight="1" x14ac:dyDescent="0.2">
      <c r="A10" s="283" t="s">
        <v>1106</v>
      </c>
      <c r="B10" s="60" t="s">
        <v>808</v>
      </c>
      <c r="C10" s="283" t="s">
        <v>1106</v>
      </c>
      <c r="D10" s="300">
        <v>1</v>
      </c>
      <c r="E10" s="279">
        <v>3</v>
      </c>
      <c r="F10" s="267">
        <v>23</v>
      </c>
      <c r="G10">
        <v>0</v>
      </c>
      <c r="H10" s="306">
        <v>1</v>
      </c>
      <c r="I10" s="306">
        <v>3</v>
      </c>
      <c r="J10">
        <v>0.5</v>
      </c>
      <c r="K10">
        <v>7</v>
      </c>
      <c r="L10">
        <v>24</v>
      </c>
      <c r="M10">
        <v>6</v>
      </c>
      <c r="N10" s="117">
        <f t="shared" si="0"/>
        <v>0.2608695652173913</v>
      </c>
      <c r="O10" s="287"/>
      <c r="P10"/>
      <c r="Q10"/>
      <c r="R10"/>
    </row>
    <row r="11" spans="1:18" ht="85" x14ac:dyDescent="0.2">
      <c r="A11" s="283" t="s">
        <v>1107</v>
      </c>
      <c r="B11" s="57" t="s">
        <v>810</v>
      </c>
      <c r="C11" s="283" t="s">
        <v>1107</v>
      </c>
      <c r="D11" s="300">
        <v>1</v>
      </c>
      <c r="E11" s="279">
        <v>3</v>
      </c>
      <c r="F11" s="267">
        <v>11</v>
      </c>
      <c r="G11">
        <v>0</v>
      </c>
      <c r="H11" s="306">
        <v>0</v>
      </c>
      <c r="I11" s="306">
        <v>3.5</v>
      </c>
      <c r="J11">
        <v>0</v>
      </c>
      <c r="K11">
        <v>11</v>
      </c>
      <c r="L11">
        <v>12</v>
      </c>
      <c r="M11">
        <v>9</v>
      </c>
      <c r="N11" s="117">
        <f t="shared" si="0"/>
        <v>0.81818181818181823</v>
      </c>
      <c r="O11" s="287"/>
    </row>
    <row r="12" spans="1:18" ht="119" x14ac:dyDescent="0.2">
      <c r="A12" s="284" t="s">
        <v>1108</v>
      </c>
      <c r="B12" s="61" t="s">
        <v>812</v>
      </c>
      <c r="C12" s="284" t="s">
        <v>1108</v>
      </c>
      <c r="D12" s="300">
        <v>1</v>
      </c>
      <c r="E12" s="280">
        <v>3</v>
      </c>
      <c r="F12" s="267">
        <v>93</v>
      </c>
      <c r="G12">
        <v>1</v>
      </c>
      <c r="H12" s="306">
        <v>1</v>
      </c>
      <c r="I12" s="306">
        <v>3.5</v>
      </c>
      <c r="J12">
        <v>1</v>
      </c>
      <c r="K12">
        <v>20</v>
      </c>
      <c r="L12">
        <v>84</v>
      </c>
      <c r="M12">
        <v>39</v>
      </c>
      <c r="N12" s="117">
        <f t="shared" si="0"/>
        <v>0.41935483870967744</v>
      </c>
      <c r="O12" s="287"/>
    </row>
    <row r="13" spans="1:18" ht="42" x14ac:dyDescent="0.15">
      <c r="A13" t="s">
        <v>1074</v>
      </c>
      <c r="B13" s="109" t="s">
        <v>1114</v>
      </c>
      <c r="C13" t="s">
        <v>1115</v>
      </c>
      <c r="D13" s="302">
        <v>1</v>
      </c>
      <c r="E13" s="267">
        <v>4</v>
      </c>
      <c r="F13" s="267">
        <v>83</v>
      </c>
      <c r="G13">
        <v>1</v>
      </c>
      <c r="H13" s="306">
        <v>1</v>
      </c>
      <c r="I13" s="306">
        <v>3</v>
      </c>
      <c r="J13">
        <v>1</v>
      </c>
      <c r="K13">
        <v>18</v>
      </c>
      <c r="L13">
        <v>82</v>
      </c>
      <c r="M13">
        <v>24</v>
      </c>
      <c r="N13" s="117">
        <f t="shared" si="0"/>
        <v>0.28915662650602408</v>
      </c>
      <c r="O13" s="287"/>
    </row>
    <row r="14" spans="1:18" s="275" customFormat="1" ht="112" x14ac:dyDescent="0.15">
      <c r="A14" t="s">
        <v>1076</v>
      </c>
      <c r="B14" s="109" t="s">
        <v>1077</v>
      </c>
      <c r="C14" t="s">
        <v>1116</v>
      </c>
      <c r="D14" s="302">
        <v>1</v>
      </c>
      <c r="E14" s="267">
        <v>5</v>
      </c>
      <c r="F14" s="267">
        <v>23</v>
      </c>
      <c r="G14">
        <v>0</v>
      </c>
      <c r="H14" s="306">
        <v>0</v>
      </c>
      <c r="I14" s="306">
        <v>4</v>
      </c>
      <c r="J14">
        <v>0</v>
      </c>
      <c r="K14">
        <v>5</v>
      </c>
      <c r="L14">
        <v>0</v>
      </c>
      <c r="M14">
        <v>3</v>
      </c>
      <c r="N14" s="117">
        <f t="shared" si="0"/>
        <v>0.13043478260869565</v>
      </c>
      <c r="O14" s="287"/>
      <c r="P14"/>
      <c r="Q14"/>
      <c r="R14"/>
    </row>
    <row r="15" spans="1:18" s="275" customFormat="1" ht="31" x14ac:dyDescent="0.2">
      <c r="A15" s="117" t="s">
        <v>650</v>
      </c>
      <c r="B15" s="287" t="s">
        <v>1094</v>
      </c>
      <c r="C15" s="270" t="s">
        <v>650</v>
      </c>
      <c r="D15" s="303">
        <v>0</v>
      </c>
      <c r="E15" s="269">
        <v>10</v>
      </c>
      <c r="F15" s="263">
        <v>38</v>
      </c>
      <c r="G15" s="117">
        <v>0</v>
      </c>
      <c r="H15" s="307">
        <v>0</v>
      </c>
      <c r="I15" s="307"/>
      <c r="J15" s="117">
        <v>0</v>
      </c>
      <c r="K15" s="117">
        <v>6</v>
      </c>
      <c r="L15" s="117">
        <v>9</v>
      </c>
      <c r="M15" s="117">
        <v>9</v>
      </c>
      <c r="N15" s="117">
        <f t="shared" si="0"/>
        <v>0.23684210526315788</v>
      </c>
      <c r="O15" s="287"/>
      <c r="P15" s="117"/>
      <c r="Q15" s="117"/>
      <c r="R15" s="117"/>
    </row>
    <row r="16" spans="1:18" ht="187" x14ac:dyDescent="0.2">
      <c r="A16" s="285" t="s">
        <v>1109</v>
      </c>
      <c r="B16" s="273" t="s">
        <v>814</v>
      </c>
      <c r="C16" s="285" t="s">
        <v>1109</v>
      </c>
      <c r="D16" s="304">
        <v>0</v>
      </c>
      <c r="E16" s="281">
        <v>7</v>
      </c>
      <c r="F16" s="289">
        <v>17</v>
      </c>
      <c r="G16" s="275">
        <v>0</v>
      </c>
      <c r="H16" s="306">
        <v>0</v>
      </c>
      <c r="I16" s="306"/>
      <c r="J16" s="275">
        <v>0</v>
      </c>
      <c r="K16" s="275">
        <v>16</v>
      </c>
      <c r="L16" s="275">
        <v>16</v>
      </c>
      <c r="M16" s="275">
        <v>12</v>
      </c>
      <c r="N16" s="117">
        <f t="shared" si="0"/>
        <v>0.70588235294117652</v>
      </c>
      <c r="O16" s="287"/>
      <c r="P16" s="275"/>
      <c r="Q16" s="275"/>
      <c r="R16" s="275"/>
    </row>
    <row r="17" spans="1:18" ht="255" x14ac:dyDescent="0.2">
      <c r="A17" s="282" t="s">
        <v>1110</v>
      </c>
      <c r="B17" s="273" t="s">
        <v>817</v>
      </c>
      <c r="C17" s="282" t="s">
        <v>1111</v>
      </c>
      <c r="D17" s="300">
        <v>0</v>
      </c>
      <c r="E17" s="274">
        <v>10</v>
      </c>
      <c r="F17" s="289">
        <v>30</v>
      </c>
      <c r="G17" s="275">
        <v>0</v>
      </c>
      <c r="H17" s="306">
        <v>0</v>
      </c>
      <c r="I17" s="306"/>
      <c r="J17" s="275">
        <v>0</v>
      </c>
      <c r="K17" s="275">
        <v>4</v>
      </c>
      <c r="L17" s="275">
        <v>6</v>
      </c>
      <c r="M17" s="275">
        <v>19</v>
      </c>
      <c r="N17" s="117">
        <f t="shared" si="0"/>
        <v>0.6333333333333333</v>
      </c>
      <c r="O17" s="287"/>
      <c r="P17" s="275"/>
      <c r="Q17" s="275"/>
      <c r="R17" s="275"/>
    </row>
    <row r="18" spans="1:18" ht="84" x14ac:dyDescent="0.15">
      <c r="A18" t="s">
        <v>1070</v>
      </c>
      <c r="B18" s="109" t="s">
        <v>1071</v>
      </c>
      <c r="C18" t="s">
        <v>1112</v>
      </c>
      <c r="D18" s="302">
        <v>0</v>
      </c>
      <c r="E18" s="267">
        <v>4</v>
      </c>
      <c r="F18" s="267">
        <v>99</v>
      </c>
      <c r="G18">
        <v>1</v>
      </c>
      <c r="H18" s="306">
        <v>1</v>
      </c>
      <c r="I18" s="306"/>
      <c r="J18">
        <v>1</v>
      </c>
      <c r="K18">
        <v>18</v>
      </c>
      <c r="L18">
        <v>75</v>
      </c>
      <c r="M18">
        <v>16</v>
      </c>
      <c r="N18" s="117">
        <f t="shared" si="0"/>
        <v>0.16161616161616163</v>
      </c>
      <c r="O18" s="287"/>
    </row>
    <row r="19" spans="1:18" ht="43" x14ac:dyDescent="0.2">
      <c r="A19" s="270" t="s">
        <v>1072</v>
      </c>
      <c r="B19" s="109" t="s">
        <v>1073</v>
      </c>
      <c r="C19" s="270" t="s">
        <v>1113</v>
      </c>
      <c r="D19" s="302">
        <v>0</v>
      </c>
      <c r="E19" s="267">
        <v>4</v>
      </c>
      <c r="F19" s="267">
        <v>8</v>
      </c>
      <c r="G19">
        <v>0</v>
      </c>
      <c r="H19" s="306">
        <v>0</v>
      </c>
      <c r="I19" s="306"/>
      <c r="J19">
        <v>0</v>
      </c>
      <c r="K19">
        <v>0</v>
      </c>
      <c r="L19">
        <v>0</v>
      </c>
      <c r="M19">
        <v>0</v>
      </c>
      <c r="N19" s="117">
        <f t="shared" si="0"/>
        <v>0</v>
      </c>
      <c r="O19" s="287"/>
    </row>
  </sheetData>
  <sortState xmlns:xlrd2="http://schemas.microsoft.com/office/spreadsheetml/2017/richdata2" ref="A2:R19">
    <sortCondition descending="1" ref="D2:D19"/>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B2142-5D74-49E8-91FC-19EBFBCF0924}">
  <sheetPr codeName="Sheet1"/>
  <dimension ref="C2:C27"/>
  <sheetViews>
    <sheetView showGridLines="0" workbookViewId="0">
      <selection activeCell="C8" sqref="C8"/>
    </sheetView>
  </sheetViews>
  <sheetFormatPr baseColWidth="10" defaultColWidth="8.83203125" defaultRowHeight="18" x14ac:dyDescent="0.2"/>
  <cols>
    <col min="3" max="3" width="84.33203125" style="93" bestFit="1" customWidth="1"/>
  </cols>
  <sheetData>
    <row r="2" spans="3:3" x14ac:dyDescent="0.2">
      <c r="C2" s="92" t="s">
        <v>0</v>
      </c>
    </row>
    <row r="3" spans="3:3" ht="19" thickBot="1" x14ac:dyDescent="0.25"/>
    <row r="4" spans="3:3" ht="25" customHeight="1" thickBot="1" x14ac:dyDescent="0.2">
      <c r="C4" s="94" t="s">
        <v>1</v>
      </c>
    </row>
    <row r="5" spans="3:3" ht="25" customHeight="1" thickBot="1" x14ac:dyDescent="0.2">
      <c r="C5" s="95"/>
    </row>
    <row r="6" spans="3:3" ht="25" customHeight="1" x14ac:dyDescent="0.15">
      <c r="C6" s="199" t="s">
        <v>2</v>
      </c>
    </row>
    <row r="7" spans="3:3" ht="25" customHeight="1" x14ac:dyDescent="0.15">
      <c r="C7" s="198" t="s">
        <v>3</v>
      </c>
    </row>
    <row r="8" spans="3:3" ht="25" customHeight="1" x14ac:dyDescent="0.15">
      <c r="C8" s="97" t="s">
        <v>4</v>
      </c>
    </row>
    <row r="9" spans="3:3" ht="25" customHeight="1" x14ac:dyDescent="0.15">
      <c r="C9" s="271" t="s">
        <v>5</v>
      </c>
    </row>
    <row r="10" spans="3:3" ht="25" customHeight="1" thickBot="1" x14ac:dyDescent="0.2">
      <c r="C10" s="96" t="s">
        <v>6</v>
      </c>
    </row>
    <row r="11" spans="3:3" ht="25" customHeight="1" thickBot="1" x14ac:dyDescent="0.2">
      <c r="C11" s="95"/>
    </row>
    <row r="12" spans="3:3" ht="25" customHeight="1" x14ac:dyDescent="0.15">
      <c r="C12" s="199" t="s">
        <v>7</v>
      </c>
    </row>
    <row r="13" spans="3:3" ht="25" customHeight="1" x14ac:dyDescent="0.15">
      <c r="C13" s="198" t="s">
        <v>8</v>
      </c>
    </row>
    <row r="14" spans="3:3" ht="25" customHeight="1" x14ac:dyDescent="0.15">
      <c r="C14" s="97" t="s">
        <v>9</v>
      </c>
    </row>
    <row r="15" spans="3:3" ht="25" customHeight="1" x14ac:dyDescent="0.15">
      <c r="C15" s="97" t="s">
        <v>10</v>
      </c>
    </row>
    <row r="16" spans="3:3" ht="19" thickBot="1" x14ac:dyDescent="0.2">
      <c r="C16" s="96" t="s">
        <v>11</v>
      </c>
    </row>
    <row r="17" spans="3:3" ht="25" customHeight="1" thickBot="1" x14ac:dyDescent="0.25"/>
    <row r="18" spans="3:3" ht="25" customHeight="1" thickBot="1" x14ac:dyDescent="0.25">
      <c r="C18" s="200" t="s">
        <v>12</v>
      </c>
    </row>
    <row r="19" spans="3:3" ht="25" customHeight="1" x14ac:dyDescent="0.2">
      <c r="C19" s="259" t="s">
        <v>13</v>
      </c>
    </row>
    <row r="20" spans="3:3" ht="25" customHeight="1" x14ac:dyDescent="0.2">
      <c r="C20" s="260" t="s">
        <v>14</v>
      </c>
    </row>
    <row r="21" spans="3:3" ht="25" customHeight="1" x14ac:dyDescent="0.2">
      <c r="C21" s="260" t="s">
        <v>15</v>
      </c>
    </row>
    <row r="22" spans="3:3" ht="25" customHeight="1" x14ac:dyDescent="0.2">
      <c r="C22" s="260" t="s">
        <v>16</v>
      </c>
    </row>
    <row r="23" spans="3:3" ht="25" customHeight="1" x14ac:dyDescent="0.2">
      <c r="C23" s="260" t="s">
        <v>17</v>
      </c>
    </row>
    <row r="24" spans="3:3" ht="25" customHeight="1" x14ac:dyDescent="0.2">
      <c r="C24" s="272" t="s">
        <v>18</v>
      </c>
    </row>
    <row r="25" spans="3:3" ht="25" customHeight="1" thickBot="1" x14ac:dyDescent="0.25">
      <c r="C25" s="261" t="s">
        <v>19</v>
      </c>
    </row>
    <row r="26" spans="3:3" ht="25" customHeight="1" thickBot="1" x14ac:dyDescent="0.25"/>
    <row r="27" spans="3:3" ht="25" customHeight="1" thickBot="1" x14ac:dyDescent="0.25">
      <c r="C27" s="262" t="s">
        <v>20</v>
      </c>
    </row>
  </sheetData>
  <hyperlinks>
    <hyperlink ref="C8" location="'F20 Crew Data'!A1" display="Fall 2020 CREW Lady and the Tiger Discussions" xr:uid="{4B4C10B0-7EE6-4220-A905-5B5FACE12458}"/>
    <hyperlink ref="C10" location="'F20 Collaborative Writing'!A1" display="Fall 2020 CREW Lady and the Tiger Collaborative Writings" xr:uid="{A0C0B1D6-626D-4706-8984-1076F9E7034F}"/>
    <hyperlink ref="C14" location="'S21 Crew Data'!A1" display="Spring 2021 CREW Lady and the Tiger Discussions" xr:uid="{3ED9B290-1931-4404-857C-67A9C259462B}"/>
    <hyperlink ref="C15" location="'S21 Collaborative Writing'!A1" display="Spring 2021 CREW Lady and the Tiger Collaborative Writings" xr:uid="{415882DD-E31B-43C9-A531-505062FDD6D7}"/>
    <hyperlink ref="C16" location="'S21 Summaries'!A1" display="Spring 2021 Discussion Summaries" xr:uid="{9427A933-B410-465A-AE5A-2B1032576A08}"/>
    <hyperlink ref="C4" location="'Combined Discussions'!A1" display="Combined Fall 2020 and Spring 2021 Discussions" xr:uid="{A9D22111-C72A-49CA-8B45-15402FA12BCD}"/>
    <hyperlink ref="C7" location="'F20 Chat Data'!A1" display="Fall 2020 CHAT The Lady, or the Tiger Discussion" xr:uid="{B686E758-EC1A-4FCA-ACFF-E4D52C08BF0A}"/>
    <hyperlink ref="C13" location="'S21 Chat Data'!A1" display="Spring 2021 CHAT The Lady, or the Tiger Discussion" xr:uid="{FD4D0DA4-EA53-422B-BDCA-B31AE26027C6}"/>
    <hyperlink ref="C19" location="'S22 Chat Sync Data'!A1" display="Spring 2022 CHAT Sync The Lady, or the Tiger Discussion" xr:uid="{E8FE3AF0-C5F1-44B3-9EB8-7E4C318A93DF}"/>
    <hyperlink ref="C20" location="'S22 Chat Async Data'!A1" display="Spring 2022 CHAT Async The Lady, or the Tiger Discussion" xr:uid="{0A167E8D-8923-4B93-B30E-9D34EAA26FF9}"/>
    <hyperlink ref="C21" location="'S22 CREW Sync Data'!A1" display="Spring 2022 CREW Sync The Lady, or the Tiger Discussion" xr:uid="{1BA05E86-CA44-47BF-A6AC-D420F68C0960}"/>
    <hyperlink ref="C22" location="'S22 CREW Sync Collab Writing '!A1" display="Spring 2022 CREW Sync The Lady, or the Tiger Collab Writing" xr:uid="{AA382A53-9249-4128-8E3E-C11CA62756A0}"/>
    <hyperlink ref="C23" location="'S22 CREW Async Data'!A1" display="Spring 2022 CREW Async The Lady, or the Tiger Discussion" xr:uid="{7F009DCA-EF24-40EC-A130-549B4617D08A}"/>
    <hyperlink ref="C25" location="'S22 CREW Async Collab Writing'!A1" display="Spring 2022 CREW Async The Lady, or the Tiger Collab Writing" xr:uid="{C075F0B6-7122-4EDA-9B2A-22FC6E4151FF}"/>
    <hyperlink ref="C27" location="AnalysisF20nS21S22!A1" display="Analysis (GS)" xr:uid="{F2CDF6F2-A675-4C4A-9BAB-C02E2224C0A6}"/>
  </hyperlinks>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C0882-8E59-4EC2-BA89-14BB9466CF63}">
  <dimension ref="A1:S103"/>
  <sheetViews>
    <sheetView workbookViewId="0">
      <pane ySplit="1" topLeftCell="A30" activePane="bottomLeft" state="frozen"/>
      <selection pane="bottomLeft" activeCell="N2" sqref="N2:N39"/>
    </sheetView>
  </sheetViews>
  <sheetFormatPr baseColWidth="10" defaultColWidth="8.6640625" defaultRowHeight="13" x14ac:dyDescent="0.15"/>
  <cols>
    <col min="1" max="1" width="20.6640625" style="161" customWidth="1"/>
    <col min="2" max="2" width="8.6640625" style="162" customWidth="1"/>
    <col min="3" max="3" width="20.6640625" style="161" customWidth="1"/>
    <col min="4" max="5" width="8.6640625" style="161" customWidth="1"/>
    <col min="6" max="7" width="20.6640625" style="161" customWidth="1"/>
    <col min="8" max="8" width="11.33203125" style="161" customWidth="1"/>
    <col min="9" max="9" width="50.6640625" style="163" customWidth="1"/>
    <col min="10" max="10" width="17.83203125" bestFit="1" customWidth="1"/>
    <col min="11" max="11" width="18.5" customWidth="1"/>
    <col min="12" max="12" width="17.5" bestFit="1" customWidth="1"/>
    <col min="13" max="13" width="15.83203125" customWidth="1"/>
    <col min="14" max="14" width="11.5" bestFit="1" customWidth="1"/>
    <col min="15" max="15" width="10.1640625" customWidth="1"/>
    <col min="16" max="16" width="13.5" bestFit="1" customWidth="1"/>
    <col min="17" max="17" width="11.5" customWidth="1"/>
    <col min="18" max="18" width="12.5" customWidth="1"/>
    <col min="19" max="19" width="20.6640625" style="161" customWidth="1"/>
    <col min="20" max="16384" width="8.6640625" style="161"/>
  </cols>
  <sheetData>
    <row r="1" spans="1:19" ht="16" x14ac:dyDescent="0.2">
      <c r="A1" s="158" t="s">
        <v>21</v>
      </c>
      <c r="B1" s="159" t="s">
        <v>22</v>
      </c>
      <c r="C1" s="158" t="s">
        <v>27</v>
      </c>
      <c r="D1" s="158" t="s">
        <v>28</v>
      </c>
      <c r="E1" s="158" t="s">
        <v>29</v>
      </c>
      <c r="F1" s="160" t="s">
        <v>23</v>
      </c>
      <c r="G1" s="160" t="s">
        <v>24</v>
      </c>
      <c r="H1" s="158" t="s">
        <v>25</v>
      </c>
      <c r="I1" s="158" t="s">
        <v>26</v>
      </c>
      <c r="J1" s="78" t="s">
        <v>31</v>
      </c>
      <c r="K1" s="235" t="s">
        <v>32</v>
      </c>
      <c r="L1" s="78" t="s">
        <v>33</v>
      </c>
      <c r="M1" s="235" t="s">
        <v>34</v>
      </c>
      <c r="N1" s="78" t="s">
        <v>35</v>
      </c>
      <c r="O1" s="235" t="s">
        <v>36</v>
      </c>
      <c r="P1" s="78" t="s">
        <v>37</v>
      </c>
      <c r="Q1" s="235" t="s">
        <v>38</v>
      </c>
      <c r="R1" s="79" t="s">
        <v>39</v>
      </c>
      <c r="S1" s="158" t="s">
        <v>42</v>
      </c>
    </row>
    <row r="2" spans="1:19" ht="32" x14ac:dyDescent="0.2">
      <c r="A2" s="158" t="s">
        <v>43</v>
      </c>
      <c r="B2" s="159">
        <v>261</v>
      </c>
      <c r="C2" s="170">
        <v>44123.98541666667</v>
      </c>
      <c r="D2" s="158" t="s">
        <v>48</v>
      </c>
      <c r="E2" s="158">
        <v>10</v>
      </c>
      <c r="F2" s="160" t="s">
        <v>586</v>
      </c>
      <c r="G2" s="158" t="s">
        <v>45</v>
      </c>
      <c r="H2" s="163" t="s">
        <v>587</v>
      </c>
      <c r="I2" s="158" t="s">
        <v>588</v>
      </c>
      <c r="J2" s="178" t="s">
        <v>52</v>
      </c>
      <c r="K2" s="178" t="s">
        <v>52</v>
      </c>
      <c r="L2" s="177">
        <v>1</v>
      </c>
      <c r="M2" s="177">
        <v>1</v>
      </c>
      <c r="N2" s="177"/>
      <c r="O2" s="177"/>
      <c r="P2" s="177"/>
      <c r="Q2" s="177"/>
      <c r="R2" s="177"/>
      <c r="S2" s="158" t="s">
        <v>54</v>
      </c>
    </row>
    <row r="3" spans="1:19" ht="16" x14ac:dyDescent="0.2">
      <c r="A3" s="158" t="s">
        <v>43</v>
      </c>
      <c r="B3" s="159">
        <v>261</v>
      </c>
      <c r="C3" s="170">
        <v>44124.439583333333</v>
      </c>
      <c r="D3" s="158" t="s">
        <v>48</v>
      </c>
      <c r="E3" s="158">
        <v>10</v>
      </c>
      <c r="F3" s="160" t="s">
        <v>586</v>
      </c>
      <c r="G3" s="158" t="s">
        <v>45</v>
      </c>
      <c r="H3" s="163" t="s">
        <v>589</v>
      </c>
      <c r="I3" s="158" t="s">
        <v>590</v>
      </c>
      <c r="J3" s="178" t="s">
        <v>52</v>
      </c>
      <c r="K3" s="178" t="s">
        <v>52</v>
      </c>
      <c r="L3" s="177">
        <v>1</v>
      </c>
      <c r="M3" s="177">
        <v>1</v>
      </c>
      <c r="N3" s="177" t="s">
        <v>58</v>
      </c>
      <c r="O3" s="177" t="s">
        <v>58</v>
      </c>
      <c r="P3" s="177"/>
      <c r="Q3" s="177"/>
      <c r="R3" s="177"/>
      <c r="S3" s="158" t="s">
        <v>59</v>
      </c>
    </row>
    <row r="4" spans="1:19" ht="64" x14ac:dyDescent="0.2">
      <c r="A4" s="158" t="s">
        <v>43</v>
      </c>
      <c r="B4" s="159">
        <v>261</v>
      </c>
      <c r="C4" s="170">
        <v>44124.439583333333</v>
      </c>
      <c r="D4" s="158" t="s">
        <v>48</v>
      </c>
      <c r="E4" s="158">
        <v>10</v>
      </c>
      <c r="F4" s="160" t="s">
        <v>586</v>
      </c>
      <c r="G4" s="158" t="s">
        <v>45</v>
      </c>
      <c r="H4" s="163" t="s">
        <v>589</v>
      </c>
      <c r="I4" s="158" t="s">
        <v>591</v>
      </c>
      <c r="J4" s="178" t="s">
        <v>52</v>
      </c>
      <c r="K4" s="178" t="s">
        <v>52</v>
      </c>
      <c r="L4" s="177">
        <v>1</v>
      </c>
      <c r="M4" s="177">
        <v>1</v>
      </c>
      <c r="N4" s="177" t="s">
        <v>305</v>
      </c>
      <c r="O4" s="177" t="s">
        <v>305</v>
      </c>
      <c r="P4" s="177"/>
      <c r="Q4" s="177"/>
      <c r="R4" s="177"/>
      <c r="S4" s="158" t="s">
        <v>54</v>
      </c>
    </row>
    <row r="5" spans="1:19" ht="112" x14ac:dyDescent="0.2">
      <c r="A5" s="158" t="s">
        <v>43</v>
      </c>
      <c r="B5" s="159">
        <v>261</v>
      </c>
      <c r="C5" s="170">
        <v>44124.441666666666</v>
      </c>
      <c r="D5" s="158" t="s">
        <v>48</v>
      </c>
      <c r="E5" s="158">
        <v>10</v>
      </c>
      <c r="F5" s="160" t="s">
        <v>586</v>
      </c>
      <c r="G5" s="158" t="s">
        <v>45</v>
      </c>
      <c r="H5" s="163" t="s">
        <v>589</v>
      </c>
      <c r="I5" s="158" t="s">
        <v>592</v>
      </c>
      <c r="J5" s="178" t="s">
        <v>52</v>
      </c>
      <c r="K5" s="178" t="s">
        <v>52</v>
      </c>
      <c r="L5" s="177">
        <v>2</v>
      </c>
      <c r="M5" s="177">
        <v>2</v>
      </c>
      <c r="N5" s="177"/>
      <c r="O5" s="177"/>
      <c r="P5" s="177"/>
      <c r="Q5" s="177"/>
      <c r="R5" s="177"/>
      <c r="S5" s="158" t="s">
        <v>54</v>
      </c>
    </row>
    <row r="6" spans="1:19" ht="16" x14ac:dyDescent="0.2">
      <c r="A6" s="158" t="s">
        <v>43</v>
      </c>
      <c r="B6" s="159">
        <v>261</v>
      </c>
      <c r="C6" s="170">
        <v>44125.12222222222</v>
      </c>
      <c r="D6" s="158" t="s">
        <v>48</v>
      </c>
      <c r="E6" s="158">
        <v>10</v>
      </c>
      <c r="F6" s="160" t="s">
        <v>586</v>
      </c>
      <c r="G6" s="158" t="s">
        <v>45</v>
      </c>
      <c r="H6" s="163" t="s">
        <v>587</v>
      </c>
      <c r="I6" s="158" t="s">
        <v>593</v>
      </c>
      <c r="J6" s="178" t="s">
        <v>52</v>
      </c>
      <c r="K6" s="178" t="s">
        <v>52</v>
      </c>
      <c r="L6" s="177">
        <v>2</v>
      </c>
      <c r="M6" s="177">
        <v>2</v>
      </c>
      <c r="N6" s="177" t="s">
        <v>58</v>
      </c>
      <c r="O6" s="177" t="s">
        <v>58</v>
      </c>
      <c r="P6" s="177"/>
      <c r="Q6" s="177"/>
      <c r="R6" s="177"/>
      <c r="S6" s="158" t="s">
        <v>59</v>
      </c>
    </row>
    <row r="7" spans="1:19" ht="80" x14ac:dyDescent="0.2">
      <c r="A7" s="158" t="s">
        <v>43</v>
      </c>
      <c r="B7" s="159">
        <v>261</v>
      </c>
      <c r="C7" s="170">
        <v>44125.12222222222</v>
      </c>
      <c r="D7" s="158" t="s">
        <v>48</v>
      </c>
      <c r="E7" s="158">
        <v>10</v>
      </c>
      <c r="F7" s="160" t="s">
        <v>586</v>
      </c>
      <c r="G7" s="158" t="s">
        <v>45</v>
      </c>
      <c r="H7" s="163" t="s">
        <v>587</v>
      </c>
      <c r="I7" s="158" t="s">
        <v>594</v>
      </c>
      <c r="J7" s="178" t="s">
        <v>52</v>
      </c>
      <c r="K7" s="178" t="s">
        <v>52</v>
      </c>
      <c r="L7" s="177">
        <v>2</v>
      </c>
      <c r="M7" s="177">
        <v>2</v>
      </c>
      <c r="N7" s="177" t="s">
        <v>305</v>
      </c>
      <c r="O7" s="177" t="s">
        <v>305</v>
      </c>
      <c r="P7" s="177"/>
      <c r="Q7" s="177"/>
      <c r="R7" s="177"/>
      <c r="S7" s="158" t="s">
        <v>54</v>
      </c>
    </row>
    <row r="8" spans="1:19" ht="80" x14ac:dyDescent="0.2">
      <c r="A8" s="158" t="s">
        <v>43</v>
      </c>
      <c r="B8" s="159">
        <v>261</v>
      </c>
      <c r="C8" s="170">
        <v>44125.325694444444</v>
      </c>
      <c r="D8" s="158" t="s">
        <v>48</v>
      </c>
      <c r="E8" s="158">
        <v>10</v>
      </c>
      <c r="F8" s="160" t="s">
        <v>586</v>
      </c>
      <c r="G8" s="158" t="s">
        <v>45</v>
      </c>
      <c r="H8" s="163" t="s">
        <v>589</v>
      </c>
      <c r="I8" s="158" t="s">
        <v>595</v>
      </c>
      <c r="J8" s="178" t="s">
        <v>52</v>
      </c>
      <c r="K8" s="178" t="s">
        <v>52</v>
      </c>
      <c r="L8" s="177">
        <v>2</v>
      </c>
      <c r="M8" s="177">
        <v>2</v>
      </c>
      <c r="N8" s="177"/>
      <c r="O8" s="177"/>
      <c r="P8" s="177"/>
      <c r="Q8" s="177"/>
      <c r="R8" s="177"/>
      <c r="S8" s="158" t="s">
        <v>54</v>
      </c>
    </row>
    <row r="9" spans="1:19" ht="16" x14ac:dyDescent="0.2">
      <c r="A9" s="158" t="s">
        <v>43</v>
      </c>
      <c r="B9" s="159">
        <v>261</v>
      </c>
      <c r="C9" s="170">
        <v>44125.339583333334</v>
      </c>
      <c r="D9" s="158" t="s">
        <v>48</v>
      </c>
      <c r="E9" s="158">
        <v>10</v>
      </c>
      <c r="F9" s="160" t="s">
        <v>586</v>
      </c>
      <c r="G9" s="158" t="s">
        <v>45</v>
      </c>
      <c r="H9" s="163" t="s">
        <v>587</v>
      </c>
      <c r="I9" s="158" t="s">
        <v>596</v>
      </c>
      <c r="J9" s="178" t="s">
        <v>52</v>
      </c>
      <c r="K9" s="178" t="s">
        <v>52</v>
      </c>
      <c r="L9" s="177">
        <v>2</v>
      </c>
      <c r="M9" s="177">
        <v>2</v>
      </c>
      <c r="N9" s="177" t="s">
        <v>58</v>
      </c>
      <c r="O9" s="177" t="s">
        <v>58</v>
      </c>
      <c r="P9" s="177"/>
      <c r="Q9" s="177"/>
      <c r="R9" s="177"/>
      <c r="S9" s="158" t="s">
        <v>59</v>
      </c>
    </row>
    <row r="10" spans="1:19" ht="16" x14ac:dyDescent="0.2">
      <c r="A10" s="158" t="s">
        <v>43</v>
      </c>
      <c r="B10" s="159">
        <v>261</v>
      </c>
      <c r="C10" s="170">
        <v>44125.339583333334</v>
      </c>
      <c r="D10" s="158" t="s">
        <v>48</v>
      </c>
      <c r="E10" s="158">
        <v>10</v>
      </c>
      <c r="F10" s="160" t="s">
        <v>586</v>
      </c>
      <c r="G10" s="158" t="s">
        <v>45</v>
      </c>
      <c r="H10" s="163" t="s">
        <v>587</v>
      </c>
      <c r="I10" s="158" t="s">
        <v>597</v>
      </c>
      <c r="J10" s="178" t="s">
        <v>52</v>
      </c>
      <c r="K10" s="178" t="s">
        <v>52</v>
      </c>
      <c r="L10" s="177">
        <v>2</v>
      </c>
      <c r="M10" s="177">
        <v>2</v>
      </c>
      <c r="N10" s="177"/>
      <c r="O10" s="177"/>
      <c r="P10" s="177"/>
      <c r="Q10" s="177"/>
      <c r="R10" s="177"/>
      <c r="S10" s="158" t="s">
        <v>148</v>
      </c>
    </row>
    <row r="11" spans="1:19" ht="80" x14ac:dyDescent="0.2">
      <c r="A11" s="158" t="s">
        <v>43</v>
      </c>
      <c r="B11" s="159">
        <v>261</v>
      </c>
      <c r="C11" s="170">
        <v>44125.859722222223</v>
      </c>
      <c r="D11" s="158" t="s">
        <v>48</v>
      </c>
      <c r="E11" s="158">
        <v>10</v>
      </c>
      <c r="F11" s="160" t="s">
        <v>586</v>
      </c>
      <c r="G11" s="158" t="s">
        <v>45</v>
      </c>
      <c r="H11" s="163" t="s">
        <v>598</v>
      </c>
      <c r="I11" s="158" t="s">
        <v>599</v>
      </c>
      <c r="J11" s="178" t="s">
        <v>52</v>
      </c>
      <c r="K11" s="178" t="s">
        <v>52</v>
      </c>
      <c r="L11" s="177"/>
      <c r="M11" s="177"/>
      <c r="N11" s="177"/>
      <c r="O11" s="177"/>
      <c r="P11" s="177"/>
      <c r="Q11" s="177"/>
      <c r="R11" s="177"/>
      <c r="S11" s="158" t="s">
        <v>54</v>
      </c>
    </row>
    <row r="12" spans="1:19" ht="16" x14ac:dyDescent="0.2">
      <c r="A12" s="158" t="s">
        <v>43</v>
      </c>
      <c r="B12" s="159">
        <v>261</v>
      </c>
      <c r="C12" s="170">
        <v>44125.861805555556</v>
      </c>
      <c r="D12" s="158" t="s">
        <v>48</v>
      </c>
      <c r="E12" s="158">
        <v>10</v>
      </c>
      <c r="F12" s="160" t="s">
        <v>586</v>
      </c>
      <c r="G12" s="158" t="s">
        <v>45</v>
      </c>
      <c r="H12" s="163" t="s">
        <v>598</v>
      </c>
      <c r="I12" s="158" t="s">
        <v>600</v>
      </c>
      <c r="J12" s="178" t="s">
        <v>52</v>
      </c>
      <c r="K12" s="178" t="s">
        <v>52</v>
      </c>
      <c r="L12" s="177"/>
      <c r="M12" s="177"/>
      <c r="N12" s="177" t="s">
        <v>58</v>
      </c>
      <c r="O12" s="177" t="s">
        <v>58</v>
      </c>
      <c r="P12" s="177"/>
      <c r="Q12" s="177"/>
      <c r="R12" s="177"/>
      <c r="S12" s="158" t="s">
        <v>59</v>
      </c>
    </row>
    <row r="13" spans="1:19" ht="128" x14ac:dyDescent="0.2">
      <c r="A13" s="158" t="s">
        <v>43</v>
      </c>
      <c r="B13" s="159">
        <v>261</v>
      </c>
      <c r="C13" s="170">
        <v>44125.861805555556</v>
      </c>
      <c r="D13" s="158" t="s">
        <v>48</v>
      </c>
      <c r="E13" s="158">
        <v>10</v>
      </c>
      <c r="F13" s="160" t="s">
        <v>586</v>
      </c>
      <c r="G13" s="158" t="s">
        <v>45</v>
      </c>
      <c r="H13" s="163" t="s">
        <v>598</v>
      </c>
      <c r="I13" s="158" t="s">
        <v>601</v>
      </c>
      <c r="J13" s="178" t="s">
        <v>52</v>
      </c>
      <c r="K13" s="178" t="s">
        <v>52</v>
      </c>
      <c r="L13" s="177"/>
      <c r="M13" s="177"/>
      <c r="N13" s="177" t="s">
        <v>305</v>
      </c>
      <c r="O13" s="177" t="s">
        <v>305</v>
      </c>
      <c r="P13" s="177"/>
      <c r="Q13" s="177"/>
      <c r="R13" s="177"/>
      <c r="S13" s="158" t="s">
        <v>54</v>
      </c>
    </row>
    <row r="14" spans="1:19" ht="128" x14ac:dyDescent="0.2">
      <c r="A14" s="158" t="s">
        <v>43</v>
      </c>
      <c r="B14" s="159">
        <v>261</v>
      </c>
      <c r="C14" s="170">
        <v>44126.343055555553</v>
      </c>
      <c r="D14" s="158" t="s">
        <v>48</v>
      </c>
      <c r="E14" s="158">
        <v>10</v>
      </c>
      <c r="F14" s="160" t="s">
        <v>586</v>
      </c>
      <c r="G14" s="158" t="s">
        <v>45</v>
      </c>
      <c r="H14" s="163" t="s">
        <v>602</v>
      </c>
      <c r="I14" s="158" t="s">
        <v>603</v>
      </c>
      <c r="J14" s="178" t="s">
        <v>52</v>
      </c>
      <c r="K14" s="178" t="s">
        <v>52</v>
      </c>
      <c r="L14" s="177"/>
      <c r="M14" s="177"/>
      <c r="N14" s="177"/>
      <c r="O14" s="177"/>
      <c r="P14" s="177"/>
      <c r="Q14" s="177"/>
      <c r="R14" s="177"/>
      <c r="S14" s="158" t="s">
        <v>54</v>
      </c>
    </row>
    <row r="15" spans="1:19" ht="16" x14ac:dyDescent="0.2">
      <c r="A15" s="158" t="s">
        <v>43</v>
      </c>
      <c r="B15" s="159">
        <v>261</v>
      </c>
      <c r="C15" s="170">
        <v>44126.343055555553</v>
      </c>
      <c r="D15" s="158" t="s">
        <v>48</v>
      </c>
      <c r="E15" s="158">
        <v>10</v>
      </c>
      <c r="F15" s="160" t="s">
        <v>586</v>
      </c>
      <c r="G15" s="158" t="s">
        <v>45</v>
      </c>
      <c r="H15" s="163" t="s">
        <v>602</v>
      </c>
      <c r="I15" s="158" t="s">
        <v>604</v>
      </c>
      <c r="J15" s="178" t="s">
        <v>52</v>
      </c>
      <c r="K15" s="178" t="s">
        <v>52</v>
      </c>
      <c r="L15" s="177"/>
      <c r="M15" s="177"/>
      <c r="N15" s="177"/>
      <c r="O15" s="177"/>
      <c r="P15" s="177"/>
      <c r="Q15" s="177"/>
      <c r="R15" s="177"/>
      <c r="S15" s="158" t="s">
        <v>78</v>
      </c>
    </row>
    <row r="16" spans="1:19" ht="144" x14ac:dyDescent="0.2">
      <c r="A16" s="158" t="s">
        <v>43</v>
      </c>
      <c r="B16" s="159">
        <v>261</v>
      </c>
      <c r="C16" s="170">
        <v>44126.468055555553</v>
      </c>
      <c r="D16" s="158" t="s">
        <v>48</v>
      </c>
      <c r="E16" s="158">
        <v>9</v>
      </c>
      <c r="F16" s="160" t="s">
        <v>586</v>
      </c>
      <c r="G16" s="158" t="s">
        <v>45</v>
      </c>
      <c r="H16" s="163" t="s">
        <v>605</v>
      </c>
      <c r="I16" s="158" t="s">
        <v>606</v>
      </c>
      <c r="J16" s="178" t="s">
        <v>52</v>
      </c>
      <c r="K16" s="178" t="s">
        <v>52</v>
      </c>
      <c r="L16" s="177"/>
      <c r="M16" s="177"/>
      <c r="N16" s="177"/>
      <c r="O16" s="177"/>
      <c r="P16" s="177"/>
      <c r="Q16" s="177"/>
      <c r="R16" s="177"/>
      <c r="S16" s="158" t="s">
        <v>54</v>
      </c>
    </row>
    <row r="17" spans="1:19" ht="16" x14ac:dyDescent="0.2">
      <c r="A17" s="158" t="s">
        <v>43</v>
      </c>
      <c r="B17" s="159">
        <v>261</v>
      </c>
      <c r="C17" s="170">
        <v>44126.468055555553</v>
      </c>
      <c r="D17" s="158" t="s">
        <v>48</v>
      </c>
      <c r="E17" s="158">
        <v>9</v>
      </c>
      <c r="F17" s="160" t="s">
        <v>586</v>
      </c>
      <c r="G17" s="158" t="s">
        <v>45</v>
      </c>
      <c r="H17" s="163" t="s">
        <v>605</v>
      </c>
      <c r="I17" s="158" t="s">
        <v>173</v>
      </c>
      <c r="J17" s="178" t="s">
        <v>52</v>
      </c>
      <c r="K17" s="178" t="s">
        <v>52</v>
      </c>
      <c r="L17" s="177"/>
      <c r="M17" s="177"/>
      <c r="N17" s="177"/>
      <c r="O17" s="177"/>
      <c r="P17" s="177"/>
      <c r="Q17" s="177"/>
      <c r="R17" s="177"/>
      <c r="S17" s="158" t="s">
        <v>78</v>
      </c>
    </row>
    <row r="18" spans="1:19" ht="96" x14ac:dyDescent="0.2">
      <c r="A18" s="158" t="s">
        <v>43</v>
      </c>
      <c r="B18" s="159">
        <v>261</v>
      </c>
      <c r="C18" s="170">
        <v>44126.99722222222</v>
      </c>
      <c r="D18" s="158" t="s">
        <v>48</v>
      </c>
      <c r="E18" s="158">
        <v>10</v>
      </c>
      <c r="F18" s="160" t="s">
        <v>586</v>
      </c>
      <c r="G18" s="158" t="s">
        <v>45</v>
      </c>
      <c r="H18" s="163" t="s">
        <v>587</v>
      </c>
      <c r="I18" s="158" t="s">
        <v>607</v>
      </c>
      <c r="J18" s="178" t="s">
        <v>52</v>
      </c>
      <c r="K18" s="178" t="s">
        <v>52</v>
      </c>
      <c r="L18" s="177"/>
      <c r="M18" s="177"/>
      <c r="N18" s="177"/>
      <c r="O18" s="177"/>
      <c r="P18" s="177"/>
      <c r="Q18" s="177"/>
      <c r="R18" s="177"/>
      <c r="S18" s="158" t="s">
        <v>54</v>
      </c>
    </row>
    <row r="19" spans="1:19" ht="16" x14ac:dyDescent="0.2">
      <c r="A19" s="158" t="s">
        <v>43</v>
      </c>
      <c r="B19" s="159">
        <v>261</v>
      </c>
      <c r="C19" s="170">
        <v>44126.99722222222</v>
      </c>
      <c r="D19" s="158" t="s">
        <v>48</v>
      </c>
      <c r="E19" s="158">
        <v>10</v>
      </c>
      <c r="F19" s="160" t="s">
        <v>586</v>
      </c>
      <c r="G19" s="158" t="s">
        <v>45</v>
      </c>
      <c r="H19" s="163" t="s">
        <v>587</v>
      </c>
      <c r="I19" s="158" t="s">
        <v>608</v>
      </c>
      <c r="J19" s="178" t="s">
        <v>52</v>
      </c>
      <c r="K19" s="178" t="s">
        <v>52</v>
      </c>
      <c r="L19" s="177"/>
      <c r="M19" s="177"/>
      <c r="N19" s="177"/>
      <c r="O19" s="177"/>
      <c r="P19" s="177"/>
      <c r="Q19" s="177"/>
      <c r="R19" s="177"/>
      <c r="S19" s="158" t="s">
        <v>54</v>
      </c>
    </row>
    <row r="20" spans="1:19" ht="16" x14ac:dyDescent="0.2">
      <c r="A20" s="158" t="s">
        <v>43</v>
      </c>
      <c r="B20" s="159">
        <v>261</v>
      </c>
      <c r="C20" s="170">
        <v>44127.451388888891</v>
      </c>
      <c r="D20" s="158" t="s">
        <v>48</v>
      </c>
      <c r="E20" s="158">
        <v>10</v>
      </c>
      <c r="F20" s="160" t="s">
        <v>586</v>
      </c>
      <c r="G20" s="158" t="s">
        <v>45</v>
      </c>
      <c r="H20" s="163" t="s">
        <v>587</v>
      </c>
      <c r="I20" s="158" t="s">
        <v>609</v>
      </c>
      <c r="J20" s="178" t="s">
        <v>52</v>
      </c>
      <c r="K20" s="178" t="s">
        <v>52</v>
      </c>
      <c r="L20" s="177"/>
      <c r="M20" s="177"/>
      <c r="N20" s="177"/>
      <c r="O20" s="177"/>
      <c r="P20" s="177"/>
      <c r="Q20" s="177"/>
      <c r="R20" s="177"/>
      <c r="S20" s="158" t="s">
        <v>128</v>
      </c>
    </row>
    <row r="21" spans="1:19" ht="16" x14ac:dyDescent="0.2">
      <c r="A21" s="158" t="s">
        <v>43</v>
      </c>
      <c r="B21" s="159">
        <v>261</v>
      </c>
      <c r="C21" s="170">
        <v>44127.451388888891</v>
      </c>
      <c r="D21" s="158" t="s">
        <v>48</v>
      </c>
      <c r="E21" s="158">
        <v>10</v>
      </c>
      <c r="F21" s="160" t="s">
        <v>586</v>
      </c>
      <c r="G21" s="158" t="s">
        <v>45</v>
      </c>
      <c r="H21" s="163" t="s">
        <v>587</v>
      </c>
      <c r="I21" s="158" t="s">
        <v>609</v>
      </c>
      <c r="J21" s="178" t="s">
        <v>52</v>
      </c>
      <c r="K21" s="178" t="s">
        <v>52</v>
      </c>
      <c r="L21" s="177"/>
      <c r="M21" s="177"/>
      <c r="N21" s="177"/>
      <c r="O21" s="177"/>
      <c r="P21" s="177"/>
      <c r="Q21" s="177"/>
      <c r="R21" s="177"/>
      <c r="S21" s="158" t="s">
        <v>128</v>
      </c>
    </row>
    <row r="22" spans="1:19" ht="16" x14ac:dyDescent="0.2">
      <c r="A22" s="158" t="s">
        <v>43</v>
      </c>
      <c r="B22" s="159">
        <v>261</v>
      </c>
      <c r="C22" s="170">
        <v>44127.451388888891</v>
      </c>
      <c r="D22" s="158" t="s">
        <v>48</v>
      </c>
      <c r="E22" s="158">
        <v>10</v>
      </c>
      <c r="F22" s="160" t="s">
        <v>586</v>
      </c>
      <c r="G22" s="158" t="s">
        <v>45</v>
      </c>
      <c r="H22" s="163" t="s">
        <v>587</v>
      </c>
      <c r="I22" s="158" t="s">
        <v>609</v>
      </c>
      <c r="J22" s="178" t="s">
        <v>52</v>
      </c>
      <c r="K22" s="178" t="s">
        <v>52</v>
      </c>
      <c r="L22" s="177"/>
      <c r="M22" s="177"/>
      <c r="N22" s="177"/>
      <c r="O22" s="177"/>
      <c r="P22" s="177"/>
      <c r="Q22" s="177"/>
      <c r="R22" s="177"/>
      <c r="S22" s="158" t="s">
        <v>128</v>
      </c>
    </row>
    <row r="23" spans="1:19" ht="192" x14ac:dyDescent="0.2">
      <c r="A23" s="158" t="s">
        <v>43</v>
      </c>
      <c r="B23" s="159">
        <v>261</v>
      </c>
      <c r="C23" s="170">
        <v>44132.925694444442</v>
      </c>
      <c r="D23" s="158" t="s">
        <v>48</v>
      </c>
      <c r="E23" s="158">
        <v>10</v>
      </c>
      <c r="F23" s="160" t="s">
        <v>586</v>
      </c>
      <c r="G23" s="158" t="s">
        <v>45</v>
      </c>
      <c r="H23" s="163" t="s">
        <v>610</v>
      </c>
      <c r="I23" s="158" t="s">
        <v>611</v>
      </c>
      <c r="J23" s="178" t="s">
        <v>52</v>
      </c>
      <c r="K23" s="178" t="s">
        <v>52</v>
      </c>
      <c r="L23" s="177"/>
      <c r="M23" s="177"/>
      <c r="N23" s="177"/>
      <c r="O23" s="177"/>
      <c r="P23" s="177"/>
      <c r="Q23" s="177"/>
      <c r="R23" s="177"/>
      <c r="S23" s="158" t="s">
        <v>54</v>
      </c>
    </row>
    <row r="24" spans="1:19" ht="144" x14ac:dyDescent="0.2">
      <c r="A24" s="158" t="s">
        <v>43</v>
      </c>
      <c r="B24" s="159">
        <v>261</v>
      </c>
      <c r="C24" s="170">
        <v>44132.927083333336</v>
      </c>
      <c r="D24" s="158" t="s">
        <v>48</v>
      </c>
      <c r="E24" s="158">
        <v>10</v>
      </c>
      <c r="F24" s="160" t="s">
        <v>586</v>
      </c>
      <c r="G24" s="158" t="s">
        <v>45</v>
      </c>
      <c r="H24" s="163" t="s">
        <v>610</v>
      </c>
      <c r="I24" s="158" t="s">
        <v>612</v>
      </c>
      <c r="J24" s="178" t="s">
        <v>52</v>
      </c>
      <c r="K24" s="178" t="s">
        <v>52</v>
      </c>
      <c r="L24" s="177"/>
      <c r="M24" s="177"/>
      <c r="N24" s="177"/>
      <c r="O24" s="177"/>
      <c r="P24" s="177"/>
      <c r="Q24" s="177"/>
      <c r="R24" s="177"/>
      <c r="S24" s="158" t="s">
        <v>54</v>
      </c>
    </row>
    <row r="25" spans="1:19" ht="16" x14ac:dyDescent="0.2">
      <c r="A25" s="158" t="s">
        <v>43</v>
      </c>
      <c r="B25" s="159">
        <v>261</v>
      </c>
      <c r="C25" s="170">
        <v>44132.927083333336</v>
      </c>
      <c r="D25" s="158" t="s">
        <v>48</v>
      </c>
      <c r="E25" s="158">
        <v>10</v>
      </c>
      <c r="F25" s="160" t="s">
        <v>586</v>
      </c>
      <c r="G25" s="158" t="s">
        <v>45</v>
      </c>
      <c r="H25" s="163" t="s">
        <v>610</v>
      </c>
      <c r="I25" s="158" t="s">
        <v>613</v>
      </c>
      <c r="J25" s="178" t="s">
        <v>52</v>
      </c>
      <c r="K25" s="178" t="s">
        <v>52</v>
      </c>
      <c r="L25" s="177"/>
      <c r="M25" s="177"/>
      <c r="N25" s="177"/>
      <c r="O25" s="177"/>
      <c r="P25" s="177"/>
      <c r="Q25" s="177"/>
      <c r="R25" s="177"/>
      <c r="S25" s="158" t="s">
        <v>78</v>
      </c>
    </row>
    <row r="26" spans="1:19" ht="48" x14ac:dyDescent="0.2">
      <c r="A26" s="158" t="s">
        <v>43</v>
      </c>
      <c r="B26" s="159">
        <v>261</v>
      </c>
      <c r="C26" s="170">
        <v>44135.525694444441</v>
      </c>
      <c r="D26" s="158" t="s">
        <v>48</v>
      </c>
      <c r="E26" s="158">
        <v>9</v>
      </c>
      <c r="F26" s="160" t="s">
        <v>586</v>
      </c>
      <c r="G26" s="158" t="s">
        <v>45</v>
      </c>
      <c r="H26" s="163" t="s">
        <v>614</v>
      </c>
      <c r="I26" s="158" t="s">
        <v>615</v>
      </c>
      <c r="J26" s="178" t="s">
        <v>52</v>
      </c>
      <c r="K26" s="178" t="s">
        <v>52</v>
      </c>
      <c r="L26" s="177"/>
      <c r="M26" s="177"/>
      <c r="N26" s="177"/>
      <c r="O26" s="177"/>
      <c r="P26" s="177"/>
      <c r="Q26" s="177"/>
      <c r="R26" s="177"/>
      <c r="S26" s="158" t="s">
        <v>54</v>
      </c>
    </row>
    <row r="27" spans="1:19" ht="48" x14ac:dyDescent="0.2">
      <c r="A27" s="158" t="s">
        <v>43</v>
      </c>
      <c r="B27" s="159">
        <v>261</v>
      </c>
      <c r="C27" s="170">
        <v>44135.526388888888</v>
      </c>
      <c r="D27" s="158" t="s">
        <v>48</v>
      </c>
      <c r="E27" s="158">
        <v>9</v>
      </c>
      <c r="F27" s="160" t="s">
        <v>586</v>
      </c>
      <c r="G27" s="158" t="s">
        <v>45</v>
      </c>
      <c r="H27" s="163" t="s">
        <v>614</v>
      </c>
      <c r="I27" s="158" t="s">
        <v>616</v>
      </c>
      <c r="J27" s="178" t="s">
        <v>52</v>
      </c>
      <c r="K27" s="178" t="s">
        <v>52</v>
      </c>
      <c r="L27" s="177"/>
      <c r="M27" s="177"/>
      <c r="N27" s="177"/>
      <c r="O27" s="177"/>
      <c r="P27" s="177"/>
      <c r="Q27" s="177"/>
      <c r="R27" s="177"/>
      <c r="S27" s="158" t="s">
        <v>54</v>
      </c>
    </row>
    <row r="28" spans="1:19" ht="64" x14ac:dyDescent="0.2">
      <c r="A28" s="158" t="s">
        <v>43</v>
      </c>
      <c r="B28" s="159">
        <v>261</v>
      </c>
      <c r="C28" s="170">
        <v>44135.527083333334</v>
      </c>
      <c r="D28" s="158" t="s">
        <v>48</v>
      </c>
      <c r="E28" s="158">
        <v>9</v>
      </c>
      <c r="F28" s="160" t="s">
        <v>586</v>
      </c>
      <c r="G28" s="158" t="s">
        <v>45</v>
      </c>
      <c r="H28" s="163" t="s">
        <v>614</v>
      </c>
      <c r="I28" s="158" t="s">
        <v>617</v>
      </c>
      <c r="J28" s="178" t="s">
        <v>52</v>
      </c>
      <c r="K28" s="178" t="s">
        <v>52</v>
      </c>
      <c r="L28" s="177"/>
      <c r="M28" s="177"/>
      <c r="N28" s="177"/>
      <c r="O28" s="177"/>
      <c r="P28" s="177"/>
      <c r="Q28" s="177"/>
      <c r="R28" s="177"/>
      <c r="S28" s="158" t="s">
        <v>54</v>
      </c>
    </row>
    <row r="29" spans="1:19" ht="32" x14ac:dyDescent="0.2">
      <c r="A29" s="158" t="s">
        <v>43</v>
      </c>
      <c r="B29" s="159">
        <v>261</v>
      </c>
      <c r="C29" s="170">
        <v>44135.675000000003</v>
      </c>
      <c r="D29" s="158" t="s">
        <v>48</v>
      </c>
      <c r="E29" s="158">
        <v>10</v>
      </c>
      <c r="F29" s="160" t="s">
        <v>586</v>
      </c>
      <c r="G29" s="158" t="s">
        <v>45</v>
      </c>
      <c r="H29" s="163" t="s">
        <v>618</v>
      </c>
      <c r="I29" s="158" t="s">
        <v>619</v>
      </c>
      <c r="J29" s="178" t="s">
        <v>52</v>
      </c>
      <c r="K29" s="178" t="s">
        <v>52</v>
      </c>
      <c r="L29" s="177"/>
      <c r="M29" s="177"/>
      <c r="N29" s="177"/>
      <c r="O29" s="177"/>
      <c r="P29" s="177"/>
      <c r="Q29" s="177"/>
      <c r="R29" s="177"/>
      <c r="S29" s="158" t="s">
        <v>54</v>
      </c>
    </row>
    <row r="30" spans="1:19" ht="48" x14ac:dyDescent="0.2">
      <c r="A30" s="158" t="s">
        <v>43</v>
      </c>
      <c r="B30" s="159">
        <v>261</v>
      </c>
      <c r="C30" s="170">
        <v>44135.676388888889</v>
      </c>
      <c r="D30" s="158" t="s">
        <v>48</v>
      </c>
      <c r="E30" s="158">
        <v>10</v>
      </c>
      <c r="F30" s="160" t="s">
        <v>586</v>
      </c>
      <c r="G30" s="158" t="s">
        <v>45</v>
      </c>
      <c r="H30" s="163" t="s">
        <v>618</v>
      </c>
      <c r="I30" s="158" t="s">
        <v>620</v>
      </c>
      <c r="J30" s="178" t="s">
        <v>52</v>
      </c>
      <c r="K30" s="178" t="s">
        <v>52</v>
      </c>
      <c r="L30" s="177"/>
      <c r="M30" s="177"/>
      <c r="N30" s="177"/>
      <c r="O30" s="177"/>
      <c r="P30" s="177"/>
      <c r="Q30" s="177"/>
      <c r="R30" s="177"/>
      <c r="S30" s="158" t="s">
        <v>54</v>
      </c>
    </row>
    <row r="31" spans="1:19" ht="96" x14ac:dyDescent="0.2">
      <c r="A31" s="158" t="s">
        <v>43</v>
      </c>
      <c r="B31" s="159">
        <v>261</v>
      </c>
      <c r="C31" s="170">
        <v>44135.975694444445</v>
      </c>
      <c r="D31" s="158" t="s">
        <v>48</v>
      </c>
      <c r="E31" s="158">
        <v>10</v>
      </c>
      <c r="F31" s="160" t="s">
        <v>586</v>
      </c>
      <c r="G31" s="158" t="s">
        <v>45</v>
      </c>
      <c r="H31" s="163" t="s">
        <v>618</v>
      </c>
      <c r="I31" s="158" t="s">
        <v>621</v>
      </c>
      <c r="J31" s="178" t="s">
        <v>52</v>
      </c>
      <c r="K31" s="178" t="s">
        <v>52</v>
      </c>
      <c r="L31" s="177"/>
      <c r="M31" s="177"/>
      <c r="N31" s="177"/>
      <c r="O31" s="177"/>
      <c r="P31" s="177"/>
      <c r="Q31" s="177"/>
      <c r="R31" s="177"/>
      <c r="S31" s="158" t="s">
        <v>54</v>
      </c>
    </row>
    <row r="32" spans="1:19" ht="48" x14ac:dyDescent="0.2">
      <c r="A32" s="158" t="s">
        <v>43</v>
      </c>
      <c r="B32" s="159">
        <v>261</v>
      </c>
      <c r="C32" s="170">
        <v>44137.138194444444</v>
      </c>
      <c r="D32" s="158" t="s">
        <v>48</v>
      </c>
      <c r="E32" s="158">
        <v>9</v>
      </c>
      <c r="F32" s="160" t="s">
        <v>586</v>
      </c>
      <c r="G32" s="158" t="s">
        <v>45</v>
      </c>
      <c r="H32" s="163" t="s">
        <v>622</v>
      </c>
      <c r="I32" s="158" t="s">
        <v>623</v>
      </c>
      <c r="J32" s="178" t="s">
        <v>52</v>
      </c>
      <c r="K32" s="178" t="s">
        <v>52</v>
      </c>
      <c r="L32" s="177"/>
      <c r="M32" s="177"/>
      <c r="N32" s="177"/>
      <c r="O32" s="177"/>
      <c r="P32" s="177"/>
      <c r="Q32" s="177"/>
      <c r="R32" s="177"/>
      <c r="S32" s="158" t="s">
        <v>54</v>
      </c>
    </row>
    <row r="33" spans="1:19" ht="32" x14ac:dyDescent="0.2">
      <c r="A33" s="158" t="s">
        <v>43</v>
      </c>
      <c r="B33" s="159">
        <v>261</v>
      </c>
      <c r="C33" s="170">
        <v>44137.140277777777</v>
      </c>
      <c r="D33" s="158" t="s">
        <v>48</v>
      </c>
      <c r="E33" s="158">
        <v>9</v>
      </c>
      <c r="F33" s="160" t="s">
        <v>586</v>
      </c>
      <c r="G33" s="158" t="s">
        <v>45</v>
      </c>
      <c r="H33" s="163" t="s">
        <v>622</v>
      </c>
      <c r="I33" s="158" t="s">
        <v>624</v>
      </c>
      <c r="J33" s="178" t="s">
        <v>52</v>
      </c>
      <c r="K33" s="178" t="s">
        <v>52</v>
      </c>
      <c r="L33" s="177"/>
      <c r="M33" s="177"/>
      <c r="N33" s="177"/>
      <c r="O33" s="177"/>
      <c r="P33" s="177"/>
      <c r="Q33" s="177"/>
      <c r="R33" s="177"/>
      <c r="S33" s="158" t="s">
        <v>54</v>
      </c>
    </row>
    <row r="34" spans="1:19" ht="80" x14ac:dyDescent="0.2">
      <c r="A34" s="158" t="s">
        <v>43</v>
      </c>
      <c r="B34" s="159">
        <v>261</v>
      </c>
      <c r="C34" s="170">
        <v>44137.95</v>
      </c>
      <c r="D34" s="158" t="s">
        <v>48</v>
      </c>
      <c r="E34" s="158">
        <v>10</v>
      </c>
      <c r="F34" s="160" t="s">
        <v>586</v>
      </c>
      <c r="G34" s="158" t="s">
        <v>45</v>
      </c>
      <c r="H34" s="163" t="s">
        <v>622</v>
      </c>
      <c r="I34" s="158" t="s">
        <v>625</v>
      </c>
      <c r="J34" s="178" t="s">
        <v>166</v>
      </c>
      <c r="K34" s="178" t="s">
        <v>166</v>
      </c>
      <c r="L34" s="177"/>
      <c r="M34" s="177"/>
      <c r="N34" s="177"/>
      <c r="O34" s="177"/>
      <c r="P34" s="177"/>
      <c r="Q34" s="177"/>
      <c r="R34" s="177"/>
      <c r="S34" s="158" t="s">
        <v>54</v>
      </c>
    </row>
    <row r="35" spans="1:19" ht="80" x14ac:dyDescent="0.2">
      <c r="A35" s="158" t="s">
        <v>43</v>
      </c>
      <c r="B35" s="159">
        <v>261</v>
      </c>
      <c r="C35" s="170">
        <v>44137.955555555556</v>
      </c>
      <c r="D35" s="158" t="s">
        <v>48</v>
      </c>
      <c r="E35" s="158">
        <v>10</v>
      </c>
      <c r="F35" s="160" t="s">
        <v>586</v>
      </c>
      <c r="G35" s="158" t="s">
        <v>45</v>
      </c>
      <c r="H35" s="163" t="s">
        <v>622</v>
      </c>
      <c r="I35" s="158" t="s">
        <v>626</v>
      </c>
      <c r="J35" s="178" t="s">
        <v>52</v>
      </c>
      <c r="K35" s="178" t="s">
        <v>52</v>
      </c>
      <c r="L35" s="177"/>
      <c r="M35" s="177"/>
      <c r="N35" s="177"/>
      <c r="O35" s="177"/>
      <c r="P35" s="177"/>
      <c r="Q35" s="177"/>
      <c r="R35" s="177"/>
      <c r="S35" s="158" t="s">
        <v>54</v>
      </c>
    </row>
    <row r="36" spans="1:19" ht="32" x14ac:dyDescent="0.2">
      <c r="A36" s="158" t="s">
        <v>43</v>
      </c>
      <c r="B36" s="159">
        <v>261</v>
      </c>
      <c r="C36" s="170">
        <v>44145.853472222225</v>
      </c>
      <c r="D36" s="158" t="s">
        <v>48</v>
      </c>
      <c r="E36" s="158">
        <v>10</v>
      </c>
      <c r="F36" s="160" t="s">
        <v>586</v>
      </c>
      <c r="G36" s="158" t="s">
        <v>45</v>
      </c>
      <c r="H36" s="163" t="s">
        <v>627</v>
      </c>
      <c r="I36" s="158" t="s">
        <v>628</v>
      </c>
      <c r="J36" s="178" t="s">
        <v>52</v>
      </c>
      <c r="K36" s="178" t="s">
        <v>52</v>
      </c>
      <c r="L36" s="177"/>
      <c r="M36" s="177"/>
      <c r="N36" s="177"/>
      <c r="O36" s="177"/>
      <c r="P36" s="177"/>
      <c r="Q36" s="177"/>
      <c r="R36" s="177"/>
      <c r="S36" s="158" t="s">
        <v>54</v>
      </c>
    </row>
    <row r="37" spans="1:19" ht="64" x14ac:dyDescent="0.2">
      <c r="A37" s="158" t="s">
        <v>43</v>
      </c>
      <c r="B37" s="159">
        <v>261</v>
      </c>
      <c r="C37" s="170">
        <v>44145.856249999997</v>
      </c>
      <c r="D37" s="158" t="s">
        <v>48</v>
      </c>
      <c r="E37" s="158">
        <v>10</v>
      </c>
      <c r="F37" s="160" t="s">
        <v>586</v>
      </c>
      <c r="G37" s="158" t="s">
        <v>45</v>
      </c>
      <c r="H37" s="163" t="s">
        <v>627</v>
      </c>
      <c r="I37" s="158" t="s">
        <v>629</v>
      </c>
      <c r="J37" s="178" t="s">
        <v>52</v>
      </c>
      <c r="K37" s="178" t="s">
        <v>52</v>
      </c>
      <c r="L37" s="177"/>
      <c r="M37" s="177"/>
      <c r="N37" s="177"/>
      <c r="O37" s="177"/>
      <c r="P37" s="177"/>
      <c r="Q37" s="177"/>
      <c r="R37" s="177"/>
      <c r="S37" s="158" t="s">
        <v>54</v>
      </c>
    </row>
    <row r="38" spans="1:19" ht="16" x14ac:dyDescent="0.2">
      <c r="A38" s="158" t="s">
        <v>43</v>
      </c>
      <c r="B38" s="159">
        <v>261</v>
      </c>
      <c r="C38" s="170">
        <v>44145.859027777777</v>
      </c>
      <c r="D38" s="158" t="s">
        <v>48</v>
      </c>
      <c r="E38" s="158">
        <v>10</v>
      </c>
      <c r="F38" s="160" t="s">
        <v>586</v>
      </c>
      <c r="G38" s="158" t="s">
        <v>45</v>
      </c>
      <c r="H38" s="163" t="s">
        <v>627</v>
      </c>
      <c r="I38" s="158" t="s">
        <v>630</v>
      </c>
      <c r="J38" s="178" t="s">
        <v>52</v>
      </c>
      <c r="K38" s="178" t="s">
        <v>52</v>
      </c>
      <c r="L38" s="177"/>
      <c r="M38" s="177"/>
      <c r="N38" s="177" t="s">
        <v>58</v>
      </c>
      <c r="O38" s="177" t="s">
        <v>58</v>
      </c>
      <c r="P38" s="177"/>
      <c r="Q38" s="177"/>
      <c r="R38" s="177"/>
      <c r="S38" s="158" t="s">
        <v>59</v>
      </c>
    </row>
    <row r="39" spans="1:19" s="176" customFormat="1" ht="49" thickBot="1" x14ac:dyDescent="0.25">
      <c r="A39" s="171" t="s">
        <v>43</v>
      </c>
      <c r="B39" s="172">
        <v>261</v>
      </c>
      <c r="C39" s="173">
        <v>44145.859027777777</v>
      </c>
      <c r="D39" s="171" t="s">
        <v>48</v>
      </c>
      <c r="E39" s="171">
        <v>10</v>
      </c>
      <c r="F39" s="174" t="s">
        <v>586</v>
      </c>
      <c r="G39" s="171" t="s">
        <v>45</v>
      </c>
      <c r="H39" s="175" t="s">
        <v>627</v>
      </c>
      <c r="I39" s="171" t="s">
        <v>631</v>
      </c>
      <c r="J39" s="178" t="s">
        <v>52</v>
      </c>
      <c r="K39" s="178" t="s">
        <v>52</v>
      </c>
      <c r="L39" s="177"/>
      <c r="M39" s="177"/>
      <c r="N39" s="177" t="s">
        <v>305</v>
      </c>
      <c r="O39" s="177" t="s">
        <v>305</v>
      </c>
      <c r="P39" s="177"/>
      <c r="Q39" s="177"/>
      <c r="R39" s="177"/>
      <c r="S39" s="171" t="s">
        <v>54</v>
      </c>
    </row>
    <row r="40" spans="1:19" ht="14" thickTop="1" x14ac:dyDescent="0.15"/>
    <row r="102" spans="10:18" ht="14" thickBot="1" x14ac:dyDescent="0.2">
      <c r="J102" s="64"/>
      <c r="K102" s="64"/>
      <c r="L102" s="64"/>
      <c r="M102" s="64"/>
      <c r="N102" s="64"/>
      <c r="O102" s="64"/>
      <c r="P102" s="64"/>
      <c r="Q102" s="64"/>
      <c r="R102" s="64"/>
    </row>
    <row r="103" spans="10:18" ht="14" thickTop="1" x14ac:dyDescent="0.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C5E8A-B082-472A-8F92-2BD8AB4AFB1C}">
  <sheetPr codeName="Sheet3"/>
  <dimension ref="A1:V195"/>
  <sheetViews>
    <sheetView workbookViewId="0">
      <pane ySplit="1" topLeftCell="A2" activePane="bottomLeft" state="frozen"/>
      <selection pane="bottomLeft"/>
    </sheetView>
  </sheetViews>
  <sheetFormatPr baseColWidth="10" defaultColWidth="8.83203125" defaultRowHeight="13" x14ac:dyDescent="0.15"/>
  <cols>
    <col min="1" max="1" width="20.5" style="70" customWidth="1"/>
    <col min="2" max="2" width="9.1640625" style="74"/>
    <col min="3" max="4" width="20.5" style="70" customWidth="1"/>
    <col min="5" max="5" width="11.5" style="70" customWidth="1"/>
    <col min="6" max="6" width="50.5" style="75" customWidth="1"/>
    <col min="7" max="7" width="16.83203125" style="70" hidden="1" customWidth="1"/>
    <col min="8" max="9" width="0" style="70" hidden="1" customWidth="1"/>
    <col min="10" max="10" width="16.83203125" style="70" hidden="1" customWidth="1"/>
    <col min="11" max="11" width="17.83203125" bestFit="1" customWidth="1"/>
    <col min="12" max="12" width="18.5" customWidth="1"/>
    <col min="13" max="13" width="17.5" bestFit="1" customWidth="1"/>
    <col min="14" max="14" width="15.83203125" customWidth="1"/>
    <col min="15" max="15" width="11.5" bestFit="1" customWidth="1"/>
    <col min="16" max="16" width="10.1640625" customWidth="1"/>
    <col min="17" max="17" width="13.5" bestFit="1" customWidth="1"/>
    <col min="18" max="18" width="11.5" customWidth="1"/>
    <col min="19" max="19" width="12.5" customWidth="1"/>
    <col min="20" max="20" width="8.83203125" customWidth="1"/>
    <col min="22" max="22" width="20.5" style="70" customWidth="1"/>
  </cols>
  <sheetData>
    <row r="1" spans="1:22" ht="30" x14ac:dyDescent="0.15">
      <c r="A1" s="66" t="s">
        <v>21</v>
      </c>
      <c r="B1" s="67" t="s">
        <v>22</v>
      </c>
      <c r="C1" s="68" t="s">
        <v>23</v>
      </c>
      <c r="D1" s="68" t="s">
        <v>24</v>
      </c>
      <c r="E1" s="66" t="s">
        <v>25</v>
      </c>
      <c r="F1" s="66" t="s">
        <v>26</v>
      </c>
      <c r="G1" s="66" t="s">
        <v>27</v>
      </c>
      <c r="H1" s="66" t="s">
        <v>28</v>
      </c>
      <c r="I1" s="66" t="s">
        <v>29</v>
      </c>
      <c r="J1" s="234" t="s">
        <v>30</v>
      </c>
      <c r="K1" s="210" t="s">
        <v>31</v>
      </c>
      <c r="L1" s="254" t="s">
        <v>32</v>
      </c>
      <c r="M1" s="210" t="s">
        <v>33</v>
      </c>
      <c r="N1" s="254" t="s">
        <v>34</v>
      </c>
      <c r="O1" s="210" t="s">
        <v>35</v>
      </c>
      <c r="P1" s="254" t="s">
        <v>36</v>
      </c>
      <c r="Q1" s="210" t="s">
        <v>37</v>
      </c>
      <c r="R1" s="254" t="s">
        <v>38</v>
      </c>
      <c r="S1" s="211" t="s">
        <v>39</v>
      </c>
      <c r="T1" s="255" t="s">
        <v>40</v>
      </c>
      <c r="U1" s="65" t="s">
        <v>41</v>
      </c>
      <c r="V1" s="66" t="s">
        <v>42</v>
      </c>
    </row>
    <row r="2" spans="1:22" s="217" customFormat="1" ht="15" x14ac:dyDescent="0.15">
      <c r="A2" s="212" t="s">
        <v>43</v>
      </c>
      <c r="B2" s="213">
        <v>260</v>
      </c>
      <c r="C2" s="214" t="s">
        <v>44</v>
      </c>
      <c r="D2" s="214" t="s">
        <v>45</v>
      </c>
      <c r="E2" s="212" t="s">
        <v>46</v>
      </c>
      <c r="F2" s="212" t="s">
        <v>47</v>
      </c>
      <c r="G2" s="215">
        <v>44124.712500000001</v>
      </c>
      <c r="H2" s="212" t="s">
        <v>48</v>
      </c>
      <c r="I2" s="212">
        <v>10</v>
      </c>
      <c r="J2" s="216">
        <v>3.1</v>
      </c>
      <c r="K2" s="217" t="s">
        <v>49</v>
      </c>
      <c r="M2" s="217">
        <v>1</v>
      </c>
      <c r="V2" s="212" t="s">
        <v>50</v>
      </c>
    </row>
    <row r="3" spans="1:22" s="217" customFormat="1" ht="15" x14ac:dyDescent="0.15">
      <c r="A3" s="212" t="s">
        <v>43</v>
      </c>
      <c r="B3" s="213">
        <v>260</v>
      </c>
      <c r="C3" s="214" t="s">
        <v>44</v>
      </c>
      <c r="D3" s="214" t="s">
        <v>45</v>
      </c>
      <c r="E3" s="212" t="s">
        <v>46</v>
      </c>
      <c r="F3" s="212" t="s">
        <v>51</v>
      </c>
      <c r="G3" s="215">
        <v>44124.712500000001</v>
      </c>
      <c r="H3" s="212" t="s">
        <v>48</v>
      </c>
      <c r="I3" s="212">
        <v>10</v>
      </c>
      <c r="J3" s="216">
        <v>3.1</v>
      </c>
      <c r="K3" s="218" t="s">
        <v>632</v>
      </c>
      <c r="M3" s="217">
        <v>1</v>
      </c>
      <c r="S3" s="218"/>
      <c r="V3" s="212" t="s">
        <v>54</v>
      </c>
    </row>
    <row r="4" spans="1:22" s="217" customFormat="1" ht="30" x14ac:dyDescent="0.15">
      <c r="A4" s="212" t="s">
        <v>43</v>
      </c>
      <c r="B4" s="213">
        <v>260</v>
      </c>
      <c r="C4" s="214" t="s">
        <v>44</v>
      </c>
      <c r="D4" s="214" t="s">
        <v>45</v>
      </c>
      <c r="E4" s="212" t="s">
        <v>46</v>
      </c>
      <c r="F4" s="212" t="s">
        <v>55</v>
      </c>
      <c r="G4" s="215">
        <v>44124.712500000001</v>
      </c>
      <c r="H4" s="212" t="s">
        <v>48</v>
      </c>
      <c r="I4" s="212">
        <v>10</v>
      </c>
      <c r="J4" s="216">
        <v>3.1</v>
      </c>
      <c r="K4" s="218" t="s">
        <v>632</v>
      </c>
      <c r="M4" s="217">
        <v>1</v>
      </c>
      <c r="V4" s="212" t="s">
        <v>54</v>
      </c>
    </row>
    <row r="5" spans="1:22" s="217" customFormat="1" ht="15" x14ac:dyDescent="0.15">
      <c r="A5" s="212" t="s">
        <v>43</v>
      </c>
      <c r="B5" s="213">
        <v>260</v>
      </c>
      <c r="C5" s="214" t="s">
        <v>44</v>
      </c>
      <c r="D5" s="214" t="s">
        <v>45</v>
      </c>
      <c r="E5" s="212" t="s">
        <v>56</v>
      </c>
      <c r="F5" s="212" t="s">
        <v>57</v>
      </c>
      <c r="G5" s="215">
        <v>44131.748611111114</v>
      </c>
      <c r="H5" s="212" t="s">
        <v>48</v>
      </c>
      <c r="I5" s="212">
        <v>10</v>
      </c>
      <c r="J5" s="216">
        <v>3.1</v>
      </c>
      <c r="K5" s="218" t="s">
        <v>632</v>
      </c>
      <c r="M5" s="217">
        <v>1</v>
      </c>
      <c r="O5" s="218" t="s">
        <v>633</v>
      </c>
      <c r="V5" s="212" t="s">
        <v>59</v>
      </c>
    </row>
    <row r="6" spans="1:22" s="217" customFormat="1" ht="15" x14ac:dyDescent="0.15">
      <c r="A6" s="212" t="s">
        <v>43</v>
      </c>
      <c r="B6" s="213">
        <v>260</v>
      </c>
      <c r="C6" s="214" t="s">
        <v>44</v>
      </c>
      <c r="D6" s="214" t="s">
        <v>45</v>
      </c>
      <c r="E6" s="212" t="s">
        <v>56</v>
      </c>
      <c r="F6" s="212" t="s">
        <v>60</v>
      </c>
      <c r="G6" s="215">
        <v>44131.748611111114</v>
      </c>
      <c r="H6" s="212" t="s">
        <v>48</v>
      </c>
      <c r="I6" s="212">
        <v>10</v>
      </c>
      <c r="J6" s="216">
        <v>3.1</v>
      </c>
      <c r="K6" s="218" t="s">
        <v>632</v>
      </c>
      <c r="M6" s="217">
        <v>1</v>
      </c>
      <c r="V6" s="212" t="s">
        <v>54</v>
      </c>
    </row>
    <row r="7" spans="1:22" s="217" customFormat="1" ht="15" x14ac:dyDescent="0.15">
      <c r="A7" s="212" t="s">
        <v>43</v>
      </c>
      <c r="B7" s="213">
        <v>260</v>
      </c>
      <c r="C7" s="214" t="s">
        <v>44</v>
      </c>
      <c r="D7" s="214" t="s">
        <v>45</v>
      </c>
      <c r="E7" s="212" t="s">
        <v>61</v>
      </c>
      <c r="F7" s="212" t="s">
        <v>62</v>
      </c>
      <c r="G7" s="215">
        <v>44132.849305555559</v>
      </c>
      <c r="H7" s="212" t="s">
        <v>48</v>
      </c>
      <c r="I7" s="212">
        <v>9</v>
      </c>
      <c r="J7" s="216">
        <v>3.1</v>
      </c>
      <c r="K7" s="218" t="s">
        <v>632</v>
      </c>
      <c r="M7" s="217">
        <v>1</v>
      </c>
      <c r="V7" s="212" t="s">
        <v>63</v>
      </c>
    </row>
    <row r="8" spans="1:22" s="217" customFormat="1" ht="15" x14ac:dyDescent="0.15">
      <c r="A8" s="212" t="s">
        <v>43</v>
      </c>
      <c r="B8" s="213">
        <v>260</v>
      </c>
      <c r="C8" s="214" t="s">
        <v>44</v>
      </c>
      <c r="D8" s="214" t="s">
        <v>45</v>
      </c>
      <c r="E8" s="212" t="s">
        <v>61</v>
      </c>
      <c r="F8" s="212" t="s">
        <v>64</v>
      </c>
      <c r="G8" s="215">
        <v>44132.849305555559</v>
      </c>
      <c r="H8" s="212" t="s">
        <v>48</v>
      </c>
      <c r="I8" s="212">
        <v>9</v>
      </c>
      <c r="J8" s="216">
        <v>3.1</v>
      </c>
      <c r="K8" s="218" t="s">
        <v>632</v>
      </c>
      <c r="M8" s="217">
        <v>1</v>
      </c>
      <c r="V8" s="212" t="s">
        <v>54</v>
      </c>
    </row>
    <row r="9" spans="1:22" s="217" customFormat="1" ht="30" x14ac:dyDescent="0.15">
      <c r="A9" s="212" t="s">
        <v>43</v>
      </c>
      <c r="B9" s="213">
        <v>260</v>
      </c>
      <c r="C9" s="214" t="s">
        <v>44</v>
      </c>
      <c r="D9" s="214" t="s">
        <v>45</v>
      </c>
      <c r="E9" s="212" t="s">
        <v>61</v>
      </c>
      <c r="F9" s="212" t="s">
        <v>65</v>
      </c>
      <c r="G9" s="215">
        <v>44132.849305555559</v>
      </c>
      <c r="H9" s="212" t="s">
        <v>48</v>
      </c>
      <c r="I9" s="212">
        <v>9</v>
      </c>
      <c r="J9" s="216">
        <v>3.1</v>
      </c>
      <c r="K9" s="218" t="s">
        <v>632</v>
      </c>
      <c r="M9" s="217">
        <v>1</v>
      </c>
      <c r="V9" s="212" t="s">
        <v>54</v>
      </c>
    </row>
    <row r="10" spans="1:22" s="217" customFormat="1" ht="15" x14ac:dyDescent="0.15">
      <c r="A10" s="212" t="s">
        <v>43</v>
      </c>
      <c r="B10" s="213">
        <v>260</v>
      </c>
      <c r="C10" s="214" t="s">
        <v>44</v>
      </c>
      <c r="D10" s="214" t="s">
        <v>45</v>
      </c>
      <c r="E10" s="212" t="s">
        <v>56</v>
      </c>
      <c r="F10" s="212" t="s">
        <v>67</v>
      </c>
      <c r="G10" s="215">
        <v>44146.540972222225</v>
      </c>
      <c r="H10" s="212" t="s">
        <v>48</v>
      </c>
      <c r="I10" s="212">
        <v>8</v>
      </c>
      <c r="J10" s="216">
        <v>3.1</v>
      </c>
      <c r="K10" s="218" t="s">
        <v>634</v>
      </c>
      <c r="M10" s="217">
        <v>1</v>
      </c>
      <c r="V10" s="212" t="s">
        <v>69</v>
      </c>
    </row>
    <row r="11" spans="1:22" s="232" customFormat="1" ht="45" x14ac:dyDescent="0.15">
      <c r="A11" s="227" t="s">
        <v>43</v>
      </c>
      <c r="B11" s="228">
        <v>260</v>
      </c>
      <c r="C11" s="229" t="s">
        <v>44</v>
      </c>
      <c r="D11" s="229" t="s">
        <v>70</v>
      </c>
      <c r="E11" s="227" t="s">
        <v>71</v>
      </c>
      <c r="F11" s="227" t="s">
        <v>72</v>
      </c>
      <c r="G11" s="230">
        <v>44124.39166666667</v>
      </c>
      <c r="H11" s="227" t="s">
        <v>48</v>
      </c>
      <c r="I11" s="227">
        <v>10</v>
      </c>
      <c r="J11" s="231">
        <v>3.2</v>
      </c>
      <c r="K11" s="233" t="s">
        <v>52</v>
      </c>
      <c r="V11" s="227" t="s">
        <v>54</v>
      </c>
    </row>
    <row r="12" spans="1:22" s="232" customFormat="1" ht="30" x14ac:dyDescent="0.15">
      <c r="A12" s="227" t="s">
        <v>43</v>
      </c>
      <c r="B12" s="228">
        <v>260</v>
      </c>
      <c r="C12" s="229" t="s">
        <v>44</v>
      </c>
      <c r="D12" s="229" t="s">
        <v>70</v>
      </c>
      <c r="E12" s="227" t="s">
        <v>71</v>
      </c>
      <c r="F12" s="227" t="s">
        <v>73</v>
      </c>
      <c r="G12" s="230">
        <v>44124.39166666667</v>
      </c>
      <c r="H12" s="227" t="s">
        <v>48</v>
      </c>
      <c r="I12" s="227">
        <v>10</v>
      </c>
      <c r="J12" s="231">
        <v>3.2</v>
      </c>
      <c r="K12" s="233" t="s">
        <v>52</v>
      </c>
      <c r="V12" s="227" t="s">
        <v>54</v>
      </c>
    </row>
    <row r="13" spans="1:22" s="232" customFormat="1" ht="45" x14ac:dyDescent="0.15">
      <c r="A13" s="227" t="s">
        <v>43</v>
      </c>
      <c r="B13" s="228">
        <v>260</v>
      </c>
      <c r="C13" s="229" t="s">
        <v>44</v>
      </c>
      <c r="D13" s="229" t="s">
        <v>70</v>
      </c>
      <c r="E13" s="227" t="s">
        <v>71</v>
      </c>
      <c r="F13" s="227" t="s">
        <v>75</v>
      </c>
      <c r="G13" s="230">
        <v>44124.39166666667</v>
      </c>
      <c r="H13" s="227" t="s">
        <v>48</v>
      </c>
      <c r="I13" s="227">
        <v>10</v>
      </c>
      <c r="J13" s="231">
        <v>3.2</v>
      </c>
      <c r="K13" s="233" t="s">
        <v>52</v>
      </c>
      <c r="V13" s="227" t="s">
        <v>54</v>
      </c>
    </row>
    <row r="14" spans="1:22" s="232" customFormat="1" ht="30" x14ac:dyDescent="0.15">
      <c r="A14" s="227" t="s">
        <v>43</v>
      </c>
      <c r="B14" s="228">
        <v>260</v>
      </c>
      <c r="C14" s="229" t="s">
        <v>44</v>
      </c>
      <c r="D14" s="229" t="s">
        <v>70</v>
      </c>
      <c r="E14" s="227" t="s">
        <v>71</v>
      </c>
      <c r="F14" s="227" t="s">
        <v>76</v>
      </c>
      <c r="G14" s="230">
        <v>44124.39166666667</v>
      </c>
      <c r="H14" s="227" t="s">
        <v>48</v>
      </c>
      <c r="I14" s="227">
        <v>10</v>
      </c>
      <c r="J14" s="231">
        <v>3.2</v>
      </c>
      <c r="K14" s="233" t="s">
        <v>52</v>
      </c>
      <c r="V14" s="227" t="s">
        <v>54</v>
      </c>
    </row>
    <row r="15" spans="1:22" s="232" customFormat="1" ht="15" x14ac:dyDescent="0.15">
      <c r="A15" s="227" t="s">
        <v>43</v>
      </c>
      <c r="B15" s="228">
        <v>260</v>
      </c>
      <c r="C15" s="229" t="s">
        <v>44</v>
      </c>
      <c r="D15" s="229" t="s">
        <v>70</v>
      </c>
      <c r="E15" s="227" t="s">
        <v>71</v>
      </c>
      <c r="F15" s="227" t="s">
        <v>77</v>
      </c>
      <c r="G15" s="230">
        <v>44124.39166666667</v>
      </c>
      <c r="H15" s="227" t="s">
        <v>48</v>
      </c>
      <c r="I15" s="227">
        <v>10</v>
      </c>
      <c r="J15" s="231">
        <v>3.2</v>
      </c>
      <c r="K15" s="233" t="s">
        <v>52</v>
      </c>
      <c r="V15" s="227" t="s">
        <v>78</v>
      </c>
    </row>
    <row r="16" spans="1:22" s="232" customFormat="1" ht="30" x14ac:dyDescent="0.15">
      <c r="A16" s="227" t="s">
        <v>43</v>
      </c>
      <c r="B16" s="228">
        <v>260</v>
      </c>
      <c r="C16" s="229" t="s">
        <v>44</v>
      </c>
      <c r="D16" s="229" t="s">
        <v>70</v>
      </c>
      <c r="E16" s="227" t="s">
        <v>71</v>
      </c>
      <c r="F16" s="227" t="s">
        <v>79</v>
      </c>
      <c r="G16" s="230">
        <v>44124.392361111109</v>
      </c>
      <c r="H16" s="227" t="s">
        <v>48</v>
      </c>
      <c r="I16" s="227">
        <v>10</v>
      </c>
      <c r="J16" s="231">
        <v>3.2</v>
      </c>
      <c r="K16" s="233" t="s">
        <v>52</v>
      </c>
      <c r="V16" s="227" t="s">
        <v>54</v>
      </c>
    </row>
    <row r="17" spans="1:22" s="232" customFormat="1" ht="15" x14ac:dyDescent="0.15">
      <c r="A17" s="227" t="s">
        <v>43</v>
      </c>
      <c r="B17" s="228">
        <v>260</v>
      </c>
      <c r="C17" s="229" t="s">
        <v>44</v>
      </c>
      <c r="D17" s="229" t="s">
        <v>70</v>
      </c>
      <c r="E17" s="227" t="s">
        <v>71</v>
      </c>
      <c r="F17" s="227" t="s">
        <v>80</v>
      </c>
      <c r="G17" s="230">
        <v>44124.392361111109</v>
      </c>
      <c r="H17" s="227" t="s">
        <v>48</v>
      </c>
      <c r="I17" s="227">
        <v>10</v>
      </c>
      <c r="J17" s="231">
        <v>3.2</v>
      </c>
      <c r="K17" s="233" t="s">
        <v>52</v>
      </c>
      <c r="V17" s="227" t="s">
        <v>54</v>
      </c>
    </row>
    <row r="18" spans="1:22" s="232" customFormat="1" ht="15" x14ac:dyDescent="0.15">
      <c r="A18" s="227" t="s">
        <v>43</v>
      </c>
      <c r="B18" s="228">
        <v>260</v>
      </c>
      <c r="C18" s="229" t="s">
        <v>44</v>
      </c>
      <c r="D18" s="229" t="s">
        <v>70</v>
      </c>
      <c r="E18" s="227" t="s">
        <v>71</v>
      </c>
      <c r="F18" s="227" t="s">
        <v>81</v>
      </c>
      <c r="G18" s="230">
        <v>44124.392361111109</v>
      </c>
      <c r="H18" s="227" t="s">
        <v>48</v>
      </c>
      <c r="I18" s="227">
        <v>10</v>
      </c>
      <c r="J18" s="231">
        <v>3.2</v>
      </c>
      <c r="K18" s="233" t="s">
        <v>52</v>
      </c>
      <c r="V18" s="227" t="s">
        <v>54</v>
      </c>
    </row>
    <row r="19" spans="1:22" s="232" customFormat="1" ht="30" x14ac:dyDescent="0.15">
      <c r="A19" s="227" t="s">
        <v>43</v>
      </c>
      <c r="B19" s="228">
        <v>260</v>
      </c>
      <c r="C19" s="229" t="s">
        <v>44</v>
      </c>
      <c r="D19" s="229" t="s">
        <v>70</v>
      </c>
      <c r="E19" s="227" t="s">
        <v>71</v>
      </c>
      <c r="F19" s="227" t="s">
        <v>82</v>
      </c>
      <c r="G19" s="230">
        <v>44124.392361111109</v>
      </c>
      <c r="H19" s="227" t="s">
        <v>48</v>
      </c>
      <c r="I19" s="227">
        <v>10</v>
      </c>
      <c r="J19" s="231">
        <v>3.2</v>
      </c>
      <c r="K19" s="233" t="s">
        <v>52</v>
      </c>
      <c r="V19" s="227" t="s">
        <v>54</v>
      </c>
    </row>
    <row r="20" spans="1:22" s="232" customFormat="1" ht="30" x14ac:dyDescent="0.15">
      <c r="A20" s="227" t="s">
        <v>43</v>
      </c>
      <c r="B20" s="228">
        <v>260</v>
      </c>
      <c r="C20" s="229" t="s">
        <v>44</v>
      </c>
      <c r="D20" s="229" t="s">
        <v>70</v>
      </c>
      <c r="E20" s="227" t="s">
        <v>71</v>
      </c>
      <c r="F20" s="227" t="s">
        <v>83</v>
      </c>
      <c r="G20" s="230">
        <v>44124.392361111109</v>
      </c>
      <c r="H20" s="227" t="s">
        <v>48</v>
      </c>
      <c r="I20" s="227">
        <v>10</v>
      </c>
      <c r="J20" s="231">
        <v>3.2</v>
      </c>
      <c r="K20" s="233" t="s">
        <v>52</v>
      </c>
      <c r="V20" s="227" t="s">
        <v>54</v>
      </c>
    </row>
    <row r="21" spans="1:22" s="232" customFormat="1" ht="15" x14ac:dyDescent="0.15">
      <c r="A21" s="227" t="s">
        <v>43</v>
      </c>
      <c r="B21" s="228">
        <v>260</v>
      </c>
      <c r="C21" s="229" t="s">
        <v>44</v>
      </c>
      <c r="D21" s="229" t="s">
        <v>70</v>
      </c>
      <c r="E21" s="227" t="s">
        <v>71</v>
      </c>
      <c r="F21" s="227" t="s">
        <v>84</v>
      </c>
      <c r="G21" s="230">
        <v>44124.392361111109</v>
      </c>
      <c r="H21" s="227" t="s">
        <v>48</v>
      </c>
      <c r="I21" s="227">
        <v>10</v>
      </c>
      <c r="J21" s="231">
        <v>3.2</v>
      </c>
      <c r="K21" s="233" t="s">
        <v>52</v>
      </c>
      <c r="V21" s="227" t="s">
        <v>54</v>
      </c>
    </row>
    <row r="22" spans="1:22" s="232" customFormat="1" ht="45" x14ac:dyDescent="0.15">
      <c r="A22" s="227" t="s">
        <v>43</v>
      </c>
      <c r="B22" s="228">
        <v>260</v>
      </c>
      <c r="C22" s="229" t="s">
        <v>44</v>
      </c>
      <c r="D22" s="229" t="s">
        <v>70</v>
      </c>
      <c r="E22" s="227" t="s">
        <v>71</v>
      </c>
      <c r="F22" s="227" t="s">
        <v>85</v>
      </c>
      <c r="G22" s="230">
        <v>44124.392361111109</v>
      </c>
      <c r="H22" s="227" t="s">
        <v>48</v>
      </c>
      <c r="I22" s="227">
        <v>10</v>
      </c>
      <c r="J22" s="231">
        <v>3.2</v>
      </c>
      <c r="K22" s="233" t="s">
        <v>52</v>
      </c>
      <c r="V22" s="227" t="s">
        <v>54</v>
      </c>
    </row>
    <row r="23" spans="1:22" s="232" customFormat="1" ht="15" x14ac:dyDescent="0.15">
      <c r="A23" s="227" t="s">
        <v>43</v>
      </c>
      <c r="B23" s="228">
        <v>260</v>
      </c>
      <c r="C23" s="229" t="s">
        <v>44</v>
      </c>
      <c r="D23" s="229" t="s">
        <v>70</v>
      </c>
      <c r="E23" s="227" t="s">
        <v>71</v>
      </c>
      <c r="F23" s="227" t="s">
        <v>86</v>
      </c>
      <c r="G23" s="230">
        <v>44124.392361111109</v>
      </c>
      <c r="H23" s="227" t="s">
        <v>48</v>
      </c>
      <c r="I23" s="227">
        <v>10</v>
      </c>
      <c r="J23" s="231">
        <v>3.2</v>
      </c>
      <c r="K23" s="233" t="s">
        <v>52</v>
      </c>
      <c r="V23" s="227" t="s">
        <v>54</v>
      </c>
    </row>
    <row r="24" spans="1:22" s="232" customFormat="1" ht="15" x14ac:dyDescent="0.15">
      <c r="A24" s="227" t="s">
        <v>43</v>
      </c>
      <c r="B24" s="228">
        <v>260</v>
      </c>
      <c r="C24" s="229" t="s">
        <v>44</v>
      </c>
      <c r="D24" s="229" t="s">
        <v>70</v>
      </c>
      <c r="E24" s="227" t="s">
        <v>71</v>
      </c>
      <c r="F24" s="227" t="s">
        <v>87</v>
      </c>
      <c r="G24" s="230">
        <v>44124.392361111109</v>
      </c>
      <c r="H24" s="227" t="s">
        <v>48</v>
      </c>
      <c r="I24" s="227">
        <v>10</v>
      </c>
      <c r="J24" s="231">
        <v>3.2</v>
      </c>
      <c r="K24" s="233" t="s">
        <v>52</v>
      </c>
      <c r="V24" s="227" t="s">
        <v>78</v>
      </c>
    </row>
    <row r="25" spans="1:22" s="232" customFormat="1" ht="30" x14ac:dyDescent="0.15">
      <c r="A25" s="227" t="s">
        <v>43</v>
      </c>
      <c r="B25" s="228">
        <v>260</v>
      </c>
      <c r="C25" s="229" t="s">
        <v>44</v>
      </c>
      <c r="D25" s="229" t="s">
        <v>70</v>
      </c>
      <c r="E25" s="227" t="s">
        <v>71</v>
      </c>
      <c r="F25" s="227" t="s">
        <v>88</v>
      </c>
      <c r="G25" s="230">
        <v>44124.393055555556</v>
      </c>
      <c r="H25" s="227" t="s">
        <v>48</v>
      </c>
      <c r="I25" s="227">
        <v>10</v>
      </c>
      <c r="J25" s="231">
        <v>3.2</v>
      </c>
      <c r="K25" s="233" t="s">
        <v>52</v>
      </c>
      <c r="V25" s="227" t="s">
        <v>54</v>
      </c>
    </row>
    <row r="26" spans="1:22" s="232" customFormat="1" ht="45" x14ac:dyDescent="0.15">
      <c r="A26" s="227" t="s">
        <v>43</v>
      </c>
      <c r="B26" s="228">
        <v>260</v>
      </c>
      <c r="C26" s="229" t="s">
        <v>44</v>
      </c>
      <c r="D26" s="229" t="s">
        <v>70</v>
      </c>
      <c r="E26" s="227" t="s">
        <v>71</v>
      </c>
      <c r="F26" s="227" t="s">
        <v>89</v>
      </c>
      <c r="G26" s="230">
        <v>44124.393055555556</v>
      </c>
      <c r="H26" s="227" t="s">
        <v>48</v>
      </c>
      <c r="I26" s="227">
        <v>10</v>
      </c>
      <c r="J26" s="231">
        <v>3.2</v>
      </c>
      <c r="K26" s="233" t="s">
        <v>52</v>
      </c>
      <c r="V26" s="227" t="s">
        <v>54</v>
      </c>
    </row>
    <row r="27" spans="1:22" s="232" customFormat="1" ht="45" x14ac:dyDescent="0.15">
      <c r="A27" s="227" t="s">
        <v>43</v>
      </c>
      <c r="B27" s="228">
        <v>260</v>
      </c>
      <c r="C27" s="229" t="s">
        <v>44</v>
      </c>
      <c r="D27" s="229" t="s">
        <v>70</v>
      </c>
      <c r="E27" s="227" t="s">
        <v>71</v>
      </c>
      <c r="F27" s="227" t="s">
        <v>90</v>
      </c>
      <c r="G27" s="230">
        <v>44124.393055555556</v>
      </c>
      <c r="H27" s="227" t="s">
        <v>48</v>
      </c>
      <c r="I27" s="227">
        <v>10</v>
      </c>
      <c r="J27" s="231">
        <v>3.2</v>
      </c>
      <c r="K27" s="233" t="s">
        <v>52</v>
      </c>
      <c r="V27" s="227" t="s">
        <v>54</v>
      </c>
    </row>
    <row r="28" spans="1:22" s="232" customFormat="1" ht="30" x14ac:dyDescent="0.15">
      <c r="A28" s="227" t="s">
        <v>43</v>
      </c>
      <c r="B28" s="228">
        <v>260</v>
      </c>
      <c r="C28" s="229" t="s">
        <v>44</v>
      </c>
      <c r="D28" s="229" t="s">
        <v>70</v>
      </c>
      <c r="E28" s="227" t="s">
        <v>71</v>
      </c>
      <c r="F28" s="227" t="s">
        <v>91</v>
      </c>
      <c r="G28" s="230">
        <v>44124.393055555556</v>
      </c>
      <c r="H28" s="227" t="s">
        <v>48</v>
      </c>
      <c r="I28" s="227">
        <v>10</v>
      </c>
      <c r="J28" s="231">
        <v>3.2</v>
      </c>
      <c r="K28" s="233" t="s">
        <v>52</v>
      </c>
      <c r="V28" s="227" t="s">
        <v>92</v>
      </c>
    </row>
    <row r="29" spans="1:22" s="232" customFormat="1" ht="15" x14ac:dyDescent="0.15">
      <c r="A29" s="227" t="s">
        <v>43</v>
      </c>
      <c r="B29" s="228">
        <v>260</v>
      </c>
      <c r="C29" s="229" t="s">
        <v>44</v>
      </c>
      <c r="D29" s="229" t="s">
        <v>70</v>
      </c>
      <c r="E29" s="227" t="s">
        <v>93</v>
      </c>
      <c r="F29" s="227" t="s">
        <v>94</v>
      </c>
      <c r="G29" s="230">
        <v>44124.597222222219</v>
      </c>
      <c r="H29" s="227" t="s">
        <v>48</v>
      </c>
      <c r="I29" s="227">
        <v>10</v>
      </c>
      <c r="J29" s="231">
        <v>3.2</v>
      </c>
      <c r="K29" s="233" t="s">
        <v>52</v>
      </c>
      <c r="O29" s="233" t="s">
        <v>58</v>
      </c>
      <c r="V29" s="227" t="s">
        <v>59</v>
      </c>
    </row>
    <row r="30" spans="1:22" s="232" customFormat="1" ht="30" x14ac:dyDescent="0.15">
      <c r="A30" s="227" t="s">
        <v>43</v>
      </c>
      <c r="B30" s="228">
        <v>260</v>
      </c>
      <c r="C30" s="229" t="s">
        <v>44</v>
      </c>
      <c r="D30" s="229" t="s">
        <v>70</v>
      </c>
      <c r="E30" s="227" t="s">
        <v>93</v>
      </c>
      <c r="F30" s="227" t="s">
        <v>95</v>
      </c>
      <c r="G30" s="230">
        <v>44124.597222222219</v>
      </c>
      <c r="H30" s="227" t="s">
        <v>48</v>
      </c>
      <c r="I30" s="227">
        <v>10</v>
      </c>
      <c r="J30" s="231">
        <v>3.2</v>
      </c>
      <c r="K30" s="233" t="s">
        <v>52</v>
      </c>
      <c r="O30" s="233" t="s">
        <v>58</v>
      </c>
      <c r="V30" s="227" t="s">
        <v>54</v>
      </c>
    </row>
    <row r="31" spans="1:22" s="232" customFormat="1" ht="30" x14ac:dyDescent="0.15">
      <c r="A31" s="227" t="s">
        <v>43</v>
      </c>
      <c r="B31" s="228">
        <v>260</v>
      </c>
      <c r="C31" s="229" t="s">
        <v>44</v>
      </c>
      <c r="D31" s="229" t="s">
        <v>70</v>
      </c>
      <c r="E31" s="227" t="s">
        <v>93</v>
      </c>
      <c r="F31" s="227" t="s">
        <v>96</v>
      </c>
      <c r="G31" s="230">
        <v>44124.597222222219</v>
      </c>
      <c r="H31" s="227" t="s">
        <v>48</v>
      </c>
      <c r="I31" s="227">
        <v>10</v>
      </c>
      <c r="J31" s="231">
        <v>3.2</v>
      </c>
      <c r="K31" s="233" t="s">
        <v>52</v>
      </c>
      <c r="V31" s="227" t="s">
        <v>54</v>
      </c>
    </row>
    <row r="32" spans="1:22" s="232" customFormat="1" ht="45" x14ac:dyDescent="0.15">
      <c r="A32" s="227" t="s">
        <v>43</v>
      </c>
      <c r="B32" s="228">
        <v>260</v>
      </c>
      <c r="C32" s="229" t="s">
        <v>44</v>
      </c>
      <c r="D32" s="229" t="s">
        <v>70</v>
      </c>
      <c r="E32" s="227" t="s">
        <v>93</v>
      </c>
      <c r="F32" s="227" t="s">
        <v>97</v>
      </c>
      <c r="G32" s="230">
        <v>44124.597222222219</v>
      </c>
      <c r="H32" s="227" t="s">
        <v>48</v>
      </c>
      <c r="I32" s="227">
        <v>10</v>
      </c>
      <c r="J32" s="231">
        <v>3.2</v>
      </c>
      <c r="K32" s="233" t="s">
        <v>52</v>
      </c>
      <c r="V32" s="227" t="s">
        <v>54</v>
      </c>
    </row>
    <row r="33" spans="1:22" s="232" customFormat="1" ht="15" x14ac:dyDescent="0.15">
      <c r="A33" s="227" t="s">
        <v>43</v>
      </c>
      <c r="B33" s="228">
        <v>260</v>
      </c>
      <c r="C33" s="229" t="s">
        <v>44</v>
      </c>
      <c r="D33" s="229" t="s">
        <v>70</v>
      </c>
      <c r="E33" s="227" t="s">
        <v>93</v>
      </c>
      <c r="F33" s="227" t="s">
        <v>98</v>
      </c>
      <c r="G33" s="230">
        <v>44124.597222222219</v>
      </c>
      <c r="H33" s="227" t="s">
        <v>48</v>
      </c>
      <c r="I33" s="227">
        <v>10</v>
      </c>
      <c r="J33" s="231">
        <v>3.2</v>
      </c>
      <c r="K33" s="233" t="s">
        <v>52</v>
      </c>
      <c r="O33" s="233" t="s">
        <v>58</v>
      </c>
      <c r="V33" s="227" t="s">
        <v>59</v>
      </c>
    </row>
    <row r="34" spans="1:22" s="232" customFormat="1" ht="30" x14ac:dyDescent="0.15">
      <c r="A34" s="227" t="s">
        <v>43</v>
      </c>
      <c r="B34" s="228">
        <v>260</v>
      </c>
      <c r="C34" s="229" t="s">
        <v>44</v>
      </c>
      <c r="D34" s="229" t="s">
        <v>70</v>
      </c>
      <c r="E34" s="227" t="s">
        <v>93</v>
      </c>
      <c r="F34" s="227" t="s">
        <v>99</v>
      </c>
      <c r="G34" s="230">
        <v>44124.597222222219</v>
      </c>
      <c r="H34" s="227" t="s">
        <v>48</v>
      </c>
      <c r="I34" s="227">
        <v>10</v>
      </c>
      <c r="J34" s="231">
        <v>3.2</v>
      </c>
      <c r="K34" s="233" t="s">
        <v>52</v>
      </c>
      <c r="O34" s="233" t="s">
        <v>58</v>
      </c>
      <c r="V34" s="227" t="s">
        <v>54</v>
      </c>
    </row>
    <row r="35" spans="1:22" s="232" customFormat="1" ht="60" x14ac:dyDescent="0.15">
      <c r="A35" s="227" t="s">
        <v>43</v>
      </c>
      <c r="B35" s="228">
        <v>260</v>
      </c>
      <c r="C35" s="229" t="s">
        <v>44</v>
      </c>
      <c r="D35" s="229" t="s">
        <v>70</v>
      </c>
      <c r="E35" s="227" t="s">
        <v>93</v>
      </c>
      <c r="F35" s="227" t="s">
        <v>100</v>
      </c>
      <c r="G35" s="230">
        <v>44124.597222222219</v>
      </c>
      <c r="H35" s="227" t="s">
        <v>48</v>
      </c>
      <c r="I35" s="227">
        <v>10</v>
      </c>
      <c r="J35" s="231">
        <v>3.2</v>
      </c>
      <c r="K35" s="233" t="s">
        <v>52</v>
      </c>
      <c r="O35" s="233" t="s">
        <v>305</v>
      </c>
      <c r="V35" s="227" t="s">
        <v>54</v>
      </c>
    </row>
    <row r="36" spans="1:22" s="232" customFormat="1" ht="30" x14ac:dyDescent="0.15">
      <c r="A36" s="227" t="s">
        <v>43</v>
      </c>
      <c r="B36" s="228">
        <v>260</v>
      </c>
      <c r="C36" s="229" t="s">
        <v>44</v>
      </c>
      <c r="D36" s="229" t="s">
        <v>70</v>
      </c>
      <c r="E36" s="227" t="s">
        <v>93</v>
      </c>
      <c r="F36" s="227" t="s">
        <v>101</v>
      </c>
      <c r="G36" s="227" t="s">
        <v>102</v>
      </c>
      <c r="H36" s="227" t="s">
        <v>102</v>
      </c>
      <c r="I36" s="227" t="s">
        <v>102</v>
      </c>
      <c r="J36" s="231">
        <v>3.2</v>
      </c>
      <c r="K36" s="233" t="s">
        <v>52</v>
      </c>
      <c r="O36" s="233" t="s">
        <v>305</v>
      </c>
      <c r="V36" s="227" t="s">
        <v>54</v>
      </c>
    </row>
    <row r="37" spans="1:22" s="232" customFormat="1" ht="30" x14ac:dyDescent="0.15">
      <c r="A37" s="227" t="s">
        <v>43</v>
      </c>
      <c r="B37" s="228">
        <v>260</v>
      </c>
      <c r="C37" s="229" t="s">
        <v>44</v>
      </c>
      <c r="D37" s="229" t="s">
        <v>70</v>
      </c>
      <c r="E37" s="227" t="s">
        <v>93</v>
      </c>
      <c r="F37" s="227" t="s">
        <v>103</v>
      </c>
      <c r="G37" s="227" t="s">
        <v>102</v>
      </c>
      <c r="H37" s="227" t="s">
        <v>102</v>
      </c>
      <c r="I37" s="227" t="s">
        <v>102</v>
      </c>
      <c r="J37" s="231">
        <v>3.2</v>
      </c>
      <c r="K37" s="233" t="s">
        <v>52</v>
      </c>
      <c r="V37" s="227" t="s">
        <v>54</v>
      </c>
    </row>
    <row r="38" spans="1:22" s="232" customFormat="1" ht="15" x14ac:dyDescent="0.15">
      <c r="A38" s="227" t="s">
        <v>43</v>
      </c>
      <c r="B38" s="228">
        <v>260</v>
      </c>
      <c r="C38" s="229" t="s">
        <v>44</v>
      </c>
      <c r="D38" s="229" t="s">
        <v>70</v>
      </c>
      <c r="E38" s="227" t="s">
        <v>93</v>
      </c>
      <c r="F38" s="227" t="s">
        <v>104</v>
      </c>
      <c r="G38" s="230">
        <v>44124.597222222219</v>
      </c>
      <c r="H38" s="227" t="s">
        <v>48</v>
      </c>
      <c r="I38" s="227">
        <v>10</v>
      </c>
      <c r="J38" s="231">
        <v>3.2</v>
      </c>
      <c r="K38" s="233" t="s">
        <v>52</v>
      </c>
      <c r="V38" s="227" t="s">
        <v>78</v>
      </c>
    </row>
    <row r="39" spans="1:22" s="232" customFormat="1" ht="45" x14ac:dyDescent="0.15">
      <c r="A39" s="227" t="s">
        <v>43</v>
      </c>
      <c r="B39" s="228">
        <v>260</v>
      </c>
      <c r="C39" s="229" t="s">
        <v>44</v>
      </c>
      <c r="D39" s="229" t="s">
        <v>70</v>
      </c>
      <c r="E39" s="227" t="s">
        <v>93</v>
      </c>
      <c r="F39" s="227" t="s">
        <v>105</v>
      </c>
      <c r="G39" s="230">
        <v>44124.597916666666</v>
      </c>
      <c r="H39" s="227" t="s">
        <v>48</v>
      </c>
      <c r="I39" s="227">
        <v>10</v>
      </c>
      <c r="J39" s="231">
        <v>3.2</v>
      </c>
      <c r="K39" s="233" t="s">
        <v>52</v>
      </c>
      <c r="V39" s="227" t="s">
        <v>54</v>
      </c>
    </row>
    <row r="40" spans="1:22" s="232" customFormat="1" ht="15" x14ac:dyDescent="0.15">
      <c r="A40" s="227" t="s">
        <v>43</v>
      </c>
      <c r="B40" s="228">
        <v>260</v>
      </c>
      <c r="C40" s="229" t="s">
        <v>44</v>
      </c>
      <c r="D40" s="229" t="s">
        <v>70</v>
      </c>
      <c r="E40" s="227" t="s">
        <v>93</v>
      </c>
      <c r="F40" s="227" t="s">
        <v>106</v>
      </c>
      <c r="G40" s="230">
        <v>44124.597916666666</v>
      </c>
      <c r="H40" s="227" t="s">
        <v>48</v>
      </c>
      <c r="I40" s="227">
        <v>10</v>
      </c>
      <c r="J40" s="231">
        <v>3.2</v>
      </c>
      <c r="K40" s="233" t="s">
        <v>52</v>
      </c>
      <c r="O40" s="233" t="s">
        <v>58</v>
      </c>
      <c r="V40" s="227" t="s">
        <v>63</v>
      </c>
    </row>
    <row r="41" spans="1:22" s="232" customFormat="1" ht="45" x14ac:dyDescent="0.15">
      <c r="A41" s="227" t="s">
        <v>43</v>
      </c>
      <c r="B41" s="228">
        <v>260</v>
      </c>
      <c r="C41" s="229" t="s">
        <v>44</v>
      </c>
      <c r="D41" s="229" t="s">
        <v>70</v>
      </c>
      <c r="E41" s="227" t="s">
        <v>71</v>
      </c>
      <c r="F41" s="227" t="s">
        <v>107</v>
      </c>
      <c r="G41" s="230">
        <v>44125.386805555558</v>
      </c>
      <c r="H41" s="227" t="s">
        <v>48</v>
      </c>
      <c r="I41" s="227">
        <v>10</v>
      </c>
      <c r="J41" s="231">
        <v>3.2</v>
      </c>
      <c r="K41" s="233" t="s">
        <v>108</v>
      </c>
      <c r="V41" s="227" t="s">
        <v>110</v>
      </c>
    </row>
    <row r="42" spans="1:22" s="232" customFormat="1" ht="45" x14ac:dyDescent="0.15">
      <c r="A42" s="227" t="s">
        <v>43</v>
      </c>
      <c r="B42" s="228">
        <v>260</v>
      </c>
      <c r="C42" s="229" t="s">
        <v>44</v>
      </c>
      <c r="D42" s="229" t="s">
        <v>70</v>
      </c>
      <c r="E42" s="227" t="s">
        <v>71</v>
      </c>
      <c r="F42" s="227" t="s">
        <v>111</v>
      </c>
      <c r="G42" s="230">
        <v>44125.386805555558</v>
      </c>
      <c r="H42" s="227" t="s">
        <v>48</v>
      </c>
      <c r="I42" s="227">
        <v>10</v>
      </c>
      <c r="J42" s="231">
        <v>3.2</v>
      </c>
      <c r="K42" s="233" t="s">
        <v>635</v>
      </c>
      <c r="V42" s="227" t="s">
        <v>113</v>
      </c>
    </row>
    <row r="43" spans="1:22" s="232" customFormat="1" ht="15" x14ac:dyDescent="0.15">
      <c r="A43" s="227" t="s">
        <v>43</v>
      </c>
      <c r="B43" s="228">
        <v>260</v>
      </c>
      <c r="C43" s="229" t="s">
        <v>44</v>
      </c>
      <c r="D43" s="229" t="s">
        <v>70</v>
      </c>
      <c r="E43" s="227" t="s">
        <v>71</v>
      </c>
      <c r="F43" s="227" t="s">
        <v>114</v>
      </c>
      <c r="G43" s="230">
        <v>44125.386805555558</v>
      </c>
      <c r="H43" s="227" t="s">
        <v>48</v>
      </c>
      <c r="I43" s="227">
        <v>10</v>
      </c>
      <c r="J43" s="231">
        <v>3.2</v>
      </c>
      <c r="K43" s="233" t="s">
        <v>68</v>
      </c>
      <c r="V43" s="227" t="s">
        <v>92</v>
      </c>
    </row>
    <row r="44" spans="1:22" s="232" customFormat="1" ht="15" x14ac:dyDescent="0.15">
      <c r="A44" s="227" t="s">
        <v>43</v>
      </c>
      <c r="B44" s="228">
        <v>260</v>
      </c>
      <c r="C44" s="229" t="s">
        <v>44</v>
      </c>
      <c r="D44" s="229" t="s">
        <v>70</v>
      </c>
      <c r="E44" s="227" t="s">
        <v>71</v>
      </c>
      <c r="F44" s="227" t="s">
        <v>115</v>
      </c>
      <c r="G44" s="230">
        <v>44125.386805555558</v>
      </c>
      <c r="H44" s="227" t="s">
        <v>48</v>
      </c>
      <c r="I44" s="227">
        <v>10</v>
      </c>
      <c r="J44" s="231">
        <v>3.2</v>
      </c>
      <c r="K44" s="233" t="s">
        <v>68</v>
      </c>
      <c r="V44" s="227" t="s">
        <v>92</v>
      </c>
    </row>
    <row r="45" spans="1:22" s="232" customFormat="1" ht="15" x14ac:dyDescent="0.15">
      <c r="A45" s="227" t="s">
        <v>43</v>
      </c>
      <c r="B45" s="228">
        <v>260</v>
      </c>
      <c r="C45" s="229" t="s">
        <v>44</v>
      </c>
      <c r="D45" s="229" t="s">
        <v>70</v>
      </c>
      <c r="E45" s="227" t="s">
        <v>93</v>
      </c>
      <c r="F45" s="227" t="s">
        <v>116</v>
      </c>
      <c r="G45" s="230">
        <v>44125.479861111111</v>
      </c>
      <c r="H45" s="227" t="s">
        <v>48</v>
      </c>
      <c r="I45" s="227">
        <v>10</v>
      </c>
      <c r="J45" s="231">
        <v>3.2</v>
      </c>
      <c r="K45" s="233" t="s">
        <v>68</v>
      </c>
      <c r="V45" s="227" t="s">
        <v>59</v>
      </c>
    </row>
    <row r="46" spans="1:22" s="232" customFormat="1" ht="45" x14ac:dyDescent="0.15">
      <c r="A46" s="227" t="s">
        <v>43</v>
      </c>
      <c r="B46" s="228">
        <v>260</v>
      </c>
      <c r="C46" s="229" t="s">
        <v>44</v>
      </c>
      <c r="D46" s="229" t="s">
        <v>70</v>
      </c>
      <c r="E46" s="227" t="s">
        <v>93</v>
      </c>
      <c r="F46" s="227" t="s">
        <v>117</v>
      </c>
      <c r="G46" s="230">
        <v>44125.479861111111</v>
      </c>
      <c r="H46" s="227" t="s">
        <v>48</v>
      </c>
      <c r="I46" s="227">
        <v>10</v>
      </c>
      <c r="J46" s="231">
        <v>3.2</v>
      </c>
      <c r="K46" s="233" t="s">
        <v>108</v>
      </c>
      <c r="V46" s="227" t="s">
        <v>69</v>
      </c>
    </row>
    <row r="47" spans="1:22" s="232" customFormat="1" ht="45" x14ac:dyDescent="0.15">
      <c r="A47" s="227" t="s">
        <v>43</v>
      </c>
      <c r="B47" s="228">
        <v>260</v>
      </c>
      <c r="C47" s="229" t="s">
        <v>44</v>
      </c>
      <c r="D47" s="229" t="s">
        <v>70</v>
      </c>
      <c r="E47" s="227" t="s">
        <v>93</v>
      </c>
      <c r="F47" s="227" t="s">
        <v>118</v>
      </c>
      <c r="G47" s="230">
        <v>44125.479861111111</v>
      </c>
      <c r="H47" s="227" t="s">
        <v>48</v>
      </c>
      <c r="I47" s="227">
        <v>10</v>
      </c>
      <c r="J47" s="231">
        <v>3.2</v>
      </c>
      <c r="K47" s="233" t="s">
        <v>108</v>
      </c>
      <c r="V47" s="227" t="s">
        <v>69</v>
      </c>
    </row>
    <row r="48" spans="1:22" s="232" customFormat="1" ht="15" x14ac:dyDescent="0.15">
      <c r="A48" s="227" t="s">
        <v>43</v>
      </c>
      <c r="B48" s="228">
        <v>260</v>
      </c>
      <c r="C48" s="229" t="s">
        <v>44</v>
      </c>
      <c r="D48" s="229" t="s">
        <v>70</v>
      </c>
      <c r="E48" s="227" t="s">
        <v>93</v>
      </c>
      <c r="F48" s="227" t="s">
        <v>119</v>
      </c>
      <c r="G48" s="230">
        <v>44125.479861111111</v>
      </c>
      <c r="H48" s="227" t="s">
        <v>48</v>
      </c>
      <c r="I48" s="227">
        <v>10</v>
      </c>
      <c r="J48" s="231">
        <v>3.2</v>
      </c>
      <c r="K48" s="233" t="s">
        <v>108</v>
      </c>
      <c r="V48" s="227" t="s">
        <v>121</v>
      </c>
    </row>
    <row r="49" spans="1:22" s="232" customFormat="1" ht="15" x14ac:dyDescent="0.15">
      <c r="A49" s="227" t="s">
        <v>43</v>
      </c>
      <c r="B49" s="228">
        <v>260</v>
      </c>
      <c r="C49" s="229" t="s">
        <v>44</v>
      </c>
      <c r="D49" s="229" t="s">
        <v>70</v>
      </c>
      <c r="E49" s="227" t="s">
        <v>71</v>
      </c>
      <c r="F49" s="227" t="s">
        <v>122</v>
      </c>
      <c r="G49" s="230">
        <v>44125.56527777778</v>
      </c>
      <c r="H49" s="227" t="s">
        <v>48</v>
      </c>
      <c r="I49" s="227">
        <v>10</v>
      </c>
      <c r="J49" s="231">
        <v>3.2</v>
      </c>
      <c r="K49" s="233" t="s">
        <v>108</v>
      </c>
      <c r="V49" s="227" t="s">
        <v>63</v>
      </c>
    </row>
    <row r="50" spans="1:22" s="232" customFormat="1" ht="15" x14ac:dyDescent="0.15">
      <c r="A50" s="227" t="s">
        <v>43</v>
      </c>
      <c r="B50" s="228">
        <v>260</v>
      </c>
      <c r="C50" s="229" t="s">
        <v>44</v>
      </c>
      <c r="D50" s="229" t="s">
        <v>70</v>
      </c>
      <c r="E50" s="227" t="s">
        <v>71</v>
      </c>
      <c r="F50" s="227" t="s">
        <v>124</v>
      </c>
      <c r="G50" s="230">
        <v>44125.56527777778</v>
      </c>
      <c r="H50" s="227" t="s">
        <v>48</v>
      </c>
      <c r="I50" s="227">
        <v>10</v>
      </c>
      <c r="J50" s="231">
        <v>3.2</v>
      </c>
      <c r="K50" s="233" t="s">
        <v>49</v>
      </c>
      <c r="V50" s="227" t="s">
        <v>59</v>
      </c>
    </row>
    <row r="51" spans="1:22" s="232" customFormat="1" ht="15" x14ac:dyDescent="0.15">
      <c r="A51" s="227" t="s">
        <v>43</v>
      </c>
      <c r="B51" s="228">
        <v>260</v>
      </c>
      <c r="C51" s="229" t="s">
        <v>44</v>
      </c>
      <c r="D51" s="229" t="s">
        <v>70</v>
      </c>
      <c r="E51" s="227" t="s">
        <v>71</v>
      </c>
      <c r="F51" s="227" t="s">
        <v>125</v>
      </c>
      <c r="G51" s="230">
        <v>44125.56527777778</v>
      </c>
      <c r="H51" s="227" t="s">
        <v>48</v>
      </c>
      <c r="I51" s="227">
        <v>10</v>
      </c>
      <c r="J51" s="231">
        <v>3.2</v>
      </c>
      <c r="K51" s="233" t="s">
        <v>49</v>
      </c>
      <c r="V51" s="227" t="s">
        <v>69</v>
      </c>
    </row>
    <row r="52" spans="1:22" s="232" customFormat="1" ht="15" x14ac:dyDescent="0.15">
      <c r="A52" s="227" t="s">
        <v>43</v>
      </c>
      <c r="B52" s="228">
        <v>260</v>
      </c>
      <c r="C52" s="229" t="s">
        <v>44</v>
      </c>
      <c r="D52" s="229" t="s">
        <v>70</v>
      </c>
      <c r="E52" s="227" t="s">
        <v>71</v>
      </c>
      <c r="F52" s="227" t="s">
        <v>127</v>
      </c>
      <c r="G52" s="230">
        <v>44125.56527777778</v>
      </c>
      <c r="H52" s="227" t="s">
        <v>48</v>
      </c>
      <c r="I52" s="227">
        <v>10</v>
      </c>
      <c r="J52" s="231">
        <v>3.2</v>
      </c>
      <c r="K52" s="233" t="s">
        <v>49</v>
      </c>
      <c r="V52" s="227" t="s">
        <v>128</v>
      </c>
    </row>
    <row r="53" spans="1:22" s="232" customFormat="1" ht="15" x14ac:dyDescent="0.15">
      <c r="A53" s="227" t="s">
        <v>43</v>
      </c>
      <c r="B53" s="228">
        <v>260</v>
      </c>
      <c r="C53" s="229" t="s">
        <v>44</v>
      </c>
      <c r="D53" s="229" t="s">
        <v>70</v>
      </c>
      <c r="E53" s="227" t="s">
        <v>93</v>
      </c>
      <c r="F53" s="227" t="s">
        <v>129</v>
      </c>
      <c r="G53" s="230">
        <v>44136.854166666664</v>
      </c>
      <c r="H53" s="227" t="s">
        <v>48</v>
      </c>
      <c r="I53" s="227">
        <v>10</v>
      </c>
      <c r="J53" s="231">
        <v>3.2</v>
      </c>
      <c r="K53" s="233" t="s">
        <v>49</v>
      </c>
      <c r="V53" s="227" t="s">
        <v>69</v>
      </c>
    </row>
    <row r="54" spans="1:22" s="232" customFormat="1" ht="15" x14ac:dyDescent="0.15">
      <c r="A54" s="227" t="s">
        <v>43</v>
      </c>
      <c r="B54" s="228">
        <v>260</v>
      </c>
      <c r="C54" s="229" t="s">
        <v>44</v>
      </c>
      <c r="D54" s="229" t="s">
        <v>70</v>
      </c>
      <c r="E54" s="227" t="s">
        <v>130</v>
      </c>
      <c r="F54" s="227" t="s">
        <v>131</v>
      </c>
      <c r="G54" s="230">
        <v>44137.469444444447</v>
      </c>
      <c r="H54" s="227" t="s">
        <v>48</v>
      </c>
      <c r="I54" s="227">
        <v>10</v>
      </c>
      <c r="J54" s="231">
        <v>3.2</v>
      </c>
      <c r="K54" s="233" t="s">
        <v>49</v>
      </c>
      <c r="V54" s="227" t="s">
        <v>132</v>
      </c>
    </row>
    <row r="55" spans="1:22" s="232" customFormat="1" ht="15" x14ac:dyDescent="0.15">
      <c r="A55" s="227" t="s">
        <v>43</v>
      </c>
      <c r="B55" s="228">
        <v>260</v>
      </c>
      <c r="C55" s="229" t="s">
        <v>44</v>
      </c>
      <c r="D55" s="229" t="s">
        <v>70</v>
      </c>
      <c r="E55" s="227" t="s">
        <v>130</v>
      </c>
      <c r="F55" s="227" t="s">
        <v>133</v>
      </c>
      <c r="G55" s="230">
        <v>44137.469444444447</v>
      </c>
      <c r="H55" s="227" t="s">
        <v>48</v>
      </c>
      <c r="I55" s="227">
        <v>10</v>
      </c>
      <c r="J55" s="231">
        <v>3.2</v>
      </c>
      <c r="K55" s="233" t="s">
        <v>49</v>
      </c>
      <c r="V55" s="227" t="s">
        <v>69</v>
      </c>
    </row>
    <row r="56" spans="1:22" s="232" customFormat="1" ht="15" x14ac:dyDescent="0.15">
      <c r="A56" s="227" t="s">
        <v>43</v>
      </c>
      <c r="B56" s="228">
        <v>260</v>
      </c>
      <c r="C56" s="229" t="s">
        <v>44</v>
      </c>
      <c r="D56" s="229" t="s">
        <v>70</v>
      </c>
      <c r="E56" s="227" t="s">
        <v>130</v>
      </c>
      <c r="F56" s="227" t="s">
        <v>134</v>
      </c>
      <c r="G56" s="230">
        <v>44137.469444444447</v>
      </c>
      <c r="H56" s="227" t="s">
        <v>48</v>
      </c>
      <c r="I56" s="227">
        <v>10</v>
      </c>
      <c r="J56" s="231">
        <v>3.2</v>
      </c>
      <c r="K56" s="233" t="s">
        <v>52</v>
      </c>
      <c r="O56" s="233" t="s">
        <v>58</v>
      </c>
      <c r="V56" s="227" t="s">
        <v>59</v>
      </c>
    </row>
    <row r="57" spans="1:22" s="232" customFormat="1" ht="15" x14ac:dyDescent="0.15">
      <c r="A57" s="227" t="s">
        <v>43</v>
      </c>
      <c r="B57" s="228">
        <v>260</v>
      </c>
      <c r="C57" s="229" t="s">
        <v>44</v>
      </c>
      <c r="D57" s="229" t="s">
        <v>70</v>
      </c>
      <c r="E57" s="227" t="s">
        <v>130</v>
      </c>
      <c r="F57" s="227" t="s">
        <v>135</v>
      </c>
      <c r="G57" s="230">
        <v>44137.469444444447</v>
      </c>
      <c r="H57" s="227" t="s">
        <v>48</v>
      </c>
      <c r="I57" s="227">
        <v>10</v>
      </c>
      <c r="J57" s="231">
        <v>3.2</v>
      </c>
      <c r="K57" s="233" t="s">
        <v>52</v>
      </c>
      <c r="O57" s="233" t="s">
        <v>302</v>
      </c>
      <c r="V57" s="227" t="s">
        <v>54</v>
      </c>
    </row>
    <row r="58" spans="1:22" s="232" customFormat="1" ht="30" x14ac:dyDescent="0.15">
      <c r="A58" s="227" t="s">
        <v>43</v>
      </c>
      <c r="B58" s="228">
        <v>260</v>
      </c>
      <c r="C58" s="229" t="s">
        <v>44</v>
      </c>
      <c r="D58" s="229" t="s">
        <v>70</v>
      </c>
      <c r="E58" s="227" t="s">
        <v>130</v>
      </c>
      <c r="F58" s="227" t="s">
        <v>136</v>
      </c>
      <c r="G58" s="230">
        <v>44137.469444444447</v>
      </c>
      <c r="H58" s="227" t="s">
        <v>48</v>
      </c>
      <c r="I58" s="227">
        <v>10</v>
      </c>
      <c r="J58" s="231">
        <v>3.2</v>
      </c>
      <c r="K58" s="233" t="s">
        <v>52</v>
      </c>
      <c r="O58" s="233" t="s">
        <v>305</v>
      </c>
      <c r="V58" s="227" t="s">
        <v>54</v>
      </c>
    </row>
    <row r="59" spans="1:22" s="232" customFormat="1" ht="30" x14ac:dyDescent="0.15">
      <c r="A59" s="227" t="s">
        <v>43</v>
      </c>
      <c r="B59" s="228">
        <v>260</v>
      </c>
      <c r="C59" s="229" t="s">
        <v>44</v>
      </c>
      <c r="D59" s="229" t="s">
        <v>70</v>
      </c>
      <c r="E59" s="227" t="s">
        <v>130</v>
      </c>
      <c r="F59" s="227" t="s">
        <v>137</v>
      </c>
      <c r="G59" s="230">
        <v>44137.469444444447</v>
      </c>
      <c r="H59" s="227" t="s">
        <v>48</v>
      </c>
      <c r="I59" s="227">
        <v>10</v>
      </c>
      <c r="J59" s="231">
        <v>3.2</v>
      </c>
      <c r="K59" s="233" t="s">
        <v>52</v>
      </c>
      <c r="O59" s="233" t="s">
        <v>305</v>
      </c>
      <c r="V59" s="227" t="s">
        <v>54</v>
      </c>
    </row>
    <row r="60" spans="1:22" s="232" customFormat="1" ht="45" x14ac:dyDescent="0.15">
      <c r="A60" s="227" t="s">
        <v>43</v>
      </c>
      <c r="B60" s="228">
        <v>260</v>
      </c>
      <c r="C60" s="229" t="s">
        <v>44</v>
      </c>
      <c r="D60" s="229" t="s">
        <v>70</v>
      </c>
      <c r="E60" s="227" t="s">
        <v>130</v>
      </c>
      <c r="F60" s="227" t="s">
        <v>138</v>
      </c>
      <c r="G60" s="230">
        <v>44137.469444444447</v>
      </c>
      <c r="H60" s="227" t="s">
        <v>48</v>
      </c>
      <c r="I60" s="227">
        <v>10</v>
      </c>
      <c r="J60" s="231">
        <v>3.2</v>
      </c>
      <c r="K60" s="233" t="s">
        <v>52</v>
      </c>
      <c r="V60" s="227" t="s">
        <v>54</v>
      </c>
    </row>
    <row r="61" spans="1:22" s="232" customFormat="1" ht="15" x14ac:dyDescent="0.15">
      <c r="A61" s="227" t="s">
        <v>43</v>
      </c>
      <c r="B61" s="228">
        <v>260</v>
      </c>
      <c r="C61" s="229" t="s">
        <v>44</v>
      </c>
      <c r="D61" s="229" t="s">
        <v>70</v>
      </c>
      <c r="E61" s="227" t="s">
        <v>130</v>
      </c>
      <c r="F61" s="227" t="s">
        <v>139</v>
      </c>
      <c r="G61" s="230">
        <v>44137.469444444447</v>
      </c>
      <c r="H61" s="227" t="s">
        <v>48</v>
      </c>
      <c r="I61" s="227">
        <v>10</v>
      </c>
      <c r="J61" s="231">
        <v>3.2</v>
      </c>
      <c r="K61" s="233" t="s">
        <v>52</v>
      </c>
      <c r="V61" s="227" t="s">
        <v>78</v>
      </c>
    </row>
    <row r="62" spans="1:22" s="232" customFormat="1" ht="30" x14ac:dyDescent="0.15">
      <c r="A62" s="227" t="s">
        <v>43</v>
      </c>
      <c r="B62" s="228">
        <v>260</v>
      </c>
      <c r="C62" s="229" t="s">
        <v>44</v>
      </c>
      <c r="D62" s="229" t="s">
        <v>70</v>
      </c>
      <c r="E62" s="227" t="s">
        <v>130</v>
      </c>
      <c r="F62" s="227" t="s">
        <v>140</v>
      </c>
      <c r="G62" s="230">
        <v>44137.470138888886</v>
      </c>
      <c r="H62" s="227" t="s">
        <v>48</v>
      </c>
      <c r="I62" s="227">
        <v>10</v>
      </c>
      <c r="J62" s="231">
        <v>3.2</v>
      </c>
      <c r="K62" s="233" t="s">
        <v>52</v>
      </c>
      <c r="V62" s="227" t="s">
        <v>54</v>
      </c>
    </row>
    <row r="63" spans="1:22" s="232" customFormat="1" ht="30" x14ac:dyDescent="0.15">
      <c r="A63" s="227" t="s">
        <v>43</v>
      </c>
      <c r="B63" s="228">
        <v>260</v>
      </c>
      <c r="C63" s="229" t="s">
        <v>44</v>
      </c>
      <c r="D63" s="229" t="s">
        <v>70</v>
      </c>
      <c r="E63" s="227" t="s">
        <v>130</v>
      </c>
      <c r="F63" s="227" t="s">
        <v>141</v>
      </c>
      <c r="G63" s="230">
        <v>44137.470138888886</v>
      </c>
      <c r="H63" s="227" t="s">
        <v>48</v>
      </c>
      <c r="I63" s="227">
        <v>10</v>
      </c>
      <c r="J63" s="231">
        <v>3.2</v>
      </c>
      <c r="K63" s="233" t="s">
        <v>52</v>
      </c>
      <c r="V63" s="227" t="s">
        <v>54</v>
      </c>
    </row>
    <row r="64" spans="1:22" s="232" customFormat="1" ht="30" x14ac:dyDescent="0.15">
      <c r="A64" s="227" t="s">
        <v>43</v>
      </c>
      <c r="B64" s="228">
        <v>260</v>
      </c>
      <c r="C64" s="229" t="s">
        <v>44</v>
      </c>
      <c r="D64" s="229" t="s">
        <v>70</v>
      </c>
      <c r="E64" s="227" t="s">
        <v>130</v>
      </c>
      <c r="F64" s="227" t="s">
        <v>142</v>
      </c>
      <c r="G64" s="230">
        <v>44137.470138888886</v>
      </c>
      <c r="H64" s="227" t="s">
        <v>48</v>
      </c>
      <c r="I64" s="227">
        <v>10</v>
      </c>
      <c r="J64" s="231">
        <v>3.2</v>
      </c>
      <c r="K64" s="233" t="s">
        <v>52</v>
      </c>
      <c r="V64" s="227" t="s">
        <v>54</v>
      </c>
    </row>
    <row r="65" spans="1:22" s="232" customFormat="1" ht="60" x14ac:dyDescent="0.15">
      <c r="A65" s="227" t="s">
        <v>43</v>
      </c>
      <c r="B65" s="228">
        <v>260</v>
      </c>
      <c r="C65" s="229" t="s">
        <v>44</v>
      </c>
      <c r="D65" s="229" t="s">
        <v>70</v>
      </c>
      <c r="E65" s="227" t="s">
        <v>130</v>
      </c>
      <c r="F65" s="227" t="s">
        <v>143</v>
      </c>
      <c r="G65" s="230">
        <v>44137.470138888886</v>
      </c>
      <c r="H65" s="227" t="s">
        <v>48</v>
      </c>
      <c r="I65" s="227">
        <v>10</v>
      </c>
      <c r="J65" s="231">
        <v>3.2</v>
      </c>
      <c r="K65" s="233" t="s">
        <v>52</v>
      </c>
      <c r="V65" s="227" t="s">
        <v>54</v>
      </c>
    </row>
    <row r="66" spans="1:22" s="232" customFormat="1" ht="15" x14ac:dyDescent="0.15">
      <c r="A66" s="227" t="s">
        <v>43</v>
      </c>
      <c r="B66" s="228">
        <v>260</v>
      </c>
      <c r="C66" s="229" t="s">
        <v>44</v>
      </c>
      <c r="D66" s="229" t="s">
        <v>70</v>
      </c>
      <c r="E66" s="227" t="s">
        <v>130</v>
      </c>
      <c r="F66" s="227" t="s">
        <v>144</v>
      </c>
      <c r="G66" s="230">
        <v>44137.470138888886</v>
      </c>
      <c r="H66" s="227" t="s">
        <v>48</v>
      </c>
      <c r="I66" s="227">
        <v>10</v>
      </c>
      <c r="J66" s="231">
        <v>3.2</v>
      </c>
      <c r="K66" s="233" t="s">
        <v>52</v>
      </c>
      <c r="V66" s="227" t="s">
        <v>54</v>
      </c>
    </row>
    <row r="67" spans="1:22" s="232" customFormat="1" ht="15" x14ac:dyDescent="0.15">
      <c r="A67" s="227" t="s">
        <v>43</v>
      </c>
      <c r="B67" s="228">
        <v>260</v>
      </c>
      <c r="C67" s="229" t="s">
        <v>44</v>
      </c>
      <c r="D67" s="229" t="s">
        <v>70</v>
      </c>
      <c r="E67" s="227" t="s">
        <v>130</v>
      </c>
      <c r="F67" s="227" t="s">
        <v>145</v>
      </c>
      <c r="G67" s="230">
        <v>44137.470833333333</v>
      </c>
      <c r="H67" s="227" t="s">
        <v>48</v>
      </c>
      <c r="I67" s="227">
        <v>10</v>
      </c>
      <c r="J67" s="231">
        <v>3.2</v>
      </c>
      <c r="K67" s="233" t="s">
        <v>52</v>
      </c>
      <c r="V67" s="227" t="s">
        <v>54</v>
      </c>
    </row>
    <row r="68" spans="1:22" s="232" customFormat="1" ht="45" x14ac:dyDescent="0.15">
      <c r="A68" s="227" t="s">
        <v>43</v>
      </c>
      <c r="B68" s="228">
        <v>260</v>
      </c>
      <c r="C68" s="229" t="s">
        <v>44</v>
      </c>
      <c r="D68" s="229" t="s">
        <v>70</v>
      </c>
      <c r="E68" s="227" t="s">
        <v>130</v>
      </c>
      <c r="F68" s="227" t="s">
        <v>146</v>
      </c>
      <c r="G68" s="230">
        <v>44137.470833333333</v>
      </c>
      <c r="H68" s="227" t="s">
        <v>48</v>
      </c>
      <c r="I68" s="227">
        <v>10</v>
      </c>
      <c r="J68" s="231">
        <v>3.2</v>
      </c>
      <c r="K68" s="233" t="s">
        <v>52</v>
      </c>
      <c r="V68" s="227" t="s">
        <v>54</v>
      </c>
    </row>
    <row r="69" spans="1:22" s="232" customFormat="1" ht="30" x14ac:dyDescent="0.15">
      <c r="A69" s="227" t="s">
        <v>43</v>
      </c>
      <c r="B69" s="228">
        <v>260</v>
      </c>
      <c r="C69" s="229" t="s">
        <v>44</v>
      </c>
      <c r="D69" s="229" t="s">
        <v>70</v>
      </c>
      <c r="E69" s="227" t="s">
        <v>130</v>
      </c>
      <c r="F69" s="227" t="s">
        <v>147</v>
      </c>
      <c r="G69" s="230">
        <v>44137.470833333333</v>
      </c>
      <c r="H69" s="227" t="s">
        <v>48</v>
      </c>
      <c r="I69" s="227">
        <v>10</v>
      </c>
      <c r="J69" s="231">
        <v>3.2</v>
      </c>
      <c r="K69" s="233" t="s">
        <v>52</v>
      </c>
      <c r="V69" s="227" t="s">
        <v>148</v>
      </c>
    </row>
    <row r="70" spans="1:22" s="232" customFormat="1" ht="15" x14ac:dyDescent="0.15">
      <c r="A70" s="227" t="s">
        <v>43</v>
      </c>
      <c r="B70" s="228">
        <v>260</v>
      </c>
      <c r="C70" s="229" t="s">
        <v>44</v>
      </c>
      <c r="D70" s="229" t="s">
        <v>70</v>
      </c>
      <c r="E70" s="227" t="s">
        <v>130</v>
      </c>
      <c r="F70" s="227" t="s">
        <v>149</v>
      </c>
      <c r="G70" s="230">
        <v>44137.470833333333</v>
      </c>
      <c r="H70" s="227" t="s">
        <v>48</v>
      </c>
      <c r="I70" s="227">
        <v>10</v>
      </c>
      <c r="J70" s="231">
        <v>3.2</v>
      </c>
      <c r="K70" s="233" t="s">
        <v>52</v>
      </c>
      <c r="V70" s="227" t="s">
        <v>148</v>
      </c>
    </row>
    <row r="71" spans="1:22" s="232" customFormat="1" ht="30" x14ac:dyDescent="0.15">
      <c r="A71" s="227" t="s">
        <v>43</v>
      </c>
      <c r="B71" s="228">
        <v>260</v>
      </c>
      <c r="C71" s="229" t="s">
        <v>44</v>
      </c>
      <c r="D71" s="229" t="s">
        <v>70</v>
      </c>
      <c r="E71" s="227" t="s">
        <v>130</v>
      </c>
      <c r="F71" s="227" t="s">
        <v>150</v>
      </c>
      <c r="G71" s="230">
        <v>44137.470833333333</v>
      </c>
      <c r="H71" s="227" t="s">
        <v>48</v>
      </c>
      <c r="I71" s="227">
        <v>10</v>
      </c>
      <c r="J71" s="231">
        <v>3.2</v>
      </c>
      <c r="K71" s="233" t="s">
        <v>52</v>
      </c>
      <c r="V71" s="227" t="s">
        <v>54</v>
      </c>
    </row>
    <row r="72" spans="1:22" s="232" customFormat="1" ht="45" x14ac:dyDescent="0.15">
      <c r="A72" s="227" t="s">
        <v>43</v>
      </c>
      <c r="B72" s="228">
        <v>260</v>
      </c>
      <c r="C72" s="229" t="s">
        <v>44</v>
      </c>
      <c r="D72" s="229" t="s">
        <v>70</v>
      </c>
      <c r="E72" s="227" t="s">
        <v>130</v>
      </c>
      <c r="F72" s="227" t="s">
        <v>151</v>
      </c>
      <c r="G72" s="230">
        <v>44137.470833333333</v>
      </c>
      <c r="H72" s="227" t="s">
        <v>48</v>
      </c>
      <c r="I72" s="227">
        <v>10</v>
      </c>
      <c r="J72" s="231">
        <v>3.2</v>
      </c>
      <c r="K72" s="233" t="s">
        <v>52</v>
      </c>
      <c r="V72" s="227" t="s">
        <v>54</v>
      </c>
    </row>
    <row r="73" spans="1:22" s="232" customFormat="1" ht="15" x14ac:dyDescent="0.15">
      <c r="A73" s="227" t="s">
        <v>43</v>
      </c>
      <c r="B73" s="228">
        <v>260</v>
      </c>
      <c r="C73" s="229" t="s">
        <v>44</v>
      </c>
      <c r="D73" s="229" t="s">
        <v>70</v>
      </c>
      <c r="E73" s="227" t="s">
        <v>130</v>
      </c>
      <c r="F73" s="227" t="s">
        <v>152</v>
      </c>
      <c r="G73" s="230">
        <v>44137.470833333333</v>
      </c>
      <c r="H73" s="227" t="s">
        <v>48</v>
      </c>
      <c r="I73" s="227">
        <v>10</v>
      </c>
      <c r="J73" s="231">
        <v>3.2</v>
      </c>
      <c r="K73" s="233" t="s">
        <v>52</v>
      </c>
      <c r="V73" s="227" t="s">
        <v>148</v>
      </c>
    </row>
    <row r="74" spans="1:22" s="225" customFormat="1" ht="15" x14ac:dyDescent="0.15">
      <c r="A74" s="220" t="s">
        <v>43</v>
      </c>
      <c r="B74" s="221">
        <v>260</v>
      </c>
      <c r="C74" s="222" t="s">
        <v>44</v>
      </c>
      <c r="D74" s="222" t="s">
        <v>153</v>
      </c>
      <c r="E74" s="220" t="s">
        <v>154</v>
      </c>
      <c r="F74" s="220" t="s">
        <v>155</v>
      </c>
      <c r="G74" s="223">
        <v>44128.783333333333</v>
      </c>
      <c r="H74" s="220" t="s">
        <v>48</v>
      </c>
      <c r="I74" s="220">
        <v>10</v>
      </c>
      <c r="J74" s="224">
        <v>3.3</v>
      </c>
      <c r="K74" s="226" t="s">
        <v>636</v>
      </c>
      <c r="V74" s="220" t="s">
        <v>78</v>
      </c>
    </row>
    <row r="75" spans="1:22" s="225" customFormat="1" ht="30" x14ac:dyDescent="0.15">
      <c r="A75" s="220" t="s">
        <v>43</v>
      </c>
      <c r="B75" s="221">
        <v>260</v>
      </c>
      <c r="C75" s="222" t="s">
        <v>44</v>
      </c>
      <c r="D75" s="222" t="s">
        <v>153</v>
      </c>
      <c r="E75" s="220" t="s">
        <v>154</v>
      </c>
      <c r="F75" s="220" t="s">
        <v>156</v>
      </c>
      <c r="G75" s="223">
        <v>44128.786111111112</v>
      </c>
      <c r="H75" s="220" t="s">
        <v>48</v>
      </c>
      <c r="I75" s="220">
        <v>10</v>
      </c>
      <c r="J75" s="224">
        <v>3.3</v>
      </c>
      <c r="K75" s="226" t="s">
        <v>632</v>
      </c>
      <c r="V75" s="220" t="s">
        <v>54</v>
      </c>
    </row>
    <row r="76" spans="1:22" s="225" customFormat="1" ht="30" x14ac:dyDescent="0.15">
      <c r="A76" s="220" t="s">
        <v>43</v>
      </c>
      <c r="B76" s="221">
        <v>260</v>
      </c>
      <c r="C76" s="222" t="s">
        <v>44</v>
      </c>
      <c r="D76" s="222" t="s">
        <v>153</v>
      </c>
      <c r="E76" s="220" t="s">
        <v>154</v>
      </c>
      <c r="F76" s="220" t="s">
        <v>157</v>
      </c>
      <c r="G76" s="223">
        <v>44128.786111111112</v>
      </c>
      <c r="H76" s="220" t="s">
        <v>48</v>
      </c>
      <c r="I76" s="220">
        <v>10</v>
      </c>
      <c r="J76" s="224">
        <v>3.3</v>
      </c>
      <c r="K76" s="226" t="s">
        <v>632</v>
      </c>
      <c r="V76" s="220" t="s">
        <v>54</v>
      </c>
    </row>
    <row r="77" spans="1:22" s="225" customFormat="1" ht="60" x14ac:dyDescent="0.15">
      <c r="A77" s="220" t="s">
        <v>43</v>
      </c>
      <c r="B77" s="221">
        <v>260</v>
      </c>
      <c r="C77" s="222" t="s">
        <v>44</v>
      </c>
      <c r="D77" s="222" t="s">
        <v>153</v>
      </c>
      <c r="E77" s="220" t="s">
        <v>154</v>
      </c>
      <c r="F77" s="220" t="s">
        <v>158</v>
      </c>
      <c r="G77" s="223">
        <v>44128.786111111112</v>
      </c>
      <c r="H77" s="220" t="s">
        <v>48</v>
      </c>
      <c r="I77" s="220">
        <v>10</v>
      </c>
      <c r="J77" s="224">
        <v>3.3</v>
      </c>
      <c r="K77" s="226" t="s">
        <v>632</v>
      </c>
      <c r="V77" s="220" t="s">
        <v>54</v>
      </c>
    </row>
    <row r="78" spans="1:22" s="225" customFormat="1" ht="45" x14ac:dyDescent="0.15">
      <c r="A78" s="220" t="s">
        <v>43</v>
      </c>
      <c r="B78" s="221">
        <v>260</v>
      </c>
      <c r="C78" s="222" t="s">
        <v>44</v>
      </c>
      <c r="D78" s="222" t="s">
        <v>153</v>
      </c>
      <c r="E78" s="220" t="s">
        <v>154</v>
      </c>
      <c r="F78" s="220" t="s">
        <v>159</v>
      </c>
      <c r="G78" s="223">
        <v>44128.786111111112</v>
      </c>
      <c r="H78" s="220" t="s">
        <v>48</v>
      </c>
      <c r="I78" s="220">
        <v>10</v>
      </c>
      <c r="J78" s="224">
        <v>3.3</v>
      </c>
      <c r="K78" s="226" t="s">
        <v>632</v>
      </c>
      <c r="V78" s="220" t="s">
        <v>54</v>
      </c>
    </row>
    <row r="79" spans="1:22" s="225" customFormat="1" ht="15" x14ac:dyDescent="0.15">
      <c r="A79" s="220" t="s">
        <v>43</v>
      </c>
      <c r="B79" s="221">
        <v>260</v>
      </c>
      <c r="C79" s="222" t="s">
        <v>44</v>
      </c>
      <c r="D79" s="222" t="s">
        <v>153</v>
      </c>
      <c r="E79" s="220" t="s">
        <v>154</v>
      </c>
      <c r="F79" s="220" t="s">
        <v>160</v>
      </c>
      <c r="G79" s="223">
        <v>44128.786111111112</v>
      </c>
      <c r="H79" s="220" t="s">
        <v>48</v>
      </c>
      <c r="I79" s="220">
        <v>10</v>
      </c>
      <c r="J79" s="224">
        <v>3.3</v>
      </c>
      <c r="K79" s="226" t="s">
        <v>632</v>
      </c>
      <c r="V79" s="220" t="s">
        <v>78</v>
      </c>
    </row>
    <row r="80" spans="1:22" s="169" customFormat="1" ht="15" x14ac:dyDescent="0.15">
      <c r="A80" s="164" t="s">
        <v>43</v>
      </c>
      <c r="B80" s="165">
        <v>260</v>
      </c>
      <c r="C80" s="166" t="s">
        <v>44</v>
      </c>
      <c r="D80" s="166" t="s">
        <v>161</v>
      </c>
      <c r="E80" s="164" t="s">
        <v>162</v>
      </c>
      <c r="F80" s="164" t="s">
        <v>163</v>
      </c>
      <c r="G80" s="167">
        <v>44124.394444444442</v>
      </c>
      <c r="H80" s="164" t="s">
        <v>48</v>
      </c>
      <c r="I80" s="164">
        <v>10</v>
      </c>
      <c r="J80" s="168">
        <v>3.4</v>
      </c>
      <c r="K80" s="219" t="s">
        <v>52</v>
      </c>
      <c r="L80" s="219" t="s">
        <v>52</v>
      </c>
      <c r="M80" s="219">
        <v>1</v>
      </c>
      <c r="N80" s="219">
        <v>1</v>
      </c>
      <c r="O80" s="219"/>
      <c r="P80" s="219"/>
      <c r="Q80" s="219" t="s">
        <v>261</v>
      </c>
      <c r="R80" s="219" t="s">
        <v>261</v>
      </c>
      <c r="S80" s="219"/>
      <c r="T80" s="219"/>
      <c r="V80" s="164" t="s">
        <v>148</v>
      </c>
    </row>
    <row r="81" spans="1:22" s="169" customFormat="1" ht="15" x14ac:dyDescent="0.15">
      <c r="A81" s="164" t="s">
        <v>43</v>
      </c>
      <c r="B81" s="165">
        <v>260</v>
      </c>
      <c r="C81" s="166" t="s">
        <v>44</v>
      </c>
      <c r="D81" s="166" t="s">
        <v>161</v>
      </c>
      <c r="E81" s="164" t="s">
        <v>162</v>
      </c>
      <c r="F81" s="164" t="s">
        <v>164</v>
      </c>
      <c r="G81" s="167">
        <v>44124.394444444442</v>
      </c>
      <c r="H81" s="164" t="s">
        <v>48</v>
      </c>
      <c r="I81" s="164">
        <v>10</v>
      </c>
      <c r="J81" s="168">
        <v>3.4</v>
      </c>
      <c r="K81" s="177" t="s">
        <v>52</v>
      </c>
      <c r="L81" s="177" t="s">
        <v>52</v>
      </c>
      <c r="M81" s="177">
        <v>1</v>
      </c>
      <c r="N81" s="177">
        <v>1</v>
      </c>
      <c r="O81" s="177"/>
      <c r="P81" s="177"/>
      <c r="Q81" s="177" t="s">
        <v>112</v>
      </c>
      <c r="R81" s="177" t="s">
        <v>112</v>
      </c>
      <c r="S81" s="177"/>
      <c r="T81" s="177"/>
      <c r="V81" s="164" t="s">
        <v>148</v>
      </c>
    </row>
    <row r="82" spans="1:22" s="169" customFormat="1" ht="15" x14ac:dyDescent="0.15">
      <c r="A82" s="164" t="s">
        <v>43</v>
      </c>
      <c r="B82" s="165">
        <v>260</v>
      </c>
      <c r="C82" s="166" t="s">
        <v>44</v>
      </c>
      <c r="D82" s="166" t="s">
        <v>161</v>
      </c>
      <c r="E82" s="164" t="s">
        <v>162</v>
      </c>
      <c r="F82" s="164" t="s">
        <v>165</v>
      </c>
      <c r="G82" s="167">
        <v>44124.394444444442</v>
      </c>
      <c r="H82" s="164" t="s">
        <v>48</v>
      </c>
      <c r="I82" s="164">
        <v>10</v>
      </c>
      <c r="J82" s="168">
        <v>3.4</v>
      </c>
      <c r="K82" s="177" t="s">
        <v>52</v>
      </c>
      <c r="L82" s="177" t="s">
        <v>52</v>
      </c>
      <c r="M82" s="177">
        <v>1</v>
      </c>
      <c r="N82" s="177">
        <v>1</v>
      </c>
      <c r="O82" s="177"/>
      <c r="P82" s="177"/>
      <c r="Q82" s="177" t="s">
        <v>261</v>
      </c>
      <c r="R82" s="177" t="s">
        <v>261</v>
      </c>
      <c r="S82" s="177"/>
      <c r="T82" s="177"/>
      <c r="V82" s="164" t="s">
        <v>148</v>
      </c>
    </row>
    <row r="83" spans="1:22" s="169" customFormat="1" ht="30" x14ac:dyDescent="0.15">
      <c r="A83" s="164" t="s">
        <v>43</v>
      </c>
      <c r="B83" s="165">
        <v>260</v>
      </c>
      <c r="C83" s="166" t="s">
        <v>44</v>
      </c>
      <c r="D83" s="166" t="s">
        <v>161</v>
      </c>
      <c r="E83" s="164" t="s">
        <v>162</v>
      </c>
      <c r="F83" s="164" t="s">
        <v>168</v>
      </c>
      <c r="G83" s="167">
        <v>44124.456250000003</v>
      </c>
      <c r="H83" s="164" t="s">
        <v>48</v>
      </c>
      <c r="I83" s="164">
        <v>10</v>
      </c>
      <c r="J83" s="168">
        <v>3.4</v>
      </c>
      <c r="K83" s="177" t="s">
        <v>52</v>
      </c>
      <c r="L83" s="177" t="s">
        <v>52</v>
      </c>
      <c r="M83" s="177">
        <v>1</v>
      </c>
      <c r="N83" s="177">
        <v>1</v>
      </c>
      <c r="O83" s="177"/>
      <c r="P83" s="177"/>
      <c r="Q83" s="177"/>
      <c r="R83" s="177"/>
      <c r="S83" s="177"/>
      <c r="T83" s="177"/>
      <c r="V83" s="164" t="s">
        <v>54</v>
      </c>
    </row>
    <row r="84" spans="1:22" s="169" customFormat="1" ht="45" x14ac:dyDescent="0.15">
      <c r="A84" s="164" t="s">
        <v>43</v>
      </c>
      <c r="B84" s="165">
        <v>260</v>
      </c>
      <c r="C84" s="166" t="s">
        <v>44</v>
      </c>
      <c r="D84" s="166" t="s">
        <v>161</v>
      </c>
      <c r="E84" s="164" t="s">
        <v>162</v>
      </c>
      <c r="F84" s="164" t="s">
        <v>170</v>
      </c>
      <c r="G84" s="167">
        <v>44124.456250000003</v>
      </c>
      <c r="H84" s="164" t="s">
        <v>48</v>
      </c>
      <c r="I84" s="164">
        <v>10</v>
      </c>
      <c r="J84" s="168">
        <v>3.4</v>
      </c>
      <c r="K84" s="177" t="s">
        <v>52</v>
      </c>
      <c r="L84" s="177" t="s">
        <v>52</v>
      </c>
      <c r="M84" s="177">
        <v>1</v>
      </c>
      <c r="N84" s="177">
        <v>1</v>
      </c>
      <c r="O84" s="177"/>
      <c r="P84" s="177"/>
      <c r="Q84" s="177"/>
      <c r="R84" s="177"/>
      <c r="S84" s="177"/>
      <c r="T84" s="177"/>
      <c r="V84" s="164" t="s">
        <v>54</v>
      </c>
    </row>
    <row r="85" spans="1:22" s="169" customFormat="1" ht="30" x14ac:dyDescent="0.15">
      <c r="A85" s="164" t="s">
        <v>43</v>
      </c>
      <c r="B85" s="165">
        <v>260</v>
      </c>
      <c r="C85" s="166" t="s">
        <v>44</v>
      </c>
      <c r="D85" s="166" t="s">
        <v>161</v>
      </c>
      <c r="E85" s="164" t="s">
        <v>162</v>
      </c>
      <c r="F85" s="164" t="s">
        <v>171</v>
      </c>
      <c r="G85" s="167">
        <v>44124.456250000003</v>
      </c>
      <c r="H85" s="164" t="s">
        <v>48</v>
      </c>
      <c r="I85" s="164">
        <v>10</v>
      </c>
      <c r="J85" s="168">
        <v>3.4</v>
      </c>
      <c r="K85" s="177" t="s">
        <v>52</v>
      </c>
      <c r="L85" s="177" t="s">
        <v>52</v>
      </c>
      <c r="M85" s="177">
        <v>1</v>
      </c>
      <c r="N85" s="177">
        <v>1</v>
      </c>
      <c r="O85" s="177"/>
      <c r="P85" s="177"/>
      <c r="Q85" s="177"/>
      <c r="R85" s="177"/>
      <c r="S85" s="177"/>
      <c r="T85" s="177"/>
      <c r="V85" s="164" t="s">
        <v>54</v>
      </c>
    </row>
    <row r="86" spans="1:22" s="169" customFormat="1" ht="45" x14ac:dyDescent="0.15">
      <c r="A86" s="164" t="s">
        <v>43</v>
      </c>
      <c r="B86" s="165">
        <v>260</v>
      </c>
      <c r="C86" s="166" t="s">
        <v>44</v>
      </c>
      <c r="D86" s="166" t="s">
        <v>161</v>
      </c>
      <c r="E86" s="164" t="s">
        <v>162</v>
      </c>
      <c r="F86" s="164" t="s">
        <v>172</v>
      </c>
      <c r="G86" s="167">
        <v>44124.456250000003</v>
      </c>
      <c r="H86" s="164" t="s">
        <v>48</v>
      </c>
      <c r="I86" s="164">
        <v>10</v>
      </c>
      <c r="J86" s="168">
        <v>3.4</v>
      </c>
      <c r="K86" s="177" t="s">
        <v>52</v>
      </c>
      <c r="L86" s="177" t="s">
        <v>52</v>
      </c>
      <c r="M86" s="177">
        <v>1</v>
      </c>
      <c r="N86" s="177">
        <v>1</v>
      </c>
      <c r="O86" s="177"/>
      <c r="P86" s="177"/>
      <c r="Q86" s="177"/>
      <c r="R86" s="177"/>
      <c r="S86" s="177"/>
      <c r="T86" s="177"/>
      <c r="V86" s="164" t="s">
        <v>54</v>
      </c>
    </row>
    <row r="87" spans="1:22" s="169" customFormat="1" ht="15" x14ac:dyDescent="0.15">
      <c r="A87" s="164" t="s">
        <v>43</v>
      </c>
      <c r="B87" s="165">
        <v>260</v>
      </c>
      <c r="C87" s="166" t="s">
        <v>44</v>
      </c>
      <c r="D87" s="166" t="s">
        <v>161</v>
      </c>
      <c r="E87" s="164" t="s">
        <v>162</v>
      </c>
      <c r="F87" s="164" t="s">
        <v>173</v>
      </c>
      <c r="G87" s="167">
        <v>44124.456250000003</v>
      </c>
      <c r="H87" s="164" t="s">
        <v>48</v>
      </c>
      <c r="I87" s="164">
        <v>10</v>
      </c>
      <c r="J87" s="168">
        <v>3.4</v>
      </c>
      <c r="K87" s="177" t="s">
        <v>52</v>
      </c>
      <c r="L87" s="177" t="s">
        <v>52</v>
      </c>
      <c r="M87" s="177">
        <v>1</v>
      </c>
      <c r="N87" s="177">
        <v>1</v>
      </c>
      <c r="O87" s="177"/>
      <c r="P87" s="177"/>
      <c r="Q87" s="177"/>
      <c r="R87" s="177"/>
      <c r="S87" s="177"/>
      <c r="T87" s="177"/>
      <c r="V87" s="164" t="s">
        <v>78</v>
      </c>
    </row>
    <row r="88" spans="1:22" s="169" customFormat="1" ht="30" x14ac:dyDescent="0.15">
      <c r="A88" s="164" t="s">
        <v>43</v>
      </c>
      <c r="B88" s="165">
        <v>260</v>
      </c>
      <c r="C88" s="166" t="s">
        <v>44</v>
      </c>
      <c r="D88" s="166" t="s">
        <v>161</v>
      </c>
      <c r="E88" s="164" t="s">
        <v>162</v>
      </c>
      <c r="F88" s="164" t="s">
        <v>174</v>
      </c>
      <c r="G88" s="167">
        <v>44124.461111111108</v>
      </c>
      <c r="H88" s="164" t="s">
        <v>48</v>
      </c>
      <c r="I88" s="164">
        <v>10</v>
      </c>
      <c r="J88" s="168">
        <v>3.4</v>
      </c>
      <c r="K88" s="177" t="s">
        <v>52</v>
      </c>
      <c r="L88" s="177" t="s">
        <v>52</v>
      </c>
      <c r="M88" s="177">
        <v>1</v>
      </c>
      <c r="N88" s="177">
        <v>1</v>
      </c>
      <c r="O88" s="177"/>
      <c r="P88" s="177"/>
      <c r="Q88" s="177"/>
      <c r="R88" s="177"/>
      <c r="S88" s="177"/>
      <c r="T88" s="177"/>
      <c r="V88" s="164" t="s">
        <v>54</v>
      </c>
    </row>
    <row r="89" spans="1:22" s="169" customFormat="1" ht="45" x14ac:dyDescent="0.15">
      <c r="A89" s="164" t="s">
        <v>43</v>
      </c>
      <c r="B89" s="165">
        <v>260</v>
      </c>
      <c r="C89" s="166" t="s">
        <v>44</v>
      </c>
      <c r="D89" s="166" t="s">
        <v>161</v>
      </c>
      <c r="E89" s="164" t="s">
        <v>162</v>
      </c>
      <c r="F89" s="164" t="s">
        <v>175</v>
      </c>
      <c r="G89" s="167">
        <v>44124.461111111108</v>
      </c>
      <c r="H89" s="164" t="s">
        <v>48</v>
      </c>
      <c r="I89" s="164">
        <v>10</v>
      </c>
      <c r="J89" s="168">
        <v>3.4</v>
      </c>
      <c r="K89" s="177" t="s">
        <v>52</v>
      </c>
      <c r="L89" s="177" t="s">
        <v>52</v>
      </c>
      <c r="M89" s="177">
        <v>1</v>
      </c>
      <c r="N89" s="177">
        <v>1</v>
      </c>
      <c r="O89" s="177"/>
      <c r="P89" s="177"/>
      <c r="Q89" s="177"/>
      <c r="R89" s="177"/>
      <c r="S89" s="177"/>
      <c r="T89" s="177"/>
      <c r="V89" s="164" t="s">
        <v>54</v>
      </c>
    </row>
    <row r="90" spans="1:22" s="169" customFormat="1" ht="15" x14ac:dyDescent="0.15">
      <c r="A90" s="164" t="s">
        <v>43</v>
      </c>
      <c r="B90" s="165">
        <v>260</v>
      </c>
      <c r="C90" s="166" t="s">
        <v>44</v>
      </c>
      <c r="D90" s="166" t="s">
        <v>161</v>
      </c>
      <c r="E90" s="164" t="s">
        <v>162</v>
      </c>
      <c r="F90" s="164" t="s">
        <v>176</v>
      </c>
      <c r="G90" s="167">
        <v>44124.461111111108</v>
      </c>
      <c r="H90" s="164" t="s">
        <v>48</v>
      </c>
      <c r="I90" s="164">
        <v>10</v>
      </c>
      <c r="J90" s="168">
        <v>3.4</v>
      </c>
      <c r="K90" s="177" t="s">
        <v>52</v>
      </c>
      <c r="L90" s="177" t="s">
        <v>52</v>
      </c>
      <c r="M90" s="177">
        <v>1</v>
      </c>
      <c r="N90" s="177">
        <v>1</v>
      </c>
      <c r="O90" s="177"/>
      <c r="P90" s="177"/>
      <c r="Q90" s="177"/>
      <c r="R90" s="177"/>
      <c r="S90" s="177"/>
      <c r="T90" s="177"/>
      <c r="V90" s="164" t="s">
        <v>54</v>
      </c>
    </row>
    <row r="91" spans="1:22" s="169" customFormat="1" ht="30" x14ac:dyDescent="0.15">
      <c r="A91" s="164" t="s">
        <v>43</v>
      </c>
      <c r="B91" s="165">
        <v>260</v>
      </c>
      <c r="C91" s="166" t="s">
        <v>44</v>
      </c>
      <c r="D91" s="166" t="s">
        <v>161</v>
      </c>
      <c r="E91" s="164" t="s">
        <v>162</v>
      </c>
      <c r="F91" s="164" t="s">
        <v>177</v>
      </c>
      <c r="G91" s="167">
        <v>44124.461111111108</v>
      </c>
      <c r="H91" s="164" t="s">
        <v>48</v>
      </c>
      <c r="I91" s="164">
        <v>10</v>
      </c>
      <c r="J91" s="168">
        <v>3.4</v>
      </c>
      <c r="K91" s="177" t="s">
        <v>52</v>
      </c>
      <c r="L91" s="177" t="s">
        <v>52</v>
      </c>
      <c r="M91" s="177">
        <v>1</v>
      </c>
      <c r="N91" s="177">
        <v>1</v>
      </c>
      <c r="O91" s="177"/>
      <c r="P91" s="177"/>
      <c r="Q91" s="177"/>
      <c r="R91" s="177"/>
      <c r="S91" s="177"/>
      <c r="T91" s="177"/>
      <c r="V91" s="164" t="s">
        <v>54</v>
      </c>
    </row>
    <row r="92" spans="1:22" s="169" customFormat="1" ht="15" x14ac:dyDescent="0.15">
      <c r="A92" s="164" t="s">
        <v>43</v>
      </c>
      <c r="B92" s="165">
        <v>260</v>
      </c>
      <c r="C92" s="166" t="s">
        <v>44</v>
      </c>
      <c r="D92" s="166" t="s">
        <v>161</v>
      </c>
      <c r="E92" s="164" t="s">
        <v>162</v>
      </c>
      <c r="F92" s="164" t="s">
        <v>178</v>
      </c>
      <c r="G92" s="167">
        <v>44124.461111111108</v>
      </c>
      <c r="H92" s="164" t="s">
        <v>48</v>
      </c>
      <c r="I92" s="164">
        <v>10</v>
      </c>
      <c r="J92" s="168">
        <v>3.4</v>
      </c>
      <c r="K92" s="177" t="s">
        <v>52</v>
      </c>
      <c r="L92" s="177" t="s">
        <v>52</v>
      </c>
      <c r="M92" s="177">
        <v>1</v>
      </c>
      <c r="N92" s="177">
        <v>1</v>
      </c>
      <c r="O92" s="177"/>
      <c r="P92" s="177"/>
      <c r="Q92" s="177"/>
      <c r="R92" s="177"/>
      <c r="S92" s="177"/>
      <c r="T92" s="177"/>
      <c r="V92" s="164" t="s">
        <v>54</v>
      </c>
    </row>
    <row r="93" spans="1:22" s="169" customFormat="1" ht="15" x14ac:dyDescent="0.15">
      <c r="A93" s="164" t="s">
        <v>43</v>
      </c>
      <c r="B93" s="165">
        <v>260</v>
      </c>
      <c r="C93" s="166" t="s">
        <v>44</v>
      </c>
      <c r="D93" s="166" t="s">
        <v>161</v>
      </c>
      <c r="E93" s="164" t="s">
        <v>179</v>
      </c>
      <c r="F93" s="164" t="s">
        <v>180</v>
      </c>
      <c r="G93" s="167">
        <v>44124.511805555558</v>
      </c>
      <c r="H93" s="164" t="s">
        <v>48</v>
      </c>
      <c r="I93" s="164">
        <v>9</v>
      </c>
      <c r="J93" s="168">
        <v>3.4</v>
      </c>
      <c r="K93" s="177" t="s">
        <v>52</v>
      </c>
      <c r="L93" s="177" t="s">
        <v>52</v>
      </c>
      <c r="M93" s="177">
        <v>1</v>
      </c>
      <c r="N93" s="177">
        <v>1</v>
      </c>
      <c r="O93" s="177" t="s">
        <v>637</v>
      </c>
      <c r="P93" s="177" t="s">
        <v>637</v>
      </c>
      <c r="Q93" s="177"/>
      <c r="R93" s="177"/>
      <c r="S93" s="177"/>
      <c r="T93" s="177"/>
      <c r="V93" s="164" t="s">
        <v>63</v>
      </c>
    </row>
    <row r="94" spans="1:22" s="169" customFormat="1" ht="30" x14ac:dyDescent="0.15">
      <c r="A94" s="164" t="s">
        <v>43</v>
      </c>
      <c r="B94" s="165">
        <v>260</v>
      </c>
      <c r="C94" s="166" t="s">
        <v>44</v>
      </c>
      <c r="D94" s="166" t="s">
        <v>161</v>
      </c>
      <c r="E94" s="164" t="s">
        <v>179</v>
      </c>
      <c r="F94" s="164" t="s">
        <v>181</v>
      </c>
      <c r="G94" s="167">
        <v>44124.511805555558</v>
      </c>
      <c r="H94" s="164" t="s">
        <v>48</v>
      </c>
      <c r="I94" s="164">
        <v>9</v>
      </c>
      <c r="J94" s="168">
        <v>3.4</v>
      </c>
      <c r="K94" s="177" t="s">
        <v>52</v>
      </c>
      <c r="L94" s="177" t="s">
        <v>52</v>
      </c>
      <c r="M94" s="177">
        <v>1</v>
      </c>
      <c r="N94" s="177">
        <v>1</v>
      </c>
      <c r="O94" s="177"/>
      <c r="P94" s="177"/>
      <c r="Q94" s="177"/>
      <c r="R94" s="177"/>
      <c r="S94" s="177"/>
      <c r="T94" s="177"/>
      <c r="V94" s="164" t="s">
        <v>54</v>
      </c>
    </row>
    <row r="95" spans="1:22" s="169" customFormat="1" ht="30" x14ac:dyDescent="0.15">
      <c r="A95" s="164" t="s">
        <v>43</v>
      </c>
      <c r="B95" s="165">
        <v>260</v>
      </c>
      <c r="C95" s="166" t="s">
        <v>44</v>
      </c>
      <c r="D95" s="166" t="s">
        <v>161</v>
      </c>
      <c r="E95" s="164" t="s">
        <v>179</v>
      </c>
      <c r="F95" s="164" t="s">
        <v>182</v>
      </c>
      <c r="G95" s="167">
        <v>44124.511805555558</v>
      </c>
      <c r="H95" s="164" t="s">
        <v>48</v>
      </c>
      <c r="I95" s="164">
        <v>9</v>
      </c>
      <c r="J95" s="168">
        <v>3.4</v>
      </c>
      <c r="K95" s="177" t="s">
        <v>52</v>
      </c>
      <c r="L95" s="177" t="s">
        <v>52</v>
      </c>
      <c r="M95" s="177">
        <v>1</v>
      </c>
      <c r="N95" s="177">
        <v>1</v>
      </c>
      <c r="O95" s="177"/>
      <c r="P95" s="177"/>
      <c r="Q95" s="177"/>
      <c r="R95" s="177"/>
      <c r="S95" s="177"/>
      <c r="T95" s="177"/>
      <c r="V95" s="164" t="s">
        <v>54</v>
      </c>
    </row>
    <row r="96" spans="1:22" s="169" customFormat="1" ht="30" x14ac:dyDescent="0.15">
      <c r="A96" s="164" t="s">
        <v>43</v>
      </c>
      <c r="B96" s="165">
        <v>260</v>
      </c>
      <c r="C96" s="166" t="s">
        <v>44</v>
      </c>
      <c r="D96" s="166" t="s">
        <v>161</v>
      </c>
      <c r="E96" s="164" t="s">
        <v>179</v>
      </c>
      <c r="F96" s="164" t="s">
        <v>183</v>
      </c>
      <c r="G96" s="167">
        <v>44124.511805555558</v>
      </c>
      <c r="H96" s="164" t="s">
        <v>48</v>
      </c>
      <c r="I96" s="164">
        <v>9</v>
      </c>
      <c r="J96" s="168">
        <v>3.4</v>
      </c>
      <c r="K96" s="177" t="s">
        <v>52</v>
      </c>
      <c r="L96" s="177" t="s">
        <v>52</v>
      </c>
      <c r="M96" s="177">
        <v>1</v>
      </c>
      <c r="N96" s="177">
        <v>1</v>
      </c>
      <c r="O96" s="177"/>
      <c r="P96" s="177"/>
      <c r="Q96" s="177"/>
      <c r="R96" s="177"/>
      <c r="S96" s="177"/>
      <c r="T96" s="177"/>
      <c r="V96" s="164" t="s">
        <v>54</v>
      </c>
    </row>
    <row r="97" spans="1:22" s="169" customFormat="1" ht="30" x14ac:dyDescent="0.15">
      <c r="A97" s="164" t="s">
        <v>43</v>
      </c>
      <c r="B97" s="165">
        <v>260</v>
      </c>
      <c r="C97" s="166" t="s">
        <v>44</v>
      </c>
      <c r="D97" s="166" t="s">
        <v>161</v>
      </c>
      <c r="E97" s="164" t="s">
        <v>179</v>
      </c>
      <c r="F97" s="164" t="s">
        <v>184</v>
      </c>
      <c r="G97" s="167">
        <v>44124.513194444444</v>
      </c>
      <c r="H97" s="164" t="s">
        <v>48</v>
      </c>
      <c r="I97" s="164">
        <v>9</v>
      </c>
      <c r="J97" s="168">
        <v>3.4</v>
      </c>
      <c r="K97" s="177" t="s">
        <v>52</v>
      </c>
      <c r="L97" s="177" t="s">
        <v>52</v>
      </c>
      <c r="M97" s="177">
        <v>1</v>
      </c>
      <c r="N97" s="177">
        <v>1</v>
      </c>
      <c r="O97" s="177"/>
      <c r="P97" s="177"/>
      <c r="Q97" s="177"/>
      <c r="R97" s="177"/>
      <c r="S97" s="177"/>
      <c r="T97" s="177"/>
      <c r="V97" s="164" t="s">
        <v>54</v>
      </c>
    </row>
    <row r="98" spans="1:22" s="169" customFormat="1" ht="30" x14ac:dyDescent="0.15">
      <c r="A98" s="164" t="s">
        <v>43</v>
      </c>
      <c r="B98" s="165">
        <v>260</v>
      </c>
      <c r="C98" s="166" t="s">
        <v>44</v>
      </c>
      <c r="D98" s="166" t="s">
        <v>161</v>
      </c>
      <c r="E98" s="164" t="s">
        <v>179</v>
      </c>
      <c r="F98" s="164" t="s">
        <v>185</v>
      </c>
      <c r="G98" s="167">
        <v>44124.513194444444</v>
      </c>
      <c r="H98" s="164" t="s">
        <v>48</v>
      </c>
      <c r="I98" s="164">
        <v>9</v>
      </c>
      <c r="J98" s="168">
        <v>3.4</v>
      </c>
      <c r="K98" s="177" t="s">
        <v>52</v>
      </c>
      <c r="L98" s="177" t="s">
        <v>52</v>
      </c>
      <c r="M98" s="177">
        <v>1</v>
      </c>
      <c r="N98" s="177">
        <v>1</v>
      </c>
      <c r="O98" s="177"/>
      <c r="P98" s="177"/>
      <c r="Q98" s="177"/>
      <c r="R98" s="177"/>
      <c r="S98" s="177"/>
      <c r="T98" s="177"/>
      <c r="V98" s="164" t="s">
        <v>54</v>
      </c>
    </row>
    <row r="99" spans="1:22" s="169" customFormat="1" ht="15" x14ac:dyDescent="0.15">
      <c r="A99" s="164" t="s">
        <v>43</v>
      </c>
      <c r="B99" s="165">
        <v>260</v>
      </c>
      <c r="C99" s="166" t="s">
        <v>44</v>
      </c>
      <c r="D99" s="166" t="s">
        <v>161</v>
      </c>
      <c r="E99" s="164" t="s">
        <v>162</v>
      </c>
      <c r="F99" s="164" t="s">
        <v>186</v>
      </c>
      <c r="G99" s="167">
        <v>44124.529861111114</v>
      </c>
      <c r="H99" s="164" t="s">
        <v>48</v>
      </c>
      <c r="I99" s="164">
        <v>10</v>
      </c>
      <c r="J99" s="168">
        <v>3.4</v>
      </c>
      <c r="K99" s="177" t="s">
        <v>52</v>
      </c>
      <c r="L99" s="177" t="s">
        <v>52</v>
      </c>
      <c r="M99" s="177">
        <v>1</v>
      </c>
      <c r="N99" s="177">
        <v>1</v>
      </c>
      <c r="O99" s="177" t="s">
        <v>58</v>
      </c>
      <c r="P99" s="177" t="s">
        <v>58</v>
      </c>
      <c r="Q99" s="177"/>
      <c r="R99" s="177"/>
      <c r="S99" s="177"/>
      <c r="T99" s="177"/>
      <c r="V99" s="164" t="s">
        <v>59</v>
      </c>
    </row>
    <row r="100" spans="1:22" s="169" customFormat="1" ht="15" x14ac:dyDescent="0.15">
      <c r="A100" s="164" t="s">
        <v>43</v>
      </c>
      <c r="B100" s="165">
        <v>260</v>
      </c>
      <c r="C100" s="166" t="s">
        <v>44</v>
      </c>
      <c r="D100" s="166" t="s">
        <v>161</v>
      </c>
      <c r="E100" s="164" t="s">
        <v>162</v>
      </c>
      <c r="F100" s="164" t="s">
        <v>165</v>
      </c>
      <c r="G100" s="167">
        <v>44124.529861111114</v>
      </c>
      <c r="H100" s="164" t="s">
        <v>48</v>
      </c>
      <c r="I100" s="164">
        <v>10</v>
      </c>
      <c r="J100" s="168">
        <v>3.4</v>
      </c>
      <c r="K100" s="177" t="s">
        <v>52</v>
      </c>
      <c r="L100" s="177" t="s">
        <v>52</v>
      </c>
      <c r="M100" s="177">
        <v>2</v>
      </c>
      <c r="N100" s="177">
        <v>2</v>
      </c>
      <c r="O100" s="177"/>
      <c r="P100" s="177"/>
      <c r="Q100" s="177" t="s">
        <v>120</v>
      </c>
      <c r="R100" s="177" t="s">
        <v>120</v>
      </c>
      <c r="S100" s="177"/>
      <c r="T100" s="177"/>
      <c r="V100" s="164" t="s">
        <v>148</v>
      </c>
    </row>
    <row r="101" spans="1:22" s="169" customFormat="1" ht="30" x14ac:dyDescent="0.15">
      <c r="A101" s="164" t="s">
        <v>43</v>
      </c>
      <c r="B101" s="165">
        <v>260</v>
      </c>
      <c r="C101" s="166" t="s">
        <v>44</v>
      </c>
      <c r="D101" s="166" t="s">
        <v>161</v>
      </c>
      <c r="E101" s="164" t="s">
        <v>162</v>
      </c>
      <c r="F101" s="164" t="s">
        <v>187</v>
      </c>
      <c r="G101" s="167">
        <v>44124.529861111114</v>
      </c>
      <c r="H101" s="164" t="s">
        <v>48</v>
      </c>
      <c r="I101" s="164">
        <v>10</v>
      </c>
      <c r="J101" s="168">
        <v>3.4</v>
      </c>
      <c r="K101" s="177" t="s">
        <v>52</v>
      </c>
      <c r="L101" s="177" t="s">
        <v>52</v>
      </c>
      <c r="M101" s="177">
        <v>2</v>
      </c>
      <c r="N101" s="177">
        <v>2</v>
      </c>
      <c r="O101" s="177"/>
      <c r="P101" s="177"/>
      <c r="Q101" s="177" t="s">
        <v>120</v>
      </c>
      <c r="R101" s="177" t="s">
        <v>120</v>
      </c>
      <c r="S101" s="177"/>
      <c r="T101" s="177"/>
      <c r="V101" s="164" t="s">
        <v>148</v>
      </c>
    </row>
    <row r="102" spans="1:22" s="169" customFormat="1" ht="45" x14ac:dyDescent="0.15">
      <c r="A102" s="164" t="s">
        <v>43</v>
      </c>
      <c r="B102" s="165">
        <v>260</v>
      </c>
      <c r="C102" s="166" t="s">
        <v>44</v>
      </c>
      <c r="D102" s="166" t="s">
        <v>161</v>
      </c>
      <c r="E102" s="164" t="s">
        <v>162</v>
      </c>
      <c r="F102" s="164" t="s">
        <v>188</v>
      </c>
      <c r="G102" s="167">
        <v>44124.529861111114</v>
      </c>
      <c r="H102" s="164" t="s">
        <v>48</v>
      </c>
      <c r="I102" s="164">
        <v>10</v>
      </c>
      <c r="J102" s="168">
        <v>3.4</v>
      </c>
      <c r="K102" s="177" t="s">
        <v>166</v>
      </c>
      <c r="L102" s="177" t="s">
        <v>166</v>
      </c>
      <c r="M102" s="177">
        <v>2</v>
      </c>
      <c r="N102" s="177">
        <v>2</v>
      </c>
      <c r="O102" s="177"/>
      <c r="P102" s="177"/>
      <c r="Q102" s="177"/>
      <c r="R102" s="177"/>
      <c r="S102" s="177"/>
      <c r="T102" s="177"/>
      <c r="V102" s="164" t="s">
        <v>54</v>
      </c>
    </row>
    <row r="103" spans="1:22" s="169" customFormat="1" ht="30" x14ac:dyDescent="0.15">
      <c r="A103" s="164" t="s">
        <v>43</v>
      </c>
      <c r="B103" s="165">
        <v>260</v>
      </c>
      <c r="C103" s="166" t="s">
        <v>44</v>
      </c>
      <c r="D103" s="166" t="s">
        <v>161</v>
      </c>
      <c r="E103" s="164" t="s">
        <v>162</v>
      </c>
      <c r="F103" s="164" t="s">
        <v>189</v>
      </c>
      <c r="G103" s="167">
        <v>44124.529861111114</v>
      </c>
      <c r="H103" s="164" t="s">
        <v>48</v>
      </c>
      <c r="I103" s="164">
        <v>10</v>
      </c>
      <c r="J103" s="168">
        <v>3.4</v>
      </c>
      <c r="K103" s="177" t="s">
        <v>166</v>
      </c>
      <c r="L103" s="177" t="s">
        <v>166</v>
      </c>
      <c r="M103" s="177">
        <v>2</v>
      </c>
      <c r="N103" s="177">
        <v>2</v>
      </c>
      <c r="O103" s="177"/>
      <c r="P103" s="177"/>
      <c r="Q103" s="177"/>
      <c r="R103" s="177"/>
      <c r="S103" s="177"/>
      <c r="T103" s="177"/>
      <c r="V103" s="164" t="s">
        <v>54</v>
      </c>
    </row>
    <row r="104" spans="1:22" s="169" customFormat="1" ht="30" x14ac:dyDescent="0.15">
      <c r="A104" s="164" t="s">
        <v>43</v>
      </c>
      <c r="B104" s="165">
        <v>260</v>
      </c>
      <c r="C104" s="166" t="s">
        <v>44</v>
      </c>
      <c r="D104" s="166" t="s">
        <v>161</v>
      </c>
      <c r="E104" s="164" t="s">
        <v>162</v>
      </c>
      <c r="F104" s="164" t="s">
        <v>190</v>
      </c>
      <c r="G104" s="167">
        <v>44124.529861111114</v>
      </c>
      <c r="H104" s="164" t="s">
        <v>48</v>
      </c>
      <c r="I104" s="164">
        <v>10</v>
      </c>
      <c r="J104" s="168">
        <v>3.4</v>
      </c>
      <c r="K104" s="177" t="s">
        <v>166</v>
      </c>
      <c r="L104" s="177" t="s">
        <v>166</v>
      </c>
      <c r="M104" s="177">
        <v>2</v>
      </c>
      <c r="N104" s="177">
        <v>2</v>
      </c>
      <c r="O104" s="177"/>
      <c r="P104" s="177"/>
      <c r="Q104" s="177"/>
      <c r="R104" s="177"/>
      <c r="S104" s="177"/>
      <c r="T104" s="177"/>
      <c r="V104" s="164" t="s">
        <v>54</v>
      </c>
    </row>
    <row r="105" spans="1:22" s="169" customFormat="1" ht="15" x14ac:dyDescent="0.15">
      <c r="A105" s="164" t="s">
        <v>43</v>
      </c>
      <c r="B105" s="165">
        <v>260</v>
      </c>
      <c r="C105" s="166" t="s">
        <v>44</v>
      </c>
      <c r="D105" s="166" t="s">
        <v>161</v>
      </c>
      <c r="E105" s="164" t="s">
        <v>162</v>
      </c>
      <c r="F105" s="164" t="s">
        <v>191</v>
      </c>
      <c r="G105" s="167">
        <v>44124.529861111114</v>
      </c>
      <c r="H105" s="164" t="s">
        <v>48</v>
      </c>
      <c r="I105" s="164">
        <v>10</v>
      </c>
      <c r="J105" s="168">
        <v>3.4</v>
      </c>
      <c r="K105" s="177" t="s">
        <v>52</v>
      </c>
      <c r="L105" s="177" t="s">
        <v>52</v>
      </c>
      <c r="M105" s="177">
        <v>2</v>
      </c>
      <c r="N105" s="177">
        <v>2</v>
      </c>
      <c r="O105" s="177"/>
      <c r="P105" s="177"/>
      <c r="Q105" s="177"/>
      <c r="R105" s="177"/>
      <c r="S105" s="177"/>
      <c r="T105" s="177"/>
      <c r="V105" s="164" t="s">
        <v>54</v>
      </c>
    </row>
    <row r="106" spans="1:22" s="169" customFormat="1" ht="15" x14ac:dyDescent="0.15">
      <c r="A106" s="164" t="s">
        <v>43</v>
      </c>
      <c r="B106" s="165">
        <v>260</v>
      </c>
      <c r="C106" s="166" t="s">
        <v>44</v>
      </c>
      <c r="D106" s="166" t="s">
        <v>161</v>
      </c>
      <c r="E106" s="164" t="s">
        <v>179</v>
      </c>
      <c r="F106" s="164" t="s">
        <v>192</v>
      </c>
      <c r="G106" s="167">
        <v>44124.572222222225</v>
      </c>
      <c r="H106" s="164" t="s">
        <v>48</v>
      </c>
      <c r="I106" s="164">
        <v>10</v>
      </c>
      <c r="J106" s="168">
        <v>3.4</v>
      </c>
      <c r="K106" s="177" t="s">
        <v>52</v>
      </c>
      <c r="L106" s="177" t="s">
        <v>52</v>
      </c>
      <c r="M106" s="177">
        <v>2</v>
      </c>
      <c r="N106" s="177">
        <v>2</v>
      </c>
      <c r="O106" s="177" t="s">
        <v>58</v>
      </c>
      <c r="P106" s="177" t="s">
        <v>58</v>
      </c>
      <c r="Q106" s="177"/>
      <c r="R106" s="177"/>
      <c r="S106" s="177"/>
      <c r="T106" s="177"/>
      <c r="V106" s="164" t="s">
        <v>59</v>
      </c>
    </row>
    <row r="107" spans="1:22" s="169" customFormat="1" ht="15" x14ac:dyDescent="0.15">
      <c r="A107" s="164" t="s">
        <v>43</v>
      </c>
      <c r="B107" s="165">
        <v>260</v>
      </c>
      <c r="C107" s="166" t="s">
        <v>44</v>
      </c>
      <c r="D107" s="166" t="s">
        <v>161</v>
      </c>
      <c r="E107" s="164" t="s">
        <v>179</v>
      </c>
      <c r="F107" s="164" t="s">
        <v>193</v>
      </c>
      <c r="G107" s="167">
        <v>44124.572222222225</v>
      </c>
      <c r="H107" s="164" t="s">
        <v>48</v>
      </c>
      <c r="I107" s="164">
        <v>10</v>
      </c>
      <c r="J107" s="168">
        <v>3.4</v>
      </c>
      <c r="K107" s="177" t="s">
        <v>166</v>
      </c>
      <c r="L107" s="177" t="s">
        <v>166</v>
      </c>
      <c r="M107" s="177">
        <v>2</v>
      </c>
      <c r="N107" s="177">
        <v>2</v>
      </c>
      <c r="O107" s="177"/>
      <c r="P107" s="177"/>
      <c r="Q107" s="177"/>
      <c r="R107" s="177"/>
      <c r="S107" s="177"/>
      <c r="T107" s="177"/>
      <c r="V107" s="164" t="s">
        <v>54</v>
      </c>
    </row>
    <row r="108" spans="1:22" s="169" customFormat="1" ht="30" x14ac:dyDescent="0.15">
      <c r="A108" s="164" t="s">
        <v>43</v>
      </c>
      <c r="B108" s="165">
        <v>260</v>
      </c>
      <c r="C108" s="166" t="s">
        <v>44</v>
      </c>
      <c r="D108" s="166" t="s">
        <v>161</v>
      </c>
      <c r="E108" s="164" t="s">
        <v>179</v>
      </c>
      <c r="F108" s="164" t="s">
        <v>194</v>
      </c>
      <c r="G108" s="167">
        <v>44124.572222222225</v>
      </c>
      <c r="H108" s="164" t="s">
        <v>48</v>
      </c>
      <c r="I108" s="164">
        <v>10</v>
      </c>
      <c r="J108" s="168">
        <v>3.4</v>
      </c>
      <c r="K108" s="177" t="s">
        <v>166</v>
      </c>
      <c r="L108" s="177" t="s">
        <v>166</v>
      </c>
      <c r="M108" s="177">
        <v>2</v>
      </c>
      <c r="N108" s="177">
        <v>2</v>
      </c>
      <c r="O108" s="177"/>
      <c r="P108" s="177"/>
      <c r="Q108" s="177"/>
      <c r="R108" s="177"/>
      <c r="S108" s="177"/>
      <c r="T108" s="177"/>
      <c r="V108" s="164" t="s">
        <v>54</v>
      </c>
    </row>
    <row r="109" spans="1:22" s="169" customFormat="1" ht="15" x14ac:dyDescent="0.15">
      <c r="A109" s="164" t="s">
        <v>43</v>
      </c>
      <c r="B109" s="165">
        <v>260</v>
      </c>
      <c r="C109" s="166" t="s">
        <v>44</v>
      </c>
      <c r="D109" s="166" t="s">
        <v>161</v>
      </c>
      <c r="E109" s="164" t="s">
        <v>179</v>
      </c>
      <c r="F109" s="164" t="s">
        <v>195</v>
      </c>
      <c r="G109" s="167">
        <v>44124.572222222225</v>
      </c>
      <c r="H109" s="164" t="s">
        <v>48</v>
      </c>
      <c r="I109" s="164">
        <v>10</v>
      </c>
      <c r="J109" s="168">
        <v>3.4</v>
      </c>
      <c r="K109" s="177" t="s">
        <v>166</v>
      </c>
      <c r="L109" s="177" t="s">
        <v>166</v>
      </c>
      <c r="M109" s="177">
        <v>2</v>
      </c>
      <c r="N109" s="177">
        <v>2</v>
      </c>
      <c r="O109" s="177"/>
      <c r="P109" s="177"/>
      <c r="Q109" s="177"/>
      <c r="R109" s="177"/>
      <c r="S109" s="177"/>
      <c r="T109" s="177"/>
      <c r="V109" s="164" t="s">
        <v>54</v>
      </c>
    </row>
    <row r="110" spans="1:22" s="169" customFormat="1" ht="15" x14ac:dyDescent="0.15">
      <c r="A110" s="164" t="s">
        <v>43</v>
      </c>
      <c r="B110" s="165">
        <v>260</v>
      </c>
      <c r="C110" s="166" t="s">
        <v>44</v>
      </c>
      <c r="D110" s="166" t="s">
        <v>161</v>
      </c>
      <c r="E110" s="164" t="s">
        <v>179</v>
      </c>
      <c r="F110" s="164" t="s">
        <v>196</v>
      </c>
      <c r="G110" s="167">
        <v>44124.572916666664</v>
      </c>
      <c r="H110" s="164" t="s">
        <v>48</v>
      </c>
      <c r="I110" s="164">
        <v>10</v>
      </c>
      <c r="J110" s="168">
        <v>3.4</v>
      </c>
      <c r="K110" s="177" t="s">
        <v>52</v>
      </c>
      <c r="L110" s="177" t="s">
        <v>52</v>
      </c>
      <c r="M110" s="177">
        <v>2</v>
      </c>
      <c r="N110" s="177">
        <v>2</v>
      </c>
      <c r="O110" s="177"/>
      <c r="P110" s="177"/>
      <c r="Q110" s="177"/>
      <c r="R110" s="177"/>
      <c r="S110" s="177"/>
      <c r="T110" s="177"/>
      <c r="V110" s="164" t="s">
        <v>59</v>
      </c>
    </row>
    <row r="111" spans="1:22" s="169" customFormat="1" ht="30" x14ac:dyDescent="0.15">
      <c r="A111" s="164" t="s">
        <v>43</v>
      </c>
      <c r="B111" s="165">
        <v>260</v>
      </c>
      <c r="C111" s="166" t="s">
        <v>44</v>
      </c>
      <c r="D111" s="166" t="s">
        <v>161</v>
      </c>
      <c r="E111" s="164" t="s">
        <v>179</v>
      </c>
      <c r="F111" s="164" t="s">
        <v>197</v>
      </c>
      <c r="G111" s="167">
        <v>44124.572916666664</v>
      </c>
      <c r="H111" s="164" t="s">
        <v>48</v>
      </c>
      <c r="I111" s="164">
        <v>10</v>
      </c>
      <c r="J111" s="168">
        <v>3.4</v>
      </c>
      <c r="K111" s="177" t="s">
        <v>52</v>
      </c>
      <c r="L111" s="177" t="s">
        <v>52</v>
      </c>
      <c r="M111" s="177">
        <v>2</v>
      </c>
      <c r="N111" s="177">
        <v>2</v>
      </c>
      <c r="O111" s="177"/>
      <c r="P111" s="177"/>
      <c r="Q111" s="177"/>
      <c r="R111" s="177"/>
      <c r="S111" s="177"/>
      <c r="T111" s="177"/>
      <c r="V111" s="164" t="s">
        <v>54</v>
      </c>
    </row>
    <row r="112" spans="1:22" s="169" customFormat="1" ht="30" x14ac:dyDescent="0.15">
      <c r="A112" s="164" t="s">
        <v>43</v>
      </c>
      <c r="B112" s="165">
        <v>260</v>
      </c>
      <c r="C112" s="166" t="s">
        <v>44</v>
      </c>
      <c r="D112" s="166" t="s">
        <v>161</v>
      </c>
      <c r="E112" s="164" t="s">
        <v>179</v>
      </c>
      <c r="F112" s="164" t="s">
        <v>198</v>
      </c>
      <c r="G112" s="167">
        <v>44124.572916666664</v>
      </c>
      <c r="H112" s="164" t="s">
        <v>48</v>
      </c>
      <c r="I112" s="164">
        <v>10</v>
      </c>
      <c r="J112" s="168">
        <v>3.4</v>
      </c>
      <c r="K112" s="177" t="s">
        <v>166</v>
      </c>
      <c r="L112" s="177" t="s">
        <v>166</v>
      </c>
      <c r="M112" s="177">
        <v>2</v>
      </c>
      <c r="N112" s="177">
        <v>2</v>
      </c>
      <c r="O112" s="177"/>
      <c r="P112" s="177"/>
      <c r="Q112" s="177"/>
      <c r="R112" s="177"/>
      <c r="S112" s="177"/>
      <c r="T112" s="177"/>
      <c r="V112" s="164" t="s">
        <v>54</v>
      </c>
    </row>
    <row r="113" spans="1:22" s="169" customFormat="1" ht="30" x14ac:dyDescent="0.15">
      <c r="A113" s="164" t="s">
        <v>43</v>
      </c>
      <c r="B113" s="165">
        <v>260</v>
      </c>
      <c r="C113" s="166" t="s">
        <v>44</v>
      </c>
      <c r="D113" s="166" t="s">
        <v>161</v>
      </c>
      <c r="E113" s="164" t="s">
        <v>179</v>
      </c>
      <c r="F113" s="164" t="s">
        <v>199</v>
      </c>
      <c r="G113" s="167">
        <v>44124.573611111111</v>
      </c>
      <c r="H113" s="164" t="s">
        <v>48</v>
      </c>
      <c r="I113" s="164">
        <v>10</v>
      </c>
      <c r="J113" s="168">
        <v>3.4</v>
      </c>
      <c r="K113" s="177" t="s">
        <v>166</v>
      </c>
      <c r="L113" s="177" t="s">
        <v>166</v>
      </c>
      <c r="M113" s="177">
        <v>2</v>
      </c>
      <c r="N113" s="177">
        <v>2</v>
      </c>
      <c r="O113" s="177"/>
      <c r="P113" s="177"/>
      <c r="Q113" s="177"/>
      <c r="R113" s="177"/>
      <c r="S113" s="177"/>
      <c r="T113" s="177"/>
      <c r="V113" s="164" t="s">
        <v>54</v>
      </c>
    </row>
    <row r="114" spans="1:22" s="169" customFormat="1" ht="15" x14ac:dyDescent="0.15">
      <c r="A114" s="164" t="s">
        <v>43</v>
      </c>
      <c r="B114" s="165">
        <v>260</v>
      </c>
      <c r="C114" s="166" t="s">
        <v>44</v>
      </c>
      <c r="D114" s="166" t="s">
        <v>161</v>
      </c>
      <c r="E114" s="164" t="s">
        <v>162</v>
      </c>
      <c r="F114" s="164" t="s">
        <v>200</v>
      </c>
      <c r="G114" s="167">
        <v>44124.581250000003</v>
      </c>
      <c r="H114" s="164" t="s">
        <v>48</v>
      </c>
      <c r="I114" s="164">
        <v>10</v>
      </c>
      <c r="J114" s="168">
        <v>3.4</v>
      </c>
      <c r="K114" s="177" t="s">
        <v>52</v>
      </c>
      <c r="L114" s="177" t="s">
        <v>52</v>
      </c>
      <c r="M114" s="177">
        <v>2</v>
      </c>
      <c r="N114" s="177">
        <v>2</v>
      </c>
      <c r="O114" s="177" t="s">
        <v>58</v>
      </c>
      <c r="P114" s="177" t="s">
        <v>58</v>
      </c>
      <c r="Q114" s="177"/>
      <c r="R114" s="177"/>
      <c r="S114" s="177"/>
      <c r="T114" s="177"/>
      <c r="V114" s="164" t="s">
        <v>59</v>
      </c>
    </row>
    <row r="115" spans="1:22" s="169" customFormat="1" ht="15" x14ac:dyDescent="0.15">
      <c r="A115" s="164" t="s">
        <v>43</v>
      </c>
      <c r="B115" s="165">
        <v>260</v>
      </c>
      <c r="C115" s="166" t="s">
        <v>44</v>
      </c>
      <c r="D115" s="166" t="s">
        <v>161</v>
      </c>
      <c r="E115" s="164" t="s">
        <v>162</v>
      </c>
      <c r="F115" s="164" t="s">
        <v>201</v>
      </c>
      <c r="G115" s="167">
        <v>44124.581250000003</v>
      </c>
      <c r="H115" s="164" t="s">
        <v>48</v>
      </c>
      <c r="I115" s="164">
        <v>10</v>
      </c>
      <c r="J115" s="168">
        <v>3.4</v>
      </c>
      <c r="K115" s="177" t="s">
        <v>52</v>
      </c>
      <c r="L115" s="177" t="s">
        <v>52</v>
      </c>
      <c r="M115" s="177">
        <v>2</v>
      </c>
      <c r="N115" s="177">
        <v>2</v>
      </c>
      <c r="O115" s="177"/>
      <c r="P115" s="177"/>
      <c r="Q115" s="177"/>
      <c r="R115" s="177"/>
      <c r="S115" s="177"/>
      <c r="T115" s="177"/>
      <c r="V115" s="164" t="s">
        <v>54</v>
      </c>
    </row>
    <row r="116" spans="1:22" s="169" customFormat="1" ht="15" x14ac:dyDescent="0.15">
      <c r="A116" s="164" t="s">
        <v>43</v>
      </c>
      <c r="B116" s="165">
        <v>260</v>
      </c>
      <c r="C116" s="166" t="s">
        <v>44</v>
      </c>
      <c r="D116" s="166" t="s">
        <v>161</v>
      </c>
      <c r="E116" s="164" t="s">
        <v>162</v>
      </c>
      <c r="F116" s="164" t="s">
        <v>202</v>
      </c>
      <c r="G116" s="167">
        <v>44124.581250000003</v>
      </c>
      <c r="H116" s="164" t="s">
        <v>48</v>
      </c>
      <c r="I116" s="164">
        <v>10</v>
      </c>
      <c r="J116" s="168">
        <v>3.4</v>
      </c>
      <c r="K116" s="177" t="s">
        <v>68</v>
      </c>
      <c r="L116" s="177" t="s">
        <v>68</v>
      </c>
      <c r="M116" s="177">
        <v>3</v>
      </c>
      <c r="N116" s="177">
        <v>3</v>
      </c>
      <c r="O116" s="177"/>
      <c r="P116" s="177"/>
      <c r="Q116" s="177" t="s">
        <v>112</v>
      </c>
      <c r="R116" s="177" t="s">
        <v>112</v>
      </c>
      <c r="S116" s="177"/>
      <c r="T116" s="177"/>
      <c r="V116" s="164" t="s">
        <v>203</v>
      </c>
    </row>
    <row r="117" spans="1:22" s="169" customFormat="1" ht="30" x14ac:dyDescent="0.15">
      <c r="A117" s="164" t="s">
        <v>43</v>
      </c>
      <c r="B117" s="165">
        <v>260</v>
      </c>
      <c r="C117" s="166" t="s">
        <v>44</v>
      </c>
      <c r="D117" s="166" t="s">
        <v>161</v>
      </c>
      <c r="E117" s="164" t="s">
        <v>162</v>
      </c>
      <c r="F117" s="164" t="s">
        <v>204</v>
      </c>
      <c r="G117" s="167">
        <v>44124.581250000003</v>
      </c>
      <c r="H117" s="164" t="s">
        <v>48</v>
      </c>
      <c r="I117" s="164">
        <v>10</v>
      </c>
      <c r="J117" s="168">
        <v>3.4</v>
      </c>
      <c r="K117" s="177" t="s">
        <v>68</v>
      </c>
      <c r="L117" s="177" t="s">
        <v>68</v>
      </c>
      <c r="M117" s="177">
        <v>3</v>
      </c>
      <c r="N117" s="177">
        <v>3</v>
      </c>
      <c r="O117" s="177"/>
      <c r="P117" s="177"/>
      <c r="Q117" s="177"/>
      <c r="R117" s="177"/>
      <c r="S117" s="177"/>
      <c r="T117" s="177"/>
      <c r="V117" s="164" t="s">
        <v>69</v>
      </c>
    </row>
    <row r="118" spans="1:22" s="169" customFormat="1" ht="15" x14ac:dyDescent="0.15">
      <c r="A118" s="164" t="s">
        <v>43</v>
      </c>
      <c r="B118" s="165">
        <v>260</v>
      </c>
      <c r="C118" s="166" t="s">
        <v>44</v>
      </c>
      <c r="D118" s="166" t="s">
        <v>161</v>
      </c>
      <c r="E118" s="164" t="s">
        <v>179</v>
      </c>
      <c r="F118" s="164" t="s">
        <v>205</v>
      </c>
      <c r="G118" s="167">
        <v>44124.589583333334</v>
      </c>
      <c r="H118" s="164" t="s">
        <v>48</v>
      </c>
      <c r="I118" s="164">
        <v>10</v>
      </c>
      <c r="J118" s="168">
        <v>3.4</v>
      </c>
      <c r="K118" s="177" t="s">
        <v>68</v>
      </c>
      <c r="L118" s="177" t="s">
        <v>68</v>
      </c>
      <c r="M118" s="177">
        <v>3</v>
      </c>
      <c r="N118" s="177">
        <v>3</v>
      </c>
      <c r="O118" s="177"/>
      <c r="P118" s="177"/>
      <c r="Q118" s="177"/>
      <c r="R118" s="177"/>
      <c r="S118" s="177"/>
      <c r="T118" s="177"/>
      <c r="V118" s="164" t="s">
        <v>59</v>
      </c>
    </row>
    <row r="119" spans="1:22" s="169" customFormat="1" ht="30" x14ac:dyDescent="0.15">
      <c r="A119" s="164" t="s">
        <v>43</v>
      </c>
      <c r="B119" s="165">
        <v>260</v>
      </c>
      <c r="C119" s="166" t="s">
        <v>44</v>
      </c>
      <c r="D119" s="166" t="s">
        <v>161</v>
      </c>
      <c r="E119" s="164" t="s">
        <v>179</v>
      </c>
      <c r="F119" s="164" t="s">
        <v>206</v>
      </c>
      <c r="G119" s="167">
        <v>44124.589583333334</v>
      </c>
      <c r="H119" s="164" t="s">
        <v>48</v>
      </c>
      <c r="I119" s="164">
        <v>10</v>
      </c>
      <c r="J119" s="168">
        <v>3.4</v>
      </c>
      <c r="K119" s="177" t="s">
        <v>638</v>
      </c>
      <c r="L119" s="177" t="s">
        <v>638</v>
      </c>
      <c r="M119" s="177">
        <v>3</v>
      </c>
      <c r="N119" s="177">
        <v>3</v>
      </c>
      <c r="O119" s="177"/>
      <c r="P119" s="177"/>
      <c r="Q119" s="177"/>
      <c r="R119" s="177"/>
      <c r="S119" s="177"/>
      <c r="T119" s="177"/>
      <c r="V119" s="164" t="s">
        <v>59</v>
      </c>
    </row>
    <row r="120" spans="1:22" s="169" customFormat="1" ht="15" x14ac:dyDescent="0.15">
      <c r="A120" s="164" t="s">
        <v>43</v>
      </c>
      <c r="B120" s="165">
        <v>260</v>
      </c>
      <c r="C120" s="166" t="s">
        <v>44</v>
      </c>
      <c r="D120" s="166" t="s">
        <v>161</v>
      </c>
      <c r="E120" s="164" t="s">
        <v>162</v>
      </c>
      <c r="F120" s="164" t="s">
        <v>207</v>
      </c>
      <c r="G120" s="167">
        <v>44124.606249999997</v>
      </c>
      <c r="H120" s="164" t="s">
        <v>48</v>
      </c>
      <c r="I120" s="164">
        <v>10</v>
      </c>
      <c r="J120" s="168">
        <v>3.4</v>
      </c>
      <c r="K120" s="177" t="s">
        <v>638</v>
      </c>
      <c r="L120" s="177" t="s">
        <v>638</v>
      </c>
      <c r="M120" s="177">
        <v>3</v>
      </c>
      <c r="N120" s="177">
        <v>3</v>
      </c>
      <c r="O120" s="177"/>
      <c r="P120" s="177"/>
      <c r="Q120" s="177"/>
      <c r="R120" s="177"/>
      <c r="S120" s="177"/>
      <c r="T120" s="177"/>
      <c r="V120" s="164" t="s">
        <v>59</v>
      </c>
    </row>
    <row r="121" spans="1:22" s="169" customFormat="1" ht="45" x14ac:dyDescent="0.15">
      <c r="A121" s="164" t="s">
        <v>43</v>
      </c>
      <c r="B121" s="165">
        <v>260</v>
      </c>
      <c r="C121" s="166" t="s">
        <v>44</v>
      </c>
      <c r="D121" s="166" t="s">
        <v>161</v>
      </c>
      <c r="E121" s="164" t="s">
        <v>162</v>
      </c>
      <c r="F121" s="164" t="s">
        <v>208</v>
      </c>
      <c r="G121" s="167">
        <v>44124.606249999997</v>
      </c>
      <c r="H121" s="164" t="s">
        <v>48</v>
      </c>
      <c r="I121" s="164">
        <v>10</v>
      </c>
      <c r="J121" s="168">
        <v>3.4</v>
      </c>
      <c r="K121" s="177" t="s">
        <v>68</v>
      </c>
      <c r="L121" s="177" t="s">
        <v>68</v>
      </c>
      <c r="M121" s="177">
        <v>3</v>
      </c>
      <c r="N121" s="177">
        <v>3</v>
      </c>
      <c r="O121" s="177"/>
      <c r="P121" s="177"/>
      <c r="Q121" s="177"/>
      <c r="R121" s="177"/>
      <c r="S121" s="177"/>
      <c r="T121" s="177"/>
      <c r="V121" s="164" t="s">
        <v>69</v>
      </c>
    </row>
    <row r="122" spans="1:22" s="169" customFormat="1" ht="15" x14ac:dyDescent="0.15">
      <c r="A122" s="164" t="s">
        <v>43</v>
      </c>
      <c r="B122" s="165">
        <v>260</v>
      </c>
      <c r="C122" s="166" t="s">
        <v>44</v>
      </c>
      <c r="D122" s="166" t="s">
        <v>161</v>
      </c>
      <c r="E122" s="164" t="s">
        <v>162</v>
      </c>
      <c r="F122" s="164" t="s">
        <v>209</v>
      </c>
      <c r="G122" s="167">
        <v>44124.606249999997</v>
      </c>
      <c r="H122" s="164" t="s">
        <v>48</v>
      </c>
      <c r="I122" s="164">
        <v>10</v>
      </c>
      <c r="J122" s="168">
        <v>3.4</v>
      </c>
      <c r="K122" s="177" t="s">
        <v>68</v>
      </c>
      <c r="L122" s="177" t="s">
        <v>68</v>
      </c>
      <c r="M122" s="177">
        <v>3</v>
      </c>
      <c r="N122" s="177">
        <v>3</v>
      </c>
      <c r="O122" s="177"/>
      <c r="P122" s="177"/>
      <c r="Q122" s="177" t="s">
        <v>112</v>
      </c>
      <c r="R122" s="177" t="s">
        <v>112</v>
      </c>
      <c r="S122" s="177"/>
      <c r="T122" s="177"/>
      <c r="V122" s="164" t="s">
        <v>92</v>
      </c>
    </row>
    <row r="123" spans="1:22" s="169" customFormat="1" ht="15" x14ac:dyDescent="0.15">
      <c r="A123" s="164" t="s">
        <v>43</v>
      </c>
      <c r="B123" s="165">
        <v>260</v>
      </c>
      <c r="C123" s="166" t="s">
        <v>44</v>
      </c>
      <c r="D123" s="166" t="s">
        <v>161</v>
      </c>
      <c r="E123" s="164" t="s">
        <v>179</v>
      </c>
      <c r="F123" s="164" t="s">
        <v>210</v>
      </c>
      <c r="G123" s="167">
        <v>44124.61041666667</v>
      </c>
      <c r="H123" s="164" t="s">
        <v>48</v>
      </c>
      <c r="I123" s="164">
        <v>10</v>
      </c>
      <c r="J123" s="168">
        <v>3.4</v>
      </c>
      <c r="K123" s="177" t="s">
        <v>68</v>
      </c>
      <c r="L123" s="177" t="s">
        <v>68</v>
      </c>
      <c r="M123" s="177">
        <v>3</v>
      </c>
      <c r="N123" s="177">
        <v>3</v>
      </c>
      <c r="O123" s="177"/>
      <c r="P123" s="177"/>
      <c r="Q123" s="177"/>
      <c r="R123" s="177"/>
      <c r="S123" s="177"/>
      <c r="T123" s="177"/>
      <c r="V123" s="164" t="s">
        <v>59</v>
      </c>
    </row>
    <row r="124" spans="1:22" s="169" customFormat="1" ht="15" x14ac:dyDescent="0.15">
      <c r="A124" s="164" t="s">
        <v>43</v>
      </c>
      <c r="B124" s="165">
        <v>260</v>
      </c>
      <c r="C124" s="166" t="s">
        <v>44</v>
      </c>
      <c r="D124" s="166" t="s">
        <v>161</v>
      </c>
      <c r="E124" s="164" t="s">
        <v>162</v>
      </c>
      <c r="F124" s="164" t="s">
        <v>211</v>
      </c>
      <c r="G124" s="167">
        <v>44124.613194444442</v>
      </c>
      <c r="H124" s="164" t="s">
        <v>48</v>
      </c>
      <c r="I124" s="164">
        <v>10</v>
      </c>
      <c r="J124" s="168">
        <v>3.4</v>
      </c>
      <c r="K124" s="177" t="s">
        <v>68</v>
      </c>
      <c r="L124" s="177" t="s">
        <v>68</v>
      </c>
      <c r="M124" s="177">
        <v>3</v>
      </c>
      <c r="N124" s="177">
        <v>3</v>
      </c>
      <c r="O124" s="177"/>
      <c r="P124" s="177"/>
      <c r="Q124" s="177"/>
      <c r="R124" s="177"/>
      <c r="S124" s="177"/>
      <c r="T124" s="177"/>
      <c r="V124" s="164" t="s">
        <v>59</v>
      </c>
    </row>
    <row r="125" spans="1:22" s="169" customFormat="1" ht="45" x14ac:dyDescent="0.15">
      <c r="A125" s="164" t="s">
        <v>43</v>
      </c>
      <c r="B125" s="165">
        <v>260</v>
      </c>
      <c r="C125" s="166" t="s">
        <v>44</v>
      </c>
      <c r="D125" s="166" t="s">
        <v>161</v>
      </c>
      <c r="E125" s="164" t="s">
        <v>162</v>
      </c>
      <c r="F125" s="164" t="s">
        <v>212</v>
      </c>
      <c r="G125" s="167">
        <v>44124.613194444442</v>
      </c>
      <c r="H125" s="164" t="s">
        <v>48</v>
      </c>
      <c r="I125" s="164">
        <v>10</v>
      </c>
      <c r="J125" s="168">
        <v>3.4</v>
      </c>
      <c r="K125" s="177" t="s">
        <v>108</v>
      </c>
      <c r="L125" s="177" t="s">
        <v>108</v>
      </c>
      <c r="M125" s="177">
        <v>4</v>
      </c>
      <c r="N125" s="177">
        <v>4</v>
      </c>
      <c r="O125" s="177"/>
      <c r="P125" s="177"/>
      <c r="Q125" s="177"/>
      <c r="R125" s="177"/>
      <c r="S125" s="177"/>
      <c r="T125" s="177"/>
      <c r="V125" s="164" t="s">
        <v>69</v>
      </c>
    </row>
    <row r="126" spans="1:22" s="169" customFormat="1" ht="15" x14ac:dyDescent="0.15">
      <c r="A126" s="164" t="s">
        <v>43</v>
      </c>
      <c r="B126" s="165">
        <v>260</v>
      </c>
      <c r="C126" s="166" t="s">
        <v>44</v>
      </c>
      <c r="D126" s="166" t="s">
        <v>161</v>
      </c>
      <c r="E126" s="164" t="s">
        <v>179</v>
      </c>
      <c r="F126" s="164" t="s">
        <v>213</v>
      </c>
      <c r="G126" s="167">
        <v>44124.613888888889</v>
      </c>
      <c r="H126" s="164" t="s">
        <v>48</v>
      </c>
      <c r="I126" s="164">
        <v>10</v>
      </c>
      <c r="J126" s="168">
        <v>3.4</v>
      </c>
      <c r="K126" s="177" t="s">
        <v>108</v>
      </c>
      <c r="L126" s="177" t="s">
        <v>108</v>
      </c>
      <c r="M126" s="177">
        <v>4</v>
      </c>
      <c r="N126" s="177">
        <v>4</v>
      </c>
      <c r="O126" s="177"/>
      <c r="P126" s="177"/>
      <c r="Q126" s="177"/>
      <c r="R126" s="177"/>
      <c r="S126" s="177"/>
      <c r="T126" s="177"/>
      <c r="V126" s="164" t="s">
        <v>59</v>
      </c>
    </row>
    <row r="127" spans="1:22" s="169" customFormat="1" ht="15" x14ac:dyDescent="0.15">
      <c r="A127" s="164" t="s">
        <v>43</v>
      </c>
      <c r="B127" s="165">
        <v>260</v>
      </c>
      <c r="C127" s="166" t="s">
        <v>44</v>
      </c>
      <c r="D127" s="166" t="s">
        <v>161</v>
      </c>
      <c r="E127" s="164" t="s">
        <v>179</v>
      </c>
      <c r="F127" s="164" t="s">
        <v>215</v>
      </c>
      <c r="G127" s="167">
        <v>44125.320833333331</v>
      </c>
      <c r="H127" s="164" t="s">
        <v>48</v>
      </c>
      <c r="I127" s="164">
        <v>10</v>
      </c>
      <c r="J127" s="168">
        <v>3.4</v>
      </c>
      <c r="K127" s="177" t="s">
        <v>108</v>
      </c>
      <c r="L127" s="177" t="s">
        <v>108</v>
      </c>
      <c r="M127" s="177">
        <v>4</v>
      </c>
      <c r="N127" s="177">
        <v>4</v>
      </c>
      <c r="O127" s="177"/>
      <c r="P127" s="177"/>
      <c r="Q127" s="177" t="s">
        <v>120</v>
      </c>
      <c r="R127" s="177" t="s">
        <v>120</v>
      </c>
      <c r="S127" s="177"/>
      <c r="T127" s="177"/>
      <c r="V127" s="164" t="s">
        <v>148</v>
      </c>
    </row>
    <row r="128" spans="1:22" s="169" customFormat="1" ht="15" x14ac:dyDescent="0.15">
      <c r="A128" s="164" t="s">
        <v>43</v>
      </c>
      <c r="B128" s="165">
        <v>260</v>
      </c>
      <c r="C128" s="166" t="s">
        <v>44</v>
      </c>
      <c r="D128" s="166" t="s">
        <v>161</v>
      </c>
      <c r="E128" s="164" t="s">
        <v>162</v>
      </c>
      <c r="F128" s="164" t="s">
        <v>217</v>
      </c>
      <c r="G128" s="167">
        <v>44125.457638888889</v>
      </c>
      <c r="H128" s="164" t="s">
        <v>48</v>
      </c>
      <c r="I128" s="164">
        <v>10</v>
      </c>
      <c r="J128" s="168">
        <v>3.4</v>
      </c>
      <c r="K128" s="177" t="s">
        <v>108</v>
      </c>
      <c r="L128" s="177" t="s">
        <v>108</v>
      </c>
      <c r="M128" s="177">
        <v>4</v>
      </c>
      <c r="N128" s="177">
        <v>4</v>
      </c>
      <c r="O128" s="177"/>
      <c r="P128" s="177"/>
      <c r="Q128" s="177"/>
      <c r="R128" s="177"/>
      <c r="S128" s="177"/>
      <c r="T128" s="177"/>
      <c r="V128" s="164" t="s">
        <v>59</v>
      </c>
    </row>
    <row r="129" spans="1:22" s="169" customFormat="1" ht="45" x14ac:dyDescent="0.15">
      <c r="A129" s="164" t="s">
        <v>43</v>
      </c>
      <c r="B129" s="165">
        <v>260</v>
      </c>
      <c r="C129" s="166" t="s">
        <v>44</v>
      </c>
      <c r="D129" s="166" t="s">
        <v>161</v>
      </c>
      <c r="E129" s="164" t="s">
        <v>162</v>
      </c>
      <c r="F129" s="164" t="s">
        <v>218</v>
      </c>
      <c r="G129" s="167">
        <v>44125.457638888889</v>
      </c>
      <c r="H129" s="164" t="s">
        <v>48</v>
      </c>
      <c r="I129" s="164">
        <v>10</v>
      </c>
      <c r="J129" s="168">
        <v>3.4</v>
      </c>
      <c r="K129" s="177" t="s">
        <v>52</v>
      </c>
      <c r="L129" s="177" t="s">
        <v>52</v>
      </c>
      <c r="M129" s="177">
        <v>4</v>
      </c>
      <c r="N129" s="177">
        <v>4</v>
      </c>
      <c r="O129" s="177"/>
      <c r="P129" s="177"/>
      <c r="Q129" s="177"/>
      <c r="R129" s="177"/>
      <c r="S129" s="177"/>
      <c r="T129" s="177"/>
      <c r="V129" s="164" t="s">
        <v>54</v>
      </c>
    </row>
    <row r="130" spans="1:22" s="169" customFormat="1" ht="15" x14ac:dyDescent="0.15">
      <c r="A130" s="164" t="s">
        <v>43</v>
      </c>
      <c r="B130" s="165">
        <v>260</v>
      </c>
      <c r="C130" s="166" t="s">
        <v>44</v>
      </c>
      <c r="D130" s="166" t="s">
        <v>161</v>
      </c>
      <c r="E130" s="164" t="s">
        <v>162</v>
      </c>
      <c r="F130" s="164" t="s">
        <v>220</v>
      </c>
      <c r="G130" s="167">
        <v>44125.457638888889</v>
      </c>
      <c r="H130" s="164" t="s">
        <v>48</v>
      </c>
      <c r="I130" s="164">
        <v>10</v>
      </c>
      <c r="J130" s="168">
        <v>3.4</v>
      </c>
      <c r="K130" s="177" t="s">
        <v>108</v>
      </c>
      <c r="L130" s="177" t="s">
        <v>108</v>
      </c>
      <c r="M130" s="177">
        <v>4</v>
      </c>
      <c r="N130" s="177">
        <v>4</v>
      </c>
      <c r="O130" s="177"/>
      <c r="P130" s="177"/>
      <c r="Q130" s="177"/>
      <c r="R130" s="177"/>
      <c r="S130" s="177"/>
      <c r="T130" s="177"/>
      <c r="V130" s="164" t="s">
        <v>92</v>
      </c>
    </row>
    <row r="131" spans="1:22" s="169" customFormat="1" ht="30" x14ac:dyDescent="0.15">
      <c r="A131" s="164" t="s">
        <v>43</v>
      </c>
      <c r="B131" s="165">
        <v>260</v>
      </c>
      <c r="C131" s="166" t="s">
        <v>44</v>
      </c>
      <c r="D131" s="166" t="s">
        <v>161</v>
      </c>
      <c r="E131" s="164" t="s">
        <v>162</v>
      </c>
      <c r="F131" s="164" t="s">
        <v>221</v>
      </c>
      <c r="G131" s="167">
        <v>44125.458333333336</v>
      </c>
      <c r="H131" s="164" t="s">
        <v>48</v>
      </c>
      <c r="I131" s="164">
        <v>10</v>
      </c>
      <c r="J131" s="168">
        <v>3.4</v>
      </c>
      <c r="K131" s="177" t="s">
        <v>68</v>
      </c>
      <c r="L131" s="177" t="s">
        <v>68</v>
      </c>
      <c r="M131" s="177">
        <v>3</v>
      </c>
      <c r="N131" s="177">
        <v>3</v>
      </c>
      <c r="O131" s="177"/>
      <c r="P131" s="177"/>
      <c r="Q131" s="177"/>
      <c r="R131" s="177"/>
      <c r="S131" s="177"/>
      <c r="T131" s="177"/>
      <c r="V131" s="164" t="s">
        <v>69</v>
      </c>
    </row>
    <row r="132" spans="1:22" s="169" customFormat="1" ht="30" x14ac:dyDescent="0.15">
      <c r="A132" s="164" t="s">
        <v>43</v>
      </c>
      <c r="B132" s="165">
        <v>260</v>
      </c>
      <c r="C132" s="166" t="s">
        <v>44</v>
      </c>
      <c r="D132" s="166" t="s">
        <v>161</v>
      </c>
      <c r="E132" s="164" t="s">
        <v>162</v>
      </c>
      <c r="F132" s="164" t="s">
        <v>222</v>
      </c>
      <c r="G132" s="167">
        <v>44125.458333333336</v>
      </c>
      <c r="H132" s="164" t="s">
        <v>48</v>
      </c>
      <c r="I132" s="164">
        <v>10</v>
      </c>
      <c r="J132" s="168">
        <v>3.4</v>
      </c>
      <c r="K132" s="177" t="s">
        <v>108</v>
      </c>
      <c r="L132" s="177" t="s">
        <v>108</v>
      </c>
      <c r="M132" s="177">
        <v>3</v>
      </c>
      <c r="N132" s="177">
        <v>3</v>
      </c>
      <c r="O132" s="177"/>
      <c r="P132" s="177"/>
      <c r="Q132" s="177"/>
      <c r="R132" s="177"/>
      <c r="S132" s="177"/>
      <c r="T132" s="177"/>
      <c r="V132" s="164" t="s">
        <v>54</v>
      </c>
    </row>
    <row r="133" spans="1:22" s="169" customFormat="1" ht="15" x14ac:dyDescent="0.15">
      <c r="A133" s="164" t="s">
        <v>43</v>
      </c>
      <c r="B133" s="165">
        <v>260</v>
      </c>
      <c r="C133" s="166" t="s">
        <v>44</v>
      </c>
      <c r="D133" s="166" t="s">
        <v>161</v>
      </c>
      <c r="E133" s="164" t="s">
        <v>162</v>
      </c>
      <c r="F133" s="164" t="s">
        <v>223</v>
      </c>
      <c r="G133" s="167">
        <v>44125.458333333336</v>
      </c>
      <c r="H133" s="164" t="s">
        <v>48</v>
      </c>
      <c r="I133" s="164">
        <v>10</v>
      </c>
      <c r="J133" s="168">
        <v>3.4</v>
      </c>
      <c r="K133" s="177" t="s">
        <v>108</v>
      </c>
      <c r="L133" s="177" t="s">
        <v>108</v>
      </c>
      <c r="M133" s="177">
        <v>4</v>
      </c>
      <c r="N133" s="177">
        <v>4</v>
      </c>
      <c r="O133" s="177"/>
      <c r="P133" s="177"/>
      <c r="Q133" s="177" t="s">
        <v>120</v>
      </c>
      <c r="R133" s="177" t="s">
        <v>120</v>
      </c>
      <c r="S133" s="177"/>
      <c r="T133" s="177"/>
      <c r="V133" s="164" t="s">
        <v>54</v>
      </c>
    </row>
    <row r="134" spans="1:22" s="169" customFormat="1" ht="30" x14ac:dyDescent="0.15">
      <c r="A134" s="164" t="s">
        <v>43</v>
      </c>
      <c r="B134" s="165">
        <v>260</v>
      </c>
      <c r="C134" s="166" t="s">
        <v>44</v>
      </c>
      <c r="D134" s="166" t="s">
        <v>161</v>
      </c>
      <c r="E134" s="164" t="s">
        <v>179</v>
      </c>
      <c r="F134" s="164" t="s">
        <v>224</v>
      </c>
      <c r="G134" s="167">
        <v>44125.490277777775</v>
      </c>
      <c r="H134" s="164" t="s">
        <v>48</v>
      </c>
      <c r="I134" s="164">
        <v>10</v>
      </c>
      <c r="J134" s="168">
        <v>3.4</v>
      </c>
      <c r="K134" s="177" t="s">
        <v>108</v>
      </c>
      <c r="L134" s="177" t="s">
        <v>108</v>
      </c>
      <c r="M134" s="177">
        <v>3</v>
      </c>
      <c r="N134" s="177">
        <v>3</v>
      </c>
      <c r="O134" s="177"/>
      <c r="P134" s="177"/>
      <c r="Q134" s="177"/>
      <c r="R134" s="177"/>
      <c r="S134" s="177"/>
      <c r="T134" s="177"/>
      <c r="V134" s="164" t="s">
        <v>69</v>
      </c>
    </row>
    <row r="135" spans="1:22" s="169" customFormat="1" ht="15" x14ac:dyDescent="0.15">
      <c r="A135" s="164" t="s">
        <v>43</v>
      </c>
      <c r="B135" s="165">
        <v>260</v>
      </c>
      <c r="C135" s="166" t="s">
        <v>44</v>
      </c>
      <c r="D135" s="166" t="s">
        <v>161</v>
      </c>
      <c r="E135" s="164" t="s">
        <v>179</v>
      </c>
      <c r="F135" s="164" t="s">
        <v>225</v>
      </c>
      <c r="G135" s="167">
        <v>44125.492361111108</v>
      </c>
      <c r="H135" s="164" t="s">
        <v>48</v>
      </c>
      <c r="I135" s="164">
        <v>10</v>
      </c>
      <c r="J135" s="168">
        <v>3.4</v>
      </c>
      <c r="K135" s="177" t="s">
        <v>639</v>
      </c>
      <c r="L135" s="177" t="s">
        <v>639</v>
      </c>
      <c r="M135" s="177">
        <v>4</v>
      </c>
      <c r="N135" s="177">
        <v>4</v>
      </c>
      <c r="O135" s="177"/>
      <c r="P135" s="177"/>
      <c r="Q135" s="177"/>
      <c r="R135" s="177"/>
      <c r="S135" s="177"/>
      <c r="T135" s="177"/>
      <c r="V135" s="164" t="s">
        <v>54</v>
      </c>
    </row>
    <row r="136" spans="1:22" s="169" customFormat="1" ht="60" x14ac:dyDescent="0.15">
      <c r="A136" s="164" t="s">
        <v>43</v>
      </c>
      <c r="B136" s="165">
        <v>260</v>
      </c>
      <c r="C136" s="166" t="s">
        <v>44</v>
      </c>
      <c r="D136" s="166" t="s">
        <v>161</v>
      </c>
      <c r="E136" s="164" t="s">
        <v>179</v>
      </c>
      <c r="F136" s="164" t="s">
        <v>226</v>
      </c>
      <c r="G136" s="167">
        <v>44125.492361111108</v>
      </c>
      <c r="H136" s="164" t="s">
        <v>48</v>
      </c>
      <c r="I136" s="164">
        <v>10</v>
      </c>
      <c r="J136" s="168">
        <v>3.4</v>
      </c>
      <c r="K136" s="177" t="s">
        <v>52</v>
      </c>
      <c r="L136" s="177" t="s">
        <v>52</v>
      </c>
      <c r="M136" s="177">
        <v>4</v>
      </c>
      <c r="N136" s="177">
        <v>4</v>
      </c>
      <c r="O136" s="177"/>
      <c r="P136" s="177"/>
      <c r="Q136" s="177"/>
      <c r="R136" s="177"/>
      <c r="S136" s="177"/>
      <c r="T136" s="177"/>
      <c r="V136" s="164" t="s">
        <v>54</v>
      </c>
    </row>
    <row r="137" spans="1:22" s="169" customFormat="1" ht="45" x14ac:dyDescent="0.15">
      <c r="A137" s="164" t="s">
        <v>43</v>
      </c>
      <c r="B137" s="165">
        <v>260</v>
      </c>
      <c r="C137" s="166" t="s">
        <v>44</v>
      </c>
      <c r="D137" s="166" t="s">
        <v>161</v>
      </c>
      <c r="E137" s="164" t="s">
        <v>179</v>
      </c>
      <c r="F137" s="164" t="s">
        <v>227</v>
      </c>
      <c r="G137" s="167">
        <v>44125.492361111108</v>
      </c>
      <c r="H137" s="164" t="s">
        <v>48</v>
      </c>
      <c r="I137" s="164">
        <v>10</v>
      </c>
      <c r="J137" s="168">
        <v>3.4</v>
      </c>
      <c r="K137" s="177" t="s">
        <v>52</v>
      </c>
      <c r="L137" s="177" t="s">
        <v>52</v>
      </c>
      <c r="M137" s="177">
        <v>4</v>
      </c>
      <c r="N137" s="177">
        <v>4</v>
      </c>
      <c r="O137" s="177"/>
      <c r="P137" s="177"/>
      <c r="Q137" s="177"/>
      <c r="R137" s="177"/>
      <c r="S137" s="177"/>
      <c r="T137" s="177"/>
      <c r="V137" s="164" t="s">
        <v>54</v>
      </c>
    </row>
    <row r="138" spans="1:22" s="169" customFormat="1" ht="15" x14ac:dyDescent="0.15">
      <c r="A138" s="164" t="s">
        <v>43</v>
      </c>
      <c r="B138" s="165">
        <v>260</v>
      </c>
      <c r="C138" s="166" t="s">
        <v>44</v>
      </c>
      <c r="D138" s="166" t="s">
        <v>161</v>
      </c>
      <c r="E138" s="164" t="s">
        <v>179</v>
      </c>
      <c r="F138" s="164" t="s">
        <v>229</v>
      </c>
      <c r="G138" s="167">
        <v>44125.492361111108</v>
      </c>
      <c r="H138" s="164" t="s">
        <v>48</v>
      </c>
      <c r="I138" s="164">
        <v>10</v>
      </c>
      <c r="J138" s="168">
        <v>3.4</v>
      </c>
      <c r="K138" s="177" t="s">
        <v>52</v>
      </c>
      <c r="L138" s="177" t="s">
        <v>52</v>
      </c>
      <c r="M138" s="177">
        <v>4</v>
      </c>
      <c r="N138" s="177">
        <v>4</v>
      </c>
      <c r="O138" s="177" t="s">
        <v>58</v>
      </c>
      <c r="P138" s="177" t="s">
        <v>58</v>
      </c>
      <c r="Q138" s="177"/>
      <c r="R138" s="177"/>
      <c r="S138" s="177"/>
      <c r="T138" s="177"/>
      <c r="V138" s="164" t="s">
        <v>63</v>
      </c>
    </row>
    <row r="139" spans="1:22" s="169" customFormat="1" ht="15" x14ac:dyDescent="0.15">
      <c r="A139" s="164" t="s">
        <v>43</v>
      </c>
      <c r="B139" s="165">
        <v>260</v>
      </c>
      <c r="C139" s="166" t="s">
        <v>44</v>
      </c>
      <c r="D139" s="166" t="s">
        <v>161</v>
      </c>
      <c r="E139" s="164" t="s">
        <v>179</v>
      </c>
      <c r="F139" s="164" t="s">
        <v>230</v>
      </c>
      <c r="G139" s="167">
        <v>44125.492361111108</v>
      </c>
      <c r="H139" s="164" t="s">
        <v>48</v>
      </c>
      <c r="I139" s="164">
        <v>10</v>
      </c>
      <c r="J139" s="168">
        <v>3.4</v>
      </c>
      <c r="K139" s="177" t="s">
        <v>52</v>
      </c>
      <c r="L139" s="177" t="s">
        <v>52</v>
      </c>
      <c r="M139" s="177">
        <v>4</v>
      </c>
      <c r="N139" s="177">
        <v>4</v>
      </c>
      <c r="O139" s="177"/>
      <c r="P139" s="177"/>
      <c r="Q139" s="177"/>
      <c r="R139" s="177"/>
      <c r="S139" s="177"/>
      <c r="T139" s="177"/>
      <c r="V139" s="164" t="s">
        <v>54</v>
      </c>
    </row>
    <row r="140" spans="1:22" s="169" customFormat="1" ht="15" x14ac:dyDescent="0.15">
      <c r="A140" s="164" t="s">
        <v>43</v>
      </c>
      <c r="B140" s="165">
        <v>260</v>
      </c>
      <c r="C140" s="166" t="s">
        <v>44</v>
      </c>
      <c r="D140" s="166" t="s">
        <v>161</v>
      </c>
      <c r="E140" s="164" t="s">
        <v>179</v>
      </c>
      <c r="F140" s="164" t="s">
        <v>231</v>
      </c>
      <c r="G140" s="167">
        <v>44125.493750000001</v>
      </c>
      <c r="H140" s="164" t="s">
        <v>48</v>
      </c>
      <c r="I140" s="164">
        <v>10</v>
      </c>
      <c r="J140" s="168">
        <v>3.4</v>
      </c>
      <c r="K140" s="177" t="s">
        <v>52</v>
      </c>
      <c r="L140" s="177" t="s">
        <v>52</v>
      </c>
      <c r="M140" s="177">
        <v>5</v>
      </c>
      <c r="N140" s="177">
        <v>5</v>
      </c>
      <c r="O140" s="177"/>
      <c r="P140" s="177"/>
      <c r="Q140" s="177"/>
      <c r="R140" s="177"/>
      <c r="S140" s="177"/>
      <c r="T140" s="177"/>
      <c r="V140" s="164" t="s">
        <v>54</v>
      </c>
    </row>
    <row r="141" spans="1:22" s="169" customFormat="1" ht="30" x14ac:dyDescent="0.15">
      <c r="A141" s="164" t="s">
        <v>43</v>
      </c>
      <c r="B141" s="165">
        <v>260</v>
      </c>
      <c r="C141" s="166" t="s">
        <v>44</v>
      </c>
      <c r="D141" s="166" t="s">
        <v>161</v>
      </c>
      <c r="E141" s="164" t="s">
        <v>179</v>
      </c>
      <c r="F141" s="164" t="s">
        <v>232</v>
      </c>
      <c r="G141" s="167">
        <v>44125.493750000001</v>
      </c>
      <c r="H141" s="164" t="s">
        <v>48</v>
      </c>
      <c r="I141" s="164">
        <v>10</v>
      </c>
      <c r="J141" s="168">
        <v>3.4</v>
      </c>
      <c r="K141" s="177" t="s">
        <v>52</v>
      </c>
      <c r="L141" s="177" t="s">
        <v>52</v>
      </c>
      <c r="M141" s="177">
        <v>5</v>
      </c>
      <c r="N141" s="177">
        <v>5</v>
      </c>
      <c r="O141" s="177"/>
      <c r="P141" s="177"/>
      <c r="Q141" s="177"/>
      <c r="R141" s="177"/>
      <c r="S141" s="177"/>
      <c r="T141" s="177"/>
      <c r="V141" s="164" t="s">
        <v>54</v>
      </c>
    </row>
    <row r="142" spans="1:22" s="169" customFormat="1" ht="45" x14ac:dyDescent="0.15">
      <c r="A142" s="164" t="s">
        <v>43</v>
      </c>
      <c r="B142" s="165">
        <v>260</v>
      </c>
      <c r="C142" s="166" t="s">
        <v>44</v>
      </c>
      <c r="D142" s="166" t="s">
        <v>161</v>
      </c>
      <c r="E142" s="164" t="s">
        <v>179</v>
      </c>
      <c r="F142" s="164" t="s">
        <v>233</v>
      </c>
      <c r="G142" s="167">
        <v>44125.493750000001</v>
      </c>
      <c r="H142" s="164" t="s">
        <v>48</v>
      </c>
      <c r="I142" s="164">
        <v>10</v>
      </c>
      <c r="J142" s="168">
        <v>3.4</v>
      </c>
      <c r="K142" s="177" t="s">
        <v>52</v>
      </c>
      <c r="L142" s="177" t="s">
        <v>52</v>
      </c>
      <c r="M142" s="177">
        <v>5</v>
      </c>
      <c r="N142" s="177">
        <v>5</v>
      </c>
      <c r="O142" s="177"/>
      <c r="P142" s="177"/>
      <c r="Q142" s="177"/>
      <c r="R142" s="177"/>
      <c r="S142" s="177"/>
      <c r="T142" s="177"/>
      <c r="V142" s="164" t="s">
        <v>54</v>
      </c>
    </row>
    <row r="143" spans="1:22" s="169" customFormat="1" ht="45" x14ac:dyDescent="0.15">
      <c r="A143" s="164" t="s">
        <v>43</v>
      </c>
      <c r="B143" s="165">
        <v>260</v>
      </c>
      <c r="C143" s="166" t="s">
        <v>44</v>
      </c>
      <c r="D143" s="166" t="s">
        <v>161</v>
      </c>
      <c r="E143" s="164" t="s">
        <v>179</v>
      </c>
      <c r="F143" s="164" t="s">
        <v>234</v>
      </c>
      <c r="G143" s="167">
        <v>44125.493750000001</v>
      </c>
      <c r="H143" s="164" t="s">
        <v>48</v>
      </c>
      <c r="I143" s="164">
        <v>10</v>
      </c>
      <c r="J143" s="168">
        <v>3.4</v>
      </c>
      <c r="K143" s="177" t="s">
        <v>52</v>
      </c>
      <c r="L143" s="177" t="s">
        <v>52</v>
      </c>
      <c r="M143" s="177">
        <v>5</v>
      </c>
      <c r="N143" s="177">
        <v>5</v>
      </c>
      <c r="O143" s="177"/>
      <c r="P143" s="177"/>
      <c r="Q143" s="177"/>
      <c r="R143" s="177"/>
      <c r="S143" s="177"/>
      <c r="T143" s="177"/>
      <c r="V143" s="164" t="s">
        <v>54</v>
      </c>
    </row>
    <row r="144" spans="1:22" s="169" customFormat="1" ht="30" x14ac:dyDescent="0.15">
      <c r="A144" s="164" t="s">
        <v>43</v>
      </c>
      <c r="B144" s="165">
        <v>260</v>
      </c>
      <c r="C144" s="166" t="s">
        <v>44</v>
      </c>
      <c r="D144" s="166" t="s">
        <v>161</v>
      </c>
      <c r="E144" s="164" t="s">
        <v>179</v>
      </c>
      <c r="F144" s="164" t="s">
        <v>235</v>
      </c>
      <c r="G144" s="167">
        <v>44125.494444444441</v>
      </c>
      <c r="H144" s="164" t="s">
        <v>48</v>
      </c>
      <c r="I144" s="164">
        <v>10</v>
      </c>
      <c r="J144" s="168">
        <v>3.4</v>
      </c>
      <c r="K144" s="177" t="s">
        <v>52</v>
      </c>
      <c r="L144" s="177" t="s">
        <v>52</v>
      </c>
      <c r="M144" s="177">
        <v>5</v>
      </c>
      <c r="N144" s="177">
        <v>5</v>
      </c>
      <c r="O144" s="177"/>
      <c r="P144" s="177"/>
      <c r="Q144" s="177"/>
      <c r="R144" s="177"/>
      <c r="S144" s="177"/>
      <c r="T144" s="177"/>
      <c r="V144" s="164" t="s">
        <v>54</v>
      </c>
    </row>
    <row r="145" spans="1:22" s="169" customFormat="1" ht="15" x14ac:dyDescent="0.15">
      <c r="A145" s="164" t="s">
        <v>43</v>
      </c>
      <c r="B145" s="165">
        <v>260</v>
      </c>
      <c r="C145" s="166" t="s">
        <v>44</v>
      </c>
      <c r="D145" s="166" t="s">
        <v>161</v>
      </c>
      <c r="E145" s="164" t="s">
        <v>179</v>
      </c>
      <c r="F145" s="164" t="s">
        <v>236</v>
      </c>
      <c r="G145" s="167">
        <v>44125.494444444441</v>
      </c>
      <c r="H145" s="164" t="s">
        <v>48</v>
      </c>
      <c r="I145" s="164">
        <v>10</v>
      </c>
      <c r="J145" s="168">
        <v>3.4</v>
      </c>
      <c r="K145" s="177" t="s">
        <v>108</v>
      </c>
      <c r="L145" s="177" t="s">
        <v>108</v>
      </c>
      <c r="M145" s="177">
        <v>5</v>
      </c>
      <c r="N145" s="177">
        <v>5</v>
      </c>
      <c r="O145" s="177"/>
      <c r="P145" s="177"/>
      <c r="Q145" s="177"/>
      <c r="R145" s="177"/>
      <c r="S145" s="177"/>
      <c r="T145" s="177"/>
      <c r="V145" s="164" t="s">
        <v>92</v>
      </c>
    </row>
    <row r="146" spans="1:22" s="169" customFormat="1" ht="30" x14ac:dyDescent="0.15">
      <c r="A146" s="164" t="s">
        <v>43</v>
      </c>
      <c r="B146" s="165">
        <v>260</v>
      </c>
      <c r="C146" s="166" t="s">
        <v>44</v>
      </c>
      <c r="D146" s="166" t="s">
        <v>161</v>
      </c>
      <c r="E146" s="164" t="s">
        <v>179</v>
      </c>
      <c r="F146" s="164" t="s">
        <v>237</v>
      </c>
      <c r="G146" s="167">
        <v>44125.494444444441</v>
      </c>
      <c r="H146" s="164" t="s">
        <v>48</v>
      </c>
      <c r="I146" s="164">
        <v>10</v>
      </c>
      <c r="J146" s="168">
        <v>3.4</v>
      </c>
      <c r="K146" s="177" t="s">
        <v>108</v>
      </c>
      <c r="L146" s="177" t="s">
        <v>108</v>
      </c>
      <c r="M146" s="177">
        <v>5</v>
      </c>
      <c r="N146" s="177">
        <v>5</v>
      </c>
      <c r="O146" s="177"/>
      <c r="P146" s="177"/>
      <c r="Q146" s="177"/>
      <c r="R146" s="177"/>
      <c r="S146" s="177"/>
      <c r="T146" s="177"/>
      <c r="V146" s="164" t="s">
        <v>92</v>
      </c>
    </row>
    <row r="147" spans="1:22" s="169" customFormat="1" ht="30" x14ac:dyDescent="0.15">
      <c r="A147" s="164" t="s">
        <v>43</v>
      </c>
      <c r="B147" s="165">
        <v>260</v>
      </c>
      <c r="C147" s="166" t="s">
        <v>44</v>
      </c>
      <c r="D147" s="166" t="s">
        <v>161</v>
      </c>
      <c r="E147" s="164" t="s">
        <v>162</v>
      </c>
      <c r="F147" s="164" t="s">
        <v>238</v>
      </c>
      <c r="G147" s="167">
        <v>44125.584027777775</v>
      </c>
      <c r="H147" s="164" t="s">
        <v>48</v>
      </c>
      <c r="I147" s="164">
        <v>10</v>
      </c>
      <c r="J147" s="168">
        <v>3.4</v>
      </c>
      <c r="K147" s="177" t="s">
        <v>52</v>
      </c>
      <c r="L147" s="177" t="s">
        <v>52</v>
      </c>
      <c r="M147" s="177">
        <v>5</v>
      </c>
      <c r="N147" s="177">
        <v>5</v>
      </c>
      <c r="O147" s="177" t="s">
        <v>58</v>
      </c>
      <c r="P147" s="177" t="s">
        <v>58</v>
      </c>
      <c r="Q147" s="177"/>
      <c r="R147" s="177"/>
      <c r="S147" s="177"/>
      <c r="T147" s="177"/>
      <c r="V147" s="164" t="s">
        <v>63</v>
      </c>
    </row>
    <row r="148" spans="1:22" s="169" customFormat="1" ht="45" x14ac:dyDescent="0.15">
      <c r="A148" s="164" t="s">
        <v>43</v>
      </c>
      <c r="B148" s="165">
        <v>260</v>
      </c>
      <c r="C148" s="166" t="s">
        <v>44</v>
      </c>
      <c r="D148" s="166" t="s">
        <v>161</v>
      </c>
      <c r="E148" s="164" t="s">
        <v>162</v>
      </c>
      <c r="F148" s="164" t="s">
        <v>239</v>
      </c>
      <c r="G148" s="167">
        <v>44125.584027777775</v>
      </c>
      <c r="H148" s="164" t="s">
        <v>48</v>
      </c>
      <c r="I148" s="164">
        <v>10</v>
      </c>
      <c r="J148" s="168">
        <v>3.4</v>
      </c>
      <c r="K148" s="177" t="s">
        <v>52</v>
      </c>
      <c r="L148" s="177" t="s">
        <v>52</v>
      </c>
      <c r="M148" s="177">
        <v>5</v>
      </c>
      <c r="N148" s="177">
        <v>5</v>
      </c>
      <c r="O148" s="177"/>
      <c r="P148" s="177"/>
      <c r="Q148" s="177"/>
      <c r="R148" s="177"/>
      <c r="S148" s="177"/>
      <c r="T148" s="177"/>
      <c r="V148" s="164" t="s">
        <v>54</v>
      </c>
    </row>
    <row r="149" spans="1:22" s="169" customFormat="1" ht="30" x14ac:dyDescent="0.15">
      <c r="A149" s="164" t="s">
        <v>43</v>
      </c>
      <c r="B149" s="165">
        <v>260</v>
      </c>
      <c r="C149" s="166" t="s">
        <v>44</v>
      </c>
      <c r="D149" s="166" t="s">
        <v>161</v>
      </c>
      <c r="E149" s="164" t="s">
        <v>162</v>
      </c>
      <c r="F149" s="164" t="s">
        <v>240</v>
      </c>
      <c r="G149" s="167">
        <v>44125.584027777775</v>
      </c>
      <c r="H149" s="164" t="s">
        <v>48</v>
      </c>
      <c r="I149" s="164">
        <v>10</v>
      </c>
      <c r="J149" s="168">
        <v>3.4</v>
      </c>
      <c r="K149" s="177" t="s">
        <v>52</v>
      </c>
      <c r="L149" s="177" t="s">
        <v>52</v>
      </c>
      <c r="M149" s="177">
        <v>5</v>
      </c>
      <c r="N149" s="177">
        <v>5</v>
      </c>
      <c r="O149" s="177"/>
      <c r="P149" s="177"/>
      <c r="Q149" s="177"/>
      <c r="R149" s="177"/>
      <c r="S149" s="177"/>
      <c r="T149" s="177"/>
      <c r="V149" s="164" t="s">
        <v>54</v>
      </c>
    </row>
    <row r="150" spans="1:22" s="169" customFormat="1" ht="15" x14ac:dyDescent="0.15">
      <c r="A150" s="164" t="s">
        <v>43</v>
      </c>
      <c r="B150" s="165">
        <v>260</v>
      </c>
      <c r="C150" s="166" t="s">
        <v>44</v>
      </c>
      <c r="D150" s="166" t="s">
        <v>161</v>
      </c>
      <c r="E150" s="164" t="s">
        <v>162</v>
      </c>
      <c r="F150" s="164" t="s">
        <v>241</v>
      </c>
      <c r="G150" s="167">
        <v>44125.586111111108</v>
      </c>
      <c r="H150" s="164" t="s">
        <v>48</v>
      </c>
      <c r="I150" s="164">
        <v>10</v>
      </c>
      <c r="J150" s="168">
        <v>3.4</v>
      </c>
      <c r="K150" s="177" t="s">
        <v>108</v>
      </c>
      <c r="L150" s="177" t="s">
        <v>108</v>
      </c>
      <c r="M150" s="177">
        <v>3</v>
      </c>
      <c r="N150" s="177">
        <v>3</v>
      </c>
      <c r="O150" s="177"/>
      <c r="P150" s="177"/>
      <c r="Q150" s="177"/>
      <c r="R150" s="177"/>
      <c r="S150" s="177"/>
      <c r="T150" s="177"/>
      <c r="V150" s="164" t="s">
        <v>69</v>
      </c>
    </row>
    <row r="151" spans="1:22" s="169" customFormat="1" ht="15" x14ac:dyDescent="0.15">
      <c r="A151" s="164" t="s">
        <v>43</v>
      </c>
      <c r="B151" s="165">
        <v>260</v>
      </c>
      <c r="C151" s="166" t="s">
        <v>44</v>
      </c>
      <c r="D151" s="166" t="s">
        <v>161</v>
      </c>
      <c r="E151" s="164" t="s">
        <v>162</v>
      </c>
      <c r="F151" s="164" t="s">
        <v>242</v>
      </c>
      <c r="G151" s="167">
        <v>44125.586111111108</v>
      </c>
      <c r="H151" s="164" t="s">
        <v>48</v>
      </c>
      <c r="I151" s="164">
        <v>10</v>
      </c>
      <c r="J151" s="168">
        <v>3.4</v>
      </c>
      <c r="K151" s="177" t="s">
        <v>49</v>
      </c>
      <c r="L151" s="177" t="s">
        <v>49</v>
      </c>
      <c r="M151" s="177">
        <v>3</v>
      </c>
      <c r="N151" s="177">
        <v>3</v>
      </c>
      <c r="O151" s="177"/>
      <c r="P151" s="177"/>
      <c r="Q151" s="177"/>
      <c r="R151" s="177"/>
      <c r="S151" s="177"/>
      <c r="T151" s="177"/>
      <c r="V151" s="164" t="s">
        <v>128</v>
      </c>
    </row>
    <row r="152" spans="1:22" s="169" customFormat="1" ht="30" x14ac:dyDescent="0.15">
      <c r="A152" s="164" t="s">
        <v>43</v>
      </c>
      <c r="B152" s="165">
        <v>260</v>
      </c>
      <c r="C152" s="166" t="s">
        <v>44</v>
      </c>
      <c r="D152" s="166" t="s">
        <v>161</v>
      </c>
      <c r="E152" s="164" t="s">
        <v>162</v>
      </c>
      <c r="F152" s="164" t="s">
        <v>244</v>
      </c>
      <c r="G152" s="167">
        <v>44125.586111111108</v>
      </c>
      <c r="H152" s="164" t="s">
        <v>48</v>
      </c>
      <c r="I152" s="164">
        <v>10</v>
      </c>
      <c r="J152" s="168">
        <v>3.4</v>
      </c>
      <c r="K152" s="177" t="s">
        <v>49</v>
      </c>
      <c r="L152" s="177" t="s">
        <v>49</v>
      </c>
      <c r="M152" s="177"/>
      <c r="N152" s="177"/>
      <c r="O152" s="177"/>
      <c r="P152" s="177"/>
      <c r="Q152" s="177"/>
      <c r="R152" s="177"/>
      <c r="S152" s="177"/>
      <c r="T152" s="177"/>
      <c r="V152" s="164" t="s">
        <v>92</v>
      </c>
    </row>
    <row r="153" spans="1:22" s="169" customFormat="1" ht="30" x14ac:dyDescent="0.15">
      <c r="A153" s="164" t="s">
        <v>43</v>
      </c>
      <c r="B153" s="165">
        <v>260</v>
      </c>
      <c r="C153" s="166" t="s">
        <v>44</v>
      </c>
      <c r="D153" s="166" t="s">
        <v>161</v>
      </c>
      <c r="E153" s="164" t="s">
        <v>162</v>
      </c>
      <c r="F153" s="164" t="s">
        <v>245</v>
      </c>
      <c r="G153" s="167">
        <v>44125.754166666666</v>
      </c>
      <c r="H153" s="164" t="s">
        <v>48</v>
      </c>
      <c r="I153" s="164">
        <v>10</v>
      </c>
      <c r="J153" s="168">
        <v>3.4</v>
      </c>
      <c r="K153" s="177" t="s">
        <v>108</v>
      </c>
      <c r="L153" s="177" t="s">
        <v>108</v>
      </c>
      <c r="M153" s="177">
        <v>3</v>
      </c>
      <c r="N153" s="177">
        <v>3</v>
      </c>
      <c r="O153" s="177"/>
      <c r="P153" s="177"/>
      <c r="Q153" s="177"/>
      <c r="R153" s="177"/>
      <c r="S153" s="177"/>
      <c r="T153" s="177"/>
      <c r="V153" s="164" t="s">
        <v>69</v>
      </c>
    </row>
    <row r="154" spans="1:22" s="169" customFormat="1" ht="15" x14ac:dyDescent="0.15">
      <c r="A154" s="164" t="s">
        <v>43</v>
      </c>
      <c r="B154" s="165">
        <v>260</v>
      </c>
      <c r="C154" s="166" t="s">
        <v>44</v>
      </c>
      <c r="D154" s="166" t="s">
        <v>161</v>
      </c>
      <c r="E154" s="164" t="s">
        <v>179</v>
      </c>
      <c r="F154" s="164" t="s">
        <v>246</v>
      </c>
      <c r="G154" s="167">
        <v>44126.458333333336</v>
      </c>
      <c r="H154" s="164" t="s">
        <v>48</v>
      </c>
      <c r="I154" s="164">
        <v>10</v>
      </c>
      <c r="J154" s="168">
        <v>3.4</v>
      </c>
      <c r="K154" s="177" t="s">
        <v>108</v>
      </c>
      <c r="L154" s="177" t="s">
        <v>108</v>
      </c>
      <c r="M154" s="177">
        <v>3</v>
      </c>
      <c r="N154" s="177">
        <v>3</v>
      </c>
      <c r="O154" s="177"/>
      <c r="P154" s="177"/>
      <c r="Q154" s="177"/>
      <c r="R154" s="177"/>
      <c r="S154" s="177"/>
      <c r="T154" s="177"/>
      <c r="V154" s="164" t="s">
        <v>63</v>
      </c>
    </row>
    <row r="155" spans="1:22" s="169" customFormat="1" ht="30" x14ac:dyDescent="0.15">
      <c r="A155" s="164" t="s">
        <v>43</v>
      </c>
      <c r="B155" s="165">
        <v>260</v>
      </c>
      <c r="C155" s="166" t="s">
        <v>44</v>
      </c>
      <c r="D155" s="166" t="s">
        <v>161</v>
      </c>
      <c r="E155" s="164" t="s">
        <v>179</v>
      </c>
      <c r="F155" s="164" t="s">
        <v>247</v>
      </c>
      <c r="G155" s="167">
        <v>44126.458333333336</v>
      </c>
      <c r="H155" s="164" t="s">
        <v>48</v>
      </c>
      <c r="I155" s="164">
        <v>10</v>
      </c>
      <c r="J155" s="168">
        <v>3.4</v>
      </c>
      <c r="K155" s="177" t="s">
        <v>108</v>
      </c>
      <c r="L155" s="177" t="s">
        <v>108</v>
      </c>
      <c r="M155" s="177">
        <v>3</v>
      </c>
      <c r="N155" s="177">
        <v>3</v>
      </c>
      <c r="O155" s="177"/>
      <c r="P155" s="177"/>
      <c r="Q155" s="177"/>
      <c r="R155" s="177"/>
      <c r="S155" s="177"/>
      <c r="T155" s="177"/>
      <c r="V155" s="164" t="s">
        <v>69</v>
      </c>
    </row>
    <row r="156" spans="1:22" s="169" customFormat="1" ht="15" x14ac:dyDescent="0.15">
      <c r="A156" s="164" t="s">
        <v>43</v>
      </c>
      <c r="B156" s="165">
        <v>260</v>
      </c>
      <c r="C156" s="166" t="s">
        <v>44</v>
      </c>
      <c r="D156" s="166" t="s">
        <v>161</v>
      </c>
      <c r="E156" s="164" t="s">
        <v>179</v>
      </c>
      <c r="F156" s="164" t="s">
        <v>248</v>
      </c>
      <c r="G156" s="167">
        <v>44126.458333333336</v>
      </c>
      <c r="H156" s="164" t="s">
        <v>48</v>
      </c>
      <c r="I156" s="164">
        <v>10</v>
      </c>
      <c r="J156" s="168">
        <v>3.4</v>
      </c>
      <c r="K156" s="177" t="s">
        <v>49</v>
      </c>
      <c r="L156" s="177" t="s">
        <v>49</v>
      </c>
      <c r="M156" s="177">
        <v>3</v>
      </c>
      <c r="N156" s="177">
        <v>3</v>
      </c>
      <c r="O156" s="177"/>
      <c r="P156" s="177"/>
      <c r="Q156" s="177"/>
      <c r="R156" s="177"/>
      <c r="S156" s="177"/>
      <c r="T156" s="177"/>
      <c r="V156" s="164" t="s">
        <v>92</v>
      </c>
    </row>
    <row r="157" spans="1:22" s="169" customFormat="1" ht="15" x14ac:dyDescent="0.15">
      <c r="A157" s="164" t="s">
        <v>43</v>
      </c>
      <c r="B157" s="165">
        <v>260</v>
      </c>
      <c r="C157" s="166" t="s">
        <v>44</v>
      </c>
      <c r="D157" s="166" t="s">
        <v>161</v>
      </c>
      <c r="E157" s="164" t="s">
        <v>162</v>
      </c>
      <c r="F157" s="164" t="s">
        <v>249</v>
      </c>
      <c r="G157" s="167">
        <v>44126.594444444447</v>
      </c>
      <c r="H157" s="164" t="s">
        <v>48</v>
      </c>
      <c r="I157" s="164">
        <v>10</v>
      </c>
      <c r="J157" s="168">
        <v>3.4</v>
      </c>
      <c r="K157" s="177" t="s">
        <v>52</v>
      </c>
      <c r="L157" s="177" t="s">
        <v>52</v>
      </c>
      <c r="M157" s="177">
        <v>3</v>
      </c>
      <c r="N157" s="177">
        <v>3</v>
      </c>
      <c r="O157" s="177"/>
      <c r="P157" s="177"/>
      <c r="Q157" s="177"/>
      <c r="R157" s="177"/>
      <c r="S157" s="177"/>
      <c r="T157" s="177"/>
      <c r="V157" s="164" t="s">
        <v>59</v>
      </c>
    </row>
    <row r="158" spans="1:22" s="169" customFormat="1" ht="15" x14ac:dyDescent="0.15">
      <c r="A158" s="164" t="s">
        <v>43</v>
      </c>
      <c r="B158" s="165">
        <v>260</v>
      </c>
      <c r="C158" s="166" t="s">
        <v>44</v>
      </c>
      <c r="D158" s="166" t="s">
        <v>161</v>
      </c>
      <c r="E158" s="164" t="s">
        <v>162</v>
      </c>
      <c r="F158" s="164" t="s">
        <v>250</v>
      </c>
      <c r="G158" s="167">
        <v>44126.594444444447</v>
      </c>
      <c r="H158" s="164" t="s">
        <v>48</v>
      </c>
      <c r="I158" s="164">
        <v>10</v>
      </c>
      <c r="J158" s="168">
        <v>3.4</v>
      </c>
      <c r="K158" s="177" t="s">
        <v>49</v>
      </c>
      <c r="L158" s="177" t="s">
        <v>49</v>
      </c>
      <c r="M158" s="177">
        <v>3</v>
      </c>
      <c r="N158" s="177">
        <v>3</v>
      </c>
      <c r="O158" s="177"/>
      <c r="P158" s="177"/>
      <c r="Q158" s="177"/>
      <c r="R158" s="177"/>
      <c r="S158" s="177"/>
      <c r="T158" s="177"/>
      <c r="V158" s="164" t="s">
        <v>128</v>
      </c>
    </row>
    <row r="159" spans="1:22" s="169" customFormat="1" ht="15" x14ac:dyDescent="0.15">
      <c r="A159" s="164" t="s">
        <v>43</v>
      </c>
      <c r="B159" s="165">
        <v>260</v>
      </c>
      <c r="C159" s="166" t="s">
        <v>44</v>
      </c>
      <c r="D159" s="166" t="s">
        <v>161</v>
      </c>
      <c r="E159" s="164" t="s">
        <v>162</v>
      </c>
      <c r="F159" s="164" t="s">
        <v>251</v>
      </c>
      <c r="G159" s="167">
        <v>44126.594444444447</v>
      </c>
      <c r="H159" s="164" t="s">
        <v>48</v>
      </c>
      <c r="I159" s="164">
        <v>10</v>
      </c>
      <c r="J159" s="168">
        <v>3.4</v>
      </c>
      <c r="K159" s="177" t="s">
        <v>49</v>
      </c>
      <c r="L159" s="177" t="s">
        <v>49</v>
      </c>
      <c r="M159" s="177">
        <v>3</v>
      </c>
      <c r="N159" s="177">
        <v>3</v>
      </c>
      <c r="O159" s="177"/>
      <c r="P159" s="177"/>
      <c r="Q159" s="177"/>
      <c r="R159" s="177"/>
      <c r="S159" s="177"/>
      <c r="T159" s="177"/>
      <c r="V159" s="164" t="s">
        <v>59</v>
      </c>
    </row>
    <row r="160" spans="1:22" s="169" customFormat="1" ht="75" x14ac:dyDescent="0.15">
      <c r="A160" s="164" t="s">
        <v>43</v>
      </c>
      <c r="B160" s="165">
        <v>260</v>
      </c>
      <c r="C160" s="166" t="s">
        <v>44</v>
      </c>
      <c r="D160" s="166" t="s">
        <v>161</v>
      </c>
      <c r="E160" s="164" t="s">
        <v>162</v>
      </c>
      <c r="F160" s="164" t="s">
        <v>252</v>
      </c>
      <c r="G160" s="167">
        <v>44127.429166666669</v>
      </c>
      <c r="H160" s="164" t="s">
        <v>48</v>
      </c>
      <c r="I160" s="164">
        <v>10</v>
      </c>
      <c r="J160" s="168">
        <v>3.4</v>
      </c>
      <c r="K160" s="177" t="s">
        <v>52</v>
      </c>
      <c r="L160" s="177" t="s">
        <v>52</v>
      </c>
      <c r="M160" s="177">
        <v>6</v>
      </c>
      <c r="N160" s="177">
        <v>6</v>
      </c>
      <c r="O160" s="177"/>
      <c r="P160" s="177"/>
      <c r="Q160" s="177"/>
      <c r="R160" s="177"/>
      <c r="S160" s="177"/>
      <c r="T160" s="177"/>
      <c r="V160" s="164" t="s">
        <v>92</v>
      </c>
    </row>
    <row r="161" spans="1:22" s="169" customFormat="1" ht="15" x14ac:dyDescent="0.15">
      <c r="A161" s="164" t="s">
        <v>43</v>
      </c>
      <c r="B161" s="165">
        <v>260</v>
      </c>
      <c r="C161" s="166" t="s">
        <v>44</v>
      </c>
      <c r="D161" s="166" t="s">
        <v>161</v>
      </c>
      <c r="E161" s="164" t="s">
        <v>179</v>
      </c>
      <c r="F161" s="164" t="s">
        <v>253</v>
      </c>
      <c r="G161" s="167">
        <v>44127.432638888888</v>
      </c>
      <c r="H161" s="164" t="s">
        <v>48</v>
      </c>
      <c r="I161" s="164">
        <v>10</v>
      </c>
      <c r="J161" s="168">
        <v>3.4</v>
      </c>
      <c r="K161" s="177" t="s">
        <v>52</v>
      </c>
      <c r="L161" s="177" t="s">
        <v>52</v>
      </c>
      <c r="M161" s="177">
        <v>6</v>
      </c>
      <c r="N161" s="177">
        <v>6</v>
      </c>
      <c r="O161" s="177" t="s">
        <v>58</v>
      </c>
      <c r="P161" s="177" t="s">
        <v>58</v>
      </c>
      <c r="Q161" s="177"/>
      <c r="R161" s="177"/>
      <c r="S161" s="177"/>
      <c r="T161" s="177"/>
      <c r="V161" s="164" t="s">
        <v>63</v>
      </c>
    </row>
    <row r="162" spans="1:22" s="169" customFormat="1" ht="15" x14ac:dyDescent="0.15">
      <c r="A162" s="164" t="s">
        <v>43</v>
      </c>
      <c r="B162" s="165">
        <v>260</v>
      </c>
      <c r="C162" s="166" t="s">
        <v>44</v>
      </c>
      <c r="D162" s="166" t="s">
        <v>161</v>
      </c>
      <c r="E162" s="164" t="s">
        <v>179</v>
      </c>
      <c r="F162" s="164" t="s">
        <v>254</v>
      </c>
      <c r="G162" s="167">
        <v>44127.432638888888</v>
      </c>
      <c r="H162" s="164" t="s">
        <v>48</v>
      </c>
      <c r="I162" s="164">
        <v>10</v>
      </c>
      <c r="J162" s="168">
        <v>3.4</v>
      </c>
      <c r="K162" s="177" t="s">
        <v>49</v>
      </c>
      <c r="L162" s="177" t="s">
        <v>49</v>
      </c>
      <c r="M162" s="177">
        <v>6</v>
      </c>
      <c r="N162" s="177">
        <v>6</v>
      </c>
      <c r="O162" s="177" t="s">
        <v>58</v>
      </c>
      <c r="P162" s="177" t="s">
        <v>58</v>
      </c>
      <c r="Q162" s="177"/>
      <c r="R162" s="177"/>
      <c r="S162" s="177"/>
      <c r="T162" s="177"/>
      <c r="V162" s="164" t="s">
        <v>63</v>
      </c>
    </row>
    <row r="163" spans="1:22" s="169" customFormat="1" ht="15" x14ac:dyDescent="0.15">
      <c r="A163" s="164" t="s">
        <v>43</v>
      </c>
      <c r="B163" s="165">
        <v>260</v>
      </c>
      <c r="C163" s="166" t="s">
        <v>44</v>
      </c>
      <c r="D163" s="166" t="s">
        <v>161</v>
      </c>
      <c r="E163" s="164" t="s">
        <v>179</v>
      </c>
      <c r="F163" s="164" t="s">
        <v>255</v>
      </c>
      <c r="G163" s="167">
        <v>44127.444444444445</v>
      </c>
      <c r="H163" s="164" t="s">
        <v>48</v>
      </c>
      <c r="I163" s="164">
        <v>10</v>
      </c>
      <c r="J163" s="168">
        <v>3.4</v>
      </c>
      <c r="K163" s="177" t="s">
        <v>108</v>
      </c>
      <c r="L163" s="177" t="s">
        <v>108</v>
      </c>
      <c r="M163" s="177">
        <v>6</v>
      </c>
      <c r="N163" s="177">
        <v>6</v>
      </c>
      <c r="O163" s="177" t="s">
        <v>58</v>
      </c>
      <c r="P163" s="177" t="s">
        <v>58</v>
      </c>
      <c r="Q163" s="177"/>
      <c r="R163" s="177"/>
      <c r="S163" s="177"/>
      <c r="T163" s="177"/>
      <c r="V163" s="164" t="s">
        <v>63</v>
      </c>
    </row>
    <row r="164" spans="1:22" s="169" customFormat="1" ht="15" x14ac:dyDescent="0.15">
      <c r="A164" s="164" t="s">
        <v>43</v>
      </c>
      <c r="B164" s="165">
        <v>260</v>
      </c>
      <c r="C164" s="166" t="s">
        <v>44</v>
      </c>
      <c r="D164" s="166" t="s">
        <v>161</v>
      </c>
      <c r="E164" s="164" t="s">
        <v>179</v>
      </c>
      <c r="F164" s="164" t="s">
        <v>256</v>
      </c>
      <c r="G164" s="167">
        <v>44127.444444444445</v>
      </c>
      <c r="H164" s="164" t="s">
        <v>48</v>
      </c>
      <c r="I164" s="164">
        <v>10</v>
      </c>
      <c r="J164" s="168">
        <v>3.4</v>
      </c>
      <c r="K164" s="177" t="s">
        <v>108</v>
      </c>
      <c r="L164" s="177" t="s">
        <v>108</v>
      </c>
      <c r="M164" s="177">
        <v>6</v>
      </c>
      <c r="N164" s="177">
        <v>6</v>
      </c>
      <c r="O164" s="177"/>
      <c r="P164" s="177"/>
      <c r="Q164" s="177"/>
      <c r="R164" s="177"/>
      <c r="S164" s="177"/>
      <c r="T164" s="177"/>
      <c r="V164" s="164" t="s">
        <v>63</v>
      </c>
    </row>
    <row r="165" spans="1:22" s="169" customFormat="1" ht="15" x14ac:dyDescent="0.15">
      <c r="A165" s="164" t="s">
        <v>43</v>
      </c>
      <c r="B165" s="165">
        <v>260</v>
      </c>
      <c r="C165" s="166" t="s">
        <v>44</v>
      </c>
      <c r="D165" s="166" t="s">
        <v>161</v>
      </c>
      <c r="E165" s="164" t="s">
        <v>179</v>
      </c>
      <c r="F165" s="164" t="s">
        <v>257</v>
      </c>
      <c r="G165" s="167">
        <v>44127.444444444445</v>
      </c>
      <c r="H165" s="164" t="s">
        <v>48</v>
      </c>
      <c r="I165" s="164">
        <v>10</v>
      </c>
      <c r="J165" s="168">
        <v>3.4</v>
      </c>
      <c r="K165" s="177" t="s">
        <v>108</v>
      </c>
      <c r="L165" s="177" t="s">
        <v>108</v>
      </c>
      <c r="M165" s="177">
        <v>6</v>
      </c>
      <c r="N165" s="177">
        <v>6</v>
      </c>
      <c r="O165" s="177"/>
      <c r="P165" s="177"/>
      <c r="Q165" s="177"/>
      <c r="R165" s="177"/>
      <c r="S165" s="177"/>
      <c r="T165" s="177"/>
      <c r="V165" s="164" t="s">
        <v>92</v>
      </c>
    </row>
    <row r="166" spans="1:22" s="169" customFormat="1" ht="15" x14ac:dyDescent="0.15">
      <c r="A166" s="164" t="s">
        <v>43</v>
      </c>
      <c r="B166" s="165">
        <v>260</v>
      </c>
      <c r="C166" s="166" t="s">
        <v>44</v>
      </c>
      <c r="D166" s="166" t="s">
        <v>161</v>
      </c>
      <c r="E166" s="164" t="s">
        <v>162</v>
      </c>
      <c r="F166" s="164" t="s">
        <v>258</v>
      </c>
      <c r="G166" s="167">
        <v>44127.452777777777</v>
      </c>
      <c r="H166" s="164" t="s">
        <v>48</v>
      </c>
      <c r="I166" s="164">
        <v>10</v>
      </c>
      <c r="J166" s="168">
        <v>3.4</v>
      </c>
      <c r="K166" s="177" t="s">
        <v>49</v>
      </c>
      <c r="L166" s="177" t="s">
        <v>49</v>
      </c>
      <c r="M166" s="177">
        <v>6</v>
      </c>
      <c r="N166" s="177">
        <v>6</v>
      </c>
      <c r="O166" s="177"/>
      <c r="P166" s="177"/>
      <c r="Q166" s="177"/>
      <c r="R166" s="177"/>
      <c r="S166" s="177"/>
      <c r="T166" s="177"/>
      <c r="V166" s="164" t="s">
        <v>59</v>
      </c>
    </row>
    <row r="167" spans="1:22" s="169" customFormat="1" ht="15" x14ac:dyDescent="0.15">
      <c r="A167" s="164" t="s">
        <v>43</v>
      </c>
      <c r="B167" s="165">
        <v>260</v>
      </c>
      <c r="C167" s="166" t="s">
        <v>44</v>
      </c>
      <c r="D167" s="166" t="s">
        <v>161</v>
      </c>
      <c r="E167" s="164" t="s">
        <v>162</v>
      </c>
      <c r="F167" s="164" t="s">
        <v>259</v>
      </c>
      <c r="G167" s="167">
        <v>44127.482638888891</v>
      </c>
      <c r="H167" s="164" t="s">
        <v>48</v>
      </c>
      <c r="I167" s="164">
        <v>10</v>
      </c>
      <c r="J167" s="168">
        <v>3.4</v>
      </c>
      <c r="K167" s="177" t="s">
        <v>49</v>
      </c>
      <c r="L167" s="177" t="s">
        <v>49</v>
      </c>
      <c r="M167" s="177">
        <v>6</v>
      </c>
      <c r="N167" s="177">
        <v>6</v>
      </c>
      <c r="O167" s="177"/>
      <c r="P167" s="177"/>
      <c r="Q167" s="177"/>
      <c r="R167" s="177"/>
      <c r="S167" s="177"/>
      <c r="T167" s="177"/>
      <c r="V167" s="164" t="s">
        <v>63</v>
      </c>
    </row>
    <row r="168" spans="1:22" s="169" customFormat="1" ht="15" x14ac:dyDescent="0.15">
      <c r="A168" s="164" t="s">
        <v>43</v>
      </c>
      <c r="B168" s="165">
        <v>260</v>
      </c>
      <c r="C168" s="166" t="s">
        <v>44</v>
      </c>
      <c r="D168" s="166" t="s">
        <v>161</v>
      </c>
      <c r="E168" s="164" t="s">
        <v>179</v>
      </c>
      <c r="F168" s="164" t="s">
        <v>260</v>
      </c>
      <c r="G168" s="167">
        <v>44127.488888888889</v>
      </c>
      <c r="H168" s="164" t="s">
        <v>48</v>
      </c>
      <c r="I168" s="164">
        <v>3</v>
      </c>
      <c r="J168" s="168">
        <v>3.4</v>
      </c>
      <c r="K168" s="177" t="s">
        <v>108</v>
      </c>
      <c r="L168" s="177" t="s">
        <v>108</v>
      </c>
      <c r="M168" s="177">
        <v>6</v>
      </c>
      <c r="N168" s="177">
        <v>6</v>
      </c>
      <c r="O168" s="177"/>
      <c r="P168" s="177"/>
      <c r="Q168" s="177" t="s">
        <v>261</v>
      </c>
      <c r="R168" s="177" t="s">
        <v>261</v>
      </c>
      <c r="S168" s="177"/>
      <c r="T168" s="177"/>
      <c r="V168" s="164" t="s">
        <v>121</v>
      </c>
    </row>
    <row r="169" spans="1:22" s="169" customFormat="1" ht="15" x14ac:dyDescent="0.15">
      <c r="A169" s="164" t="s">
        <v>43</v>
      </c>
      <c r="B169" s="165">
        <v>260</v>
      </c>
      <c r="C169" s="166" t="s">
        <v>44</v>
      </c>
      <c r="D169" s="166" t="s">
        <v>161</v>
      </c>
      <c r="E169" s="164" t="s">
        <v>162</v>
      </c>
      <c r="F169" s="164" t="s">
        <v>262</v>
      </c>
      <c r="G169" s="167">
        <v>44127.492361111108</v>
      </c>
      <c r="H169" s="164" t="s">
        <v>48</v>
      </c>
      <c r="I169" s="164">
        <v>10</v>
      </c>
      <c r="J169" s="168">
        <v>3.4</v>
      </c>
      <c r="K169" s="177" t="s">
        <v>108</v>
      </c>
      <c r="L169" s="177" t="s">
        <v>49</v>
      </c>
      <c r="M169" s="177">
        <v>6</v>
      </c>
      <c r="N169" s="177">
        <v>6</v>
      </c>
      <c r="O169" s="177" t="s">
        <v>58</v>
      </c>
      <c r="P169" s="177" t="s">
        <v>58</v>
      </c>
      <c r="Q169" s="177"/>
      <c r="R169" s="177"/>
      <c r="S169" s="177"/>
      <c r="T169" s="177"/>
      <c r="V169" s="164" t="s">
        <v>63</v>
      </c>
    </row>
    <row r="170" spans="1:22" s="169" customFormat="1" ht="15" x14ac:dyDescent="0.15">
      <c r="A170" s="164" t="s">
        <v>43</v>
      </c>
      <c r="B170" s="165">
        <v>260</v>
      </c>
      <c r="C170" s="166" t="s">
        <v>44</v>
      </c>
      <c r="D170" s="166" t="s">
        <v>161</v>
      </c>
      <c r="E170" s="164" t="s">
        <v>162</v>
      </c>
      <c r="F170" s="164" t="s">
        <v>263</v>
      </c>
      <c r="G170" s="167">
        <v>44127.492361111108</v>
      </c>
      <c r="H170" s="164" t="s">
        <v>48</v>
      </c>
      <c r="I170" s="164">
        <v>10</v>
      </c>
      <c r="J170" s="168">
        <v>3.4</v>
      </c>
      <c r="K170" s="177" t="s">
        <v>108</v>
      </c>
      <c r="L170" s="177" t="s">
        <v>108</v>
      </c>
      <c r="M170" s="177">
        <v>7</v>
      </c>
      <c r="N170" s="177">
        <v>7</v>
      </c>
      <c r="O170" s="177"/>
      <c r="P170" s="177"/>
      <c r="Q170" s="177" t="s">
        <v>112</v>
      </c>
      <c r="R170" s="177" t="s">
        <v>112</v>
      </c>
      <c r="S170" s="177"/>
      <c r="T170" s="177"/>
      <c r="V170" s="164" t="s">
        <v>113</v>
      </c>
    </row>
    <row r="171" spans="1:22" s="169" customFormat="1" ht="30" x14ac:dyDescent="0.15">
      <c r="A171" s="164" t="s">
        <v>43</v>
      </c>
      <c r="B171" s="165">
        <v>260</v>
      </c>
      <c r="C171" s="166" t="s">
        <v>44</v>
      </c>
      <c r="D171" s="166" t="s">
        <v>161</v>
      </c>
      <c r="E171" s="164" t="s">
        <v>179</v>
      </c>
      <c r="F171" s="164" t="s">
        <v>264</v>
      </c>
      <c r="G171" s="167">
        <v>44127.506249999999</v>
      </c>
      <c r="H171" s="164" t="s">
        <v>48</v>
      </c>
      <c r="I171" s="164">
        <v>10</v>
      </c>
      <c r="J171" s="168">
        <v>3.4</v>
      </c>
      <c r="K171" s="177" t="s">
        <v>108</v>
      </c>
      <c r="L171" s="177" t="s">
        <v>108</v>
      </c>
      <c r="M171" s="177">
        <v>7</v>
      </c>
      <c r="N171" s="177">
        <v>7</v>
      </c>
      <c r="O171" s="177"/>
      <c r="P171" s="177"/>
      <c r="Q171" s="177"/>
      <c r="R171" s="177"/>
      <c r="S171" s="177"/>
      <c r="T171" s="177"/>
      <c r="V171" s="164" t="s">
        <v>110</v>
      </c>
    </row>
    <row r="172" spans="1:22" s="169" customFormat="1" ht="30" x14ac:dyDescent="0.15">
      <c r="A172" s="164" t="s">
        <v>43</v>
      </c>
      <c r="B172" s="165">
        <v>260</v>
      </c>
      <c r="C172" s="166" t="s">
        <v>44</v>
      </c>
      <c r="D172" s="166" t="s">
        <v>161</v>
      </c>
      <c r="E172" s="164" t="s">
        <v>162</v>
      </c>
      <c r="F172" s="164" t="s">
        <v>265</v>
      </c>
      <c r="G172" s="167">
        <v>44127.518750000003</v>
      </c>
      <c r="H172" s="164" t="s">
        <v>48</v>
      </c>
      <c r="I172" s="164">
        <v>10</v>
      </c>
      <c r="J172" s="168">
        <v>3.4</v>
      </c>
      <c r="K172" s="177" t="s">
        <v>638</v>
      </c>
      <c r="L172" s="177" t="s">
        <v>638</v>
      </c>
      <c r="M172" s="177">
        <v>7</v>
      </c>
      <c r="N172" s="177">
        <v>7</v>
      </c>
      <c r="O172" s="177"/>
      <c r="P172" s="177"/>
      <c r="Q172" s="177"/>
      <c r="R172" s="177"/>
      <c r="S172" s="177"/>
      <c r="T172" s="177"/>
      <c r="V172" s="164" t="s">
        <v>110</v>
      </c>
    </row>
    <row r="173" spans="1:22" s="169" customFormat="1" ht="15" x14ac:dyDescent="0.15">
      <c r="A173" s="164" t="s">
        <v>43</v>
      </c>
      <c r="B173" s="165">
        <v>260</v>
      </c>
      <c r="C173" s="166" t="s">
        <v>44</v>
      </c>
      <c r="D173" s="166" t="s">
        <v>161</v>
      </c>
      <c r="E173" s="164" t="s">
        <v>162</v>
      </c>
      <c r="F173" s="164" t="s">
        <v>266</v>
      </c>
      <c r="G173" s="167">
        <v>44127.518750000003</v>
      </c>
      <c r="H173" s="164" t="s">
        <v>48</v>
      </c>
      <c r="I173" s="164">
        <v>10</v>
      </c>
      <c r="J173" s="168">
        <v>3.4</v>
      </c>
      <c r="K173" s="177" t="s">
        <v>108</v>
      </c>
      <c r="L173" s="177" t="s">
        <v>108</v>
      </c>
      <c r="M173" s="177">
        <v>7</v>
      </c>
      <c r="N173" s="177">
        <v>7</v>
      </c>
      <c r="O173" s="177"/>
      <c r="P173" s="177"/>
      <c r="Q173" s="177"/>
      <c r="R173" s="177"/>
      <c r="S173" s="177"/>
      <c r="T173" s="177"/>
      <c r="V173" s="164" t="s">
        <v>59</v>
      </c>
    </row>
    <row r="174" spans="1:22" s="169" customFormat="1" ht="15" x14ac:dyDescent="0.15">
      <c r="A174" s="164" t="s">
        <v>43</v>
      </c>
      <c r="B174" s="165">
        <v>260</v>
      </c>
      <c r="C174" s="166" t="s">
        <v>44</v>
      </c>
      <c r="D174" s="166" t="s">
        <v>161</v>
      </c>
      <c r="E174" s="164" t="s">
        <v>162</v>
      </c>
      <c r="F174" s="164" t="s">
        <v>267</v>
      </c>
      <c r="G174" s="167">
        <v>44127.518750000003</v>
      </c>
      <c r="H174" s="164" t="s">
        <v>48</v>
      </c>
      <c r="I174" s="164">
        <v>10</v>
      </c>
      <c r="J174" s="168">
        <v>3.4</v>
      </c>
      <c r="K174" s="177" t="s">
        <v>638</v>
      </c>
      <c r="L174" s="177" t="s">
        <v>638</v>
      </c>
      <c r="M174" s="177">
        <v>7</v>
      </c>
      <c r="N174" s="177">
        <v>7</v>
      </c>
      <c r="O174" s="177"/>
      <c r="P174" s="177"/>
      <c r="Q174" s="177"/>
      <c r="R174" s="177"/>
      <c r="S174" s="177"/>
      <c r="T174" s="177"/>
      <c r="V174" s="164" t="s">
        <v>59</v>
      </c>
    </row>
    <row r="175" spans="1:22" s="169" customFormat="1" ht="15" x14ac:dyDescent="0.15">
      <c r="A175" s="164" t="s">
        <v>43</v>
      </c>
      <c r="B175" s="165">
        <v>260</v>
      </c>
      <c r="C175" s="166" t="s">
        <v>44</v>
      </c>
      <c r="D175" s="166" t="s">
        <v>161</v>
      </c>
      <c r="E175" s="164" t="s">
        <v>179</v>
      </c>
      <c r="F175" s="164" t="s">
        <v>268</v>
      </c>
      <c r="G175" s="167">
        <v>44129.632638888892</v>
      </c>
      <c r="H175" s="164" t="s">
        <v>48</v>
      </c>
      <c r="I175" s="164">
        <v>10</v>
      </c>
      <c r="J175" s="168">
        <v>3.4</v>
      </c>
      <c r="K175" s="177" t="s">
        <v>108</v>
      </c>
      <c r="L175" s="177" t="s">
        <v>108</v>
      </c>
      <c r="M175" s="177">
        <v>7</v>
      </c>
      <c r="N175" s="177">
        <v>7</v>
      </c>
      <c r="O175" s="177"/>
      <c r="P175" s="177"/>
      <c r="Q175" s="177"/>
      <c r="R175" s="177"/>
      <c r="S175" s="177"/>
      <c r="T175" s="177"/>
      <c r="V175" s="164" t="s">
        <v>59</v>
      </c>
    </row>
    <row r="176" spans="1:22" s="169" customFormat="1" ht="30" x14ac:dyDescent="0.15">
      <c r="A176" s="164" t="s">
        <v>43</v>
      </c>
      <c r="B176" s="165">
        <v>260</v>
      </c>
      <c r="C176" s="166" t="s">
        <v>44</v>
      </c>
      <c r="D176" s="166" t="s">
        <v>161</v>
      </c>
      <c r="E176" s="164" t="s">
        <v>179</v>
      </c>
      <c r="F176" s="164" t="s">
        <v>269</v>
      </c>
      <c r="G176" s="167">
        <v>44129.632638888892</v>
      </c>
      <c r="H176" s="164" t="s">
        <v>48</v>
      </c>
      <c r="I176" s="164">
        <v>10</v>
      </c>
      <c r="J176" s="168">
        <v>3.4</v>
      </c>
      <c r="K176" s="177" t="s">
        <v>108</v>
      </c>
      <c r="L176" s="177" t="s">
        <v>108</v>
      </c>
      <c r="M176" s="177">
        <v>7</v>
      </c>
      <c r="N176" s="177">
        <v>7</v>
      </c>
      <c r="O176" s="177"/>
      <c r="P176" s="177"/>
      <c r="Q176" s="177"/>
      <c r="R176" s="177"/>
      <c r="S176" s="177"/>
      <c r="T176" s="177"/>
      <c r="V176" s="164" t="s">
        <v>59</v>
      </c>
    </row>
    <row r="177" spans="1:22" s="169" customFormat="1" ht="15" x14ac:dyDescent="0.15">
      <c r="A177" s="164" t="s">
        <v>43</v>
      </c>
      <c r="B177" s="165">
        <v>260</v>
      </c>
      <c r="C177" s="166" t="s">
        <v>44</v>
      </c>
      <c r="D177" s="166" t="s">
        <v>161</v>
      </c>
      <c r="E177" s="164" t="s">
        <v>162</v>
      </c>
      <c r="F177" s="164" t="s">
        <v>270</v>
      </c>
      <c r="G177" s="167">
        <v>44130.375</v>
      </c>
      <c r="H177" s="164" t="s">
        <v>48</v>
      </c>
      <c r="I177" s="164">
        <v>10</v>
      </c>
      <c r="J177" s="168">
        <v>3.4</v>
      </c>
      <c r="K177" s="202" t="s">
        <v>108</v>
      </c>
      <c r="L177" s="202" t="s">
        <v>108</v>
      </c>
      <c r="M177" s="202">
        <v>7</v>
      </c>
      <c r="N177" s="202">
        <v>7</v>
      </c>
      <c r="O177" s="202"/>
      <c r="P177" s="202"/>
      <c r="Q177" s="202"/>
      <c r="R177" s="202"/>
      <c r="S177" s="202"/>
      <c r="T177" s="202"/>
      <c r="V177" s="164" t="s">
        <v>59</v>
      </c>
    </row>
    <row r="178" spans="1:22" s="208" customFormat="1" ht="15" x14ac:dyDescent="0.15">
      <c r="A178" s="203" t="s">
        <v>43</v>
      </c>
      <c r="B178" s="204">
        <v>260</v>
      </c>
      <c r="C178" s="205" t="s">
        <v>44</v>
      </c>
      <c r="D178" s="205" t="s">
        <v>271</v>
      </c>
      <c r="E178" s="203" t="s">
        <v>272</v>
      </c>
      <c r="F178" s="203" t="s">
        <v>273</v>
      </c>
      <c r="G178" s="206">
        <v>44127.462500000001</v>
      </c>
      <c r="H178" s="203" t="s">
        <v>48</v>
      </c>
      <c r="I178" s="203">
        <v>10</v>
      </c>
      <c r="J178" s="207">
        <v>3.5</v>
      </c>
      <c r="K178" s="201" t="s">
        <v>636</v>
      </c>
      <c r="L178" s="179"/>
      <c r="M178" s="179">
        <v>1</v>
      </c>
      <c r="N178" s="179"/>
      <c r="O178" s="179"/>
      <c r="P178" s="179"/>
      <c r="Q178" s="179"/>
      <c r="R178" s="179"/>
      <c r="S178" s="179"/>
      <c r="T178" s="179"/>
      <c r="V178" s="203" t="s">
        <v>132</v>
      </c>
    </row>
    <row r="179" spans="1:22" s="208" customFormat="1" ht="30" x14ac:dyDescent="0.15">
      <c r="A179" s="203" t="s">
        <v>43</v>
      </c>
      <c r="B179" s="204">
        <v>260</v>
      </c>
      <c r="C179" s="205" t="s">
        <v>44</v>
      </c>
      <c r="D179" s="205" t="s">
        <v>271</v>
      </c>
      <c r="E179" s="203" t="s">
        <v>272</v>
      </c>
      <c r="F179" s="203" t="s">
        <v>274</v>
      </c>
      <c r="G179" s="206">
        <v>44127.462500000001</v>
      </c>
      <c r="H179" s="203" t="s">
        <v>48</v>
      </c>
      <c r="I179" s="203">
        <v>10</v>
      </c>
      <c r="J179" s="207">
        <v>3.5</v>
      </c>
      <c r="K179" s="209" t="s">
        <v>632</v>
      </c>
      <c r="M179" s="208">
        <v>1</v>
      </c>
      <c r="V179" s="203" t="s">
        <v>54</v>
      </c>
    </row>
    <row r="180" spans="1:22" s="208" customFormat="1" ht="45" x14ac:dyDescent="0.15">
      <c r="A180" s="203" t="s">
        <v>43</v>
      </c>
      <c r="B180" s="204">
        <v>260</v>
      </c>
      <c r="C180" s="205" t="s">
        <v>44</v>
      </c>
      <c r="D180" s="205" t="s">
        <v>271</v>
      </c>
      <c r="E180" s="203" t="s">
        <v>272</v>
      </c>
      <c r="F180" s="203" t="s">
        <v>275</v>
      </c>
      <c r="G180" s="206">
        <v>44127.462500000001</v>
      </c>
      <c r="H180" s="203" t="s">
        <v>48</v>
      </c>
      <c r="I180" s="203">
        <v>10</v>
      </c>
      <c r="J180" s="207">
        <v>3.5</v>
      </c>
      <c r="K180" s="209" t="s">
        <v>632</v>
      </c>
      <c r="M180" s="208">
        <v>1</v>
      </c>
      <c r="V180" s="203" t="s">
        <v>54</v>
      </c>
    </row>
    <row r="181" spans="1:22" s="208" customFormat="1" ht="15" x14ac:dyDescent="0.15">
      <c r="A181" s="203" t="s">
        <v>43</v>
      </c>
      <c r="B181" s="204">
        <v>260</v>
      </c>
      <c r="C181" s="205" t="s">
        <v>44</v>
      </c>
      <c r="D181" s="205" t="s">
        <v>271</v>
      </c>
      <c r="E181" s="203" t="s">
        <v>272</v>
      </c>
      <c r="F181" s="203" t="s">
        <v>276</v>
      </c>
      <c r="G181" s="206">
        <v>44127.462500000001</v>
      </c>
      <c r="H181" s="203" t="s">
        <v>48</v>
      </c>
      <c r="I181" s="203">
        <v>10</v>
      </c>
      <c r="J181" s="207">
        <v>3.5</v>
      </c>
      <c r="K181" s="209" t="s">
        <v>632</v>
      </c>
      <c r="M181" s="208">
        <v>1</v>
      </c>
      <c r="V181" s="203" t="s">
        <v>54</v>
      </c>
    </row>
    <row r="182" spans="1:22" s="208" customFormat="1" ht="30" x14ac:dyDescent="0.15">
      <c r="A182" s="203" t="s">
        <v>43</v>
      </c>
      <c r="B182" s="204">
        <v>260</v>
      </c>
      <c r="C182" s="205" t="s">
        <v>44</v>
      </c>
      <c r="D182" s="205" t="s">
        <v>271</v>
      </c>
      <c r="E182" s="203" t="s">
        <v>277</v>
      </c>
      <c r="F182" s="203" t="s">
        <v>278</v>
      </c>
      <c r="G182" s="206">
        <v>44138.734722222223</v>
      </c>
      <c r="H182" s="203" t="s">
        <v>48</v>
      </c>
      <c r="I182" s="203">
        <v>10</v>
      </c>
      <c r="J182" s="207">
        <v>3.5</v>
      </c>
      <c r="K182" s="209" t="s">
        <v>632</v>
      </c>
      <c r="M182" s="208">
        <v>1</v>
      </c>
      <c r="V182" s="203" t="s">
        <v>54</v>
      </c>
    </row>
    <row r="183" spans="1:22" s="208" customFormat="1" ht="60" x14ac:dyDescent="0.15">
      <c r="A183" s="203" t="s">
        <v>43</v>
      </c>
      <c r="B183" s="204">
        <v>260</v>
      </c>
      <c r="C183" s="205" t="s">
        <v>44</v>
      </c>
      <c r="D183" s="205" t="s">
        <v>271</v>
      </c>
      <c r="E183" s="203" t="s">
        <v>277</v>
      </c>
      <c r="F183" s="203" t="s">
        <v>279</v>
      </c>
      <c r="G183" s="206">
        <v>44138.734722222223</v>
      </c>
      <c r="H183" s="203" t="s">
        <v>48</v>
      </c>
      <c r="I183" s="203">
        <v>10</v>
      </c>
      <c r="J183" s="207">
        <v>3.5</v>
      </c>
      <c r="K183" s="209" t="s">
        <v>632</v>
      </c>
      <c r="M183" s="208">
        <v>1</v>
      </c>
      <c r="V183" s="203" t="s">
        <v>54</v>
      </c>
    </row>
    <row r="184" spans="1:22" s="208" customFormat="1" ht="15" x14ac:dyDescent="0.15">
      <c r="A184" s="203" t="s">
        <v>43</v>
      </c>
      <c r="B184" s="204">
        <v>260</v>
      </c>
      <c r="C184" s="205" t="s">
        <v>44</v>
      </c>
      <c r="D184" s="205" t="s">
        <v>271</v>
      </c>
      <c r="E184" s="203" t="s">
        <v>277</v>
      </c>
      <c r="F184" s="203" t="s">
        <v>280</v>
      </c>
      <c r="G184" s="206">
        <v>44138.734722222223</v>
      </c>
      <c r="H184" s="203" t="s">
        <v>48</v>
      </c>
      <c r="I184" s="203">
        <v>10</v>
      </c>
      <c r="J184" s="207">
        <v>3.5</v>
      </c>
      <c r="K184" s="209" t="s">
        <v>632</v>
      </c>
      <c r="M184" s="208">
        <v>1</v>
      </c>
      <c r="V184" s="203" t="s">
        <v>92</v>
      </c>
    </row>
    <row r="185" spans="1:22" s="208" customFormat="1" ht="45" x14ac:dyDescent="0.15">
      <c r="A185" s="203" t="s">
        <v>43</v>
      </c>
      <c r="B185" s="204">
        <v>260</v>
      </c>
      <c r="C185" s="205" t="s">
        <v>44</v>
      </c>
      <c r="D185" s="205" t="s">
        <v>271</v>
      </c>
      <c r="E185" s="203" t="s">
        <v>277</v>
      </c>
      <c r="F185" s="203" t="s">
        <v>281</v>
      </c>
      <c r="G185" s="206">
        <v>44138.734722222223</v>
      </c>
      <c r="H185" s="203" t="s">
        <v>48</v>
      </c>
      <c r="I185" s="203">
        <v>10</v>
      </c>
      <c r="J185" s="207">
        <v>3.5</v>
      </c>
      <c r="K185" s="209" t="s">
        <v>632</v>
      </c>
      <c r="M185" s="208">
        <v>1</v>
      </c>
      <c r="V185" s="203" t="s">
        <v>54</v>
      </c>
    </row>
    <row r="186" spans="1:22" s="208" customFormat="1" ht="15" x14ac:dyDescent="0.15">
      <c r="A186" s="203" t="s">
        <v>43</v>
      </c>
      <c r="B186" s="204">
        <v>260</v>
      </c>
      <c r="C186" s="205" t="s">
        <v>44</v>
      </c>
      <c r="D186" s="205" t="s">
        <v>271</v>
      </c>
      <c r="E186" s="203" t="s">
        <v>277</v>
      </c>
      <c r="F186" s="203" t="s">
        <v>282</v>
      </c>
      <c r="G186" s="206">
        <v>44138.734722222223</v>
      </c>
      <c r="H186" s="203" t="s">
        <v>48</v>
      </c>
      <c r="I186" s="203">
        <v>10</v>
      </c>
      <c r="J186" s="207">
        <v>3.5</v>
      </c>
      <c r="K186" s="209" t="s">
        <v>632</v>
      </c>
      <c r="M186" s="208">
        <v>1</v>
      </c>
      <c r="V186" s="203" t="s">
        <v>78</v>
      </c>
    </row>
    <row r="187" spans="1:22" s="208" customFormat="1" ht="15" x14ac:dyDescent="0.15">
      <c r="A187" s="203" t="s">
        <v>43</v>
      </c>
      <c r="B187" s="204">
        <v>260</v>
      </c>
      <c r="C187" s="205" t="s">
        <v>44</v>
      </c>
      <c r="D187" s="205" t="s">
        <v>271</v>
      </c>
      <c r="E187" s="203" t="s">
        <v>277</v>
      </c>
      <c r="F187" s="203" t="s">
        <v>283</v>
      </c>
      <c r="G187" s="206">
        <v>44138.738194444442</v>
      </c>
      <c r="H187" s="203" t="s">
        <v>48</v>
      </c>
      <c r="I187" s="203">
        <v>10</v>
      </c>
      <c r="J187" s="207">
        <v>3.5</v>
      </c>
      <c r="K187" s="209" t="s">
        <v>632</v>
      </c>
      <c r="M187" s="208">
        <v>1</v>
      </c>
      <c r="O187" s="209" t="s">
        <v>58</v>
      </c>
      <c r="V187" s="203" t="s">
        <v>63</v>
      </c>
    </row>
    <row r="188" spans="1:22" s="208" customFormat="1" ht="30" x14ac:dyDescent="0.15">
      <c r="A188" s="203" t="s">
        <v>43</v>
      </c>
      <c r="B188" s="204">
        <v>260</v>
      </c>
      <c r="C188" s="205" t="s">
        <v>44</v>
      </c>
      <c r="D188" s="205" t="s">
        <v>271</v>
      </c>
      <c r="E188" s="203" t="s">
        <v>277</v>
      </c>
      <c r="F188" s="203" t="s">
        <v>284</v>
      </c>
      <c r="G188" s="206">
        <v>44138.738194444442</v>
      </c>
      <c r="H188" s="203" t="s">
        <v>48</v>
      </c>
      <c r="I188" s="203">
        <v>10</v>
      </c>
      <c r="J188" s="207">
        <v>3.5</v>
      </c>
      <c r="K188" s="209" t="s">
        <v>632</v>
      </c>
      <c r="M188" s="208">
        <v>1</v>
      </c>
      <c r="V188" s="203" t="s">
        <v>54</v>
      </c>
    </row>
    <row r="189" spans="1:22" s="208" customFormat="1" ht="45" x14ac:dyDescent="0.15">
      <c r="A189" s="203" t="s">
        <v>43</v>
      </c>
      <c r="B189" s="204">
        <v>260</v>
      </c>
      <c r="C189" s="205" t="s">
        <v>44</v>
      </c>
      <c r="D189" s="205" t="s">
        <v>271</v>
      </c>
      <c r="E189" s="203" t="s">
        <v>277</v>
      </c>
      <c r="F189" s="203" t="s">
        <v>285</v>
      </c>
      <c r="G189" s="206">
        <v>44138.738194444442</v>
      </c>
      <c r="H189" s="203" t="s">
        <v>48</v>
      </c>
      <c r="I189" s="203">
        <v>10</v>
      </c>
      <c r="J189" s="207">
        <v>3.5</v>
      </c>
      <c r="K189" s="209" t="s">
        <v>632</v>
      </c>
      <c r="M189" s="208">
        <v>1</v>
      </c>
      <c r="V189" s="203" t="s">
        <v>54</v>
      </c>
    </row>
    <row r="190" spans="1:22" s="208" customFormat="1" ht="45" x14ac:dyDescent="0.15">
      <c r="A190" s="203" t="s">
        <v>43</v>
      </c>
      <c r="B190" s="204">
        <v>260</v>
      </c>
      <c r="C190" s="205" t="s">
        <v>44</v>
      </c>
      <c r="D190" s="205" t="s">
        <v>271</v>
      </c>
      <c r="E190" s="203" t="s">
        <v>277</v>
      </c>
      <c r="F190" s="203" t="s">
        <v>286</v>
      </c>
      <c r="G190" s="206">
        <v>44138.738194444442</v>
      </c>
      <c r="H190" s="203" t="s">
        <v>48</v>
      </c>
      <c r="I190" s="203">
        <v>10</v>
      </c>
      <c r="J190" s="207">
        <v>3.5</v>
      </c>
      <c r="K190" s="209" t="s">
        <v>632</v>
      </c>
      <c r="M190" s="208">
        <v>1</v>
      </c>
      <c r="V190" s="203" t="s">
        <v>54</v>
      </c>
    </row>
    <row r="191" spans="1:22" s="208" customFormat="1" ht="15" x14ac:dyDescent="0.15">
      <c r="A191" s="203" t="s">
        <v>43</v>
      </c>
      <c r="B191" s="204">
        <v>260</v>
      </c>
      <c r="C191" s="205" t="s">
        <v>44</v>
      </c>
      <c r="D191" s="205" t="s">
        <v>271</v>
      </c>
      <c r="E191" s="203" t="s">
        <v>277</v>
      </c>
      <c r="F191" s="203" t="s">
        <v>287</v>
      </c>
      <c r="G191" s="206">
        <v>44138.738194444442</v>
      </c>
      <c r="H191" s="203" t="s">
        <v>48</v>
      </c>
      <c r="I191" s="203">
        <v>10</v>
      </c>
      <c r="J191" s="207">
        <v>3.5</v>
      </c>
      <c r="M191" s="208">
        <v>1</v>
      </c>
      <c r="O191" s="209" t="s">
        <v>58</v>
      </c>
      <c r="V191" s="203" t="s">
        <v>63</v>
      </c>
    </row>
    <row r="192" spans="1:22" s="208" customFormat="1" ht="15" x14ac:dyDescent="0.15">
      <c r="A192" s="203" t="s">
        <v>43</v>
      </c>
      <c r="B192" s="204">
        <v>260</v>
      </c>
      <c r="C192" s="205" t="s">
        <v>44</v>
      </c>
      <c r="D192" s="205" t="s">
        <v>271</v>
      </c>
      <c r="E192" s="203" t="s">
        <v>277</v>
      </c>
      <c r="F192" s="203" t="s">
        <v>288</v>
      </c>
      <c r="G192" s="206">
        <v>44138.738194444442</v>
      </c>
      <c r="H192" s="203" t="s">
        <v>48</v>
      </c>
      <c r="I192" s="203">
        <v>10</v>
      </c>
      <c r="J192" s="207">
        <v>3.5</v>
      </c>
      <c r="K192" s="209" t="s">
        <v>632</v>
      </c>
      <c r="M192" s="208">
        <v>1</v>
      </c>
      <c r="V192" s="203" t="s">
        <v>92</v>
      </c>
    </row>
    <row r="193" spans="1:22" s="208" customFormat="1" ht="15" x14ac:dyDescent="0.15">
      <c r="A193" s="203" t="s">
        <v>43</v>
      </c>
      <c r="B193" s="204">
        <v>260</v>
      </c>
      <c r="C193" s="205" t="s">
        <v>44</v>
      </c>
      <c r="D193" s="205" t="s">
        <v>271</v>
      </c>
      <c r="E193" s="203" t="s">
        <v>272</v>
      </c>
      <c r="F193" s="203" t="s">
        <v>289</v>
      </c>
      <c r="G193" s="206">
        <v>44140.393750000003</v>
      </c>
      <c r="H193" s="203" t="s">
        <v>48</v>
      </c>
      <c r="I193" s="203">
        <v>9</v>
      </c>
      <c r="J193" s="207">
        <v>3.5</v>
      </c>
      <c r="K193" s="209" t="s">
        <v>636</v>
      </c>
      <c r="M193" s="208">
        <v>1</v>
      </c>
      <c r="V193" s="203" t="s">
        <v>50</v>
      </c>
    </row>
    <row r="194" spans="1:22" s="208" customFormat="1" ht="45" x14ac:dyDescent="0.15">
      <c r="A194" s="203" t="s">
        <v>43</v>
      </c>
      <c r="B194" s="204">
        <v>260</v>
      </c>
      <c r="C194" s="205" t="s">
        <v>44</v>
      </c>
      <c r="D194" s="205" t="s">
        <v>271</v>
      </c>
      <c r="E194" s="203" t="s">
        <v>272</v>
      </c>
      <c r="F194" s="203" t="s">
        <v>290</v>
      </c>
      <c r="G194" s="206">
        <v>44140.393750000003</v>
      </c>
      <c r="H194" s="203" t="s">
        <v>48</v>
      </c>
      <c r="I194" s="203">
        <v>9</v>
      </c>
      <c r="J194" s="207">
        <v>3.5</v>
      </c>
      <c r="K194" s="209" t="s">
        <v>632</v>
      </c>
      <c r="M194" s="208">
        <v>1</v>
      </c>
      <c r="V194" s="203" t="s">
        <v>54</v>
      </c>
    </row>
    <row r="195" spans="1:22" s="208" customFormat="1" ht="60" x14ac:dyDescent="0.15">
      <c r="A195" s="203" t="s">
        <v>43</v>
      </c>
      <c r="B195" s="204">
        <v>260</v>
      </c>
      <c r="C195" s="205" t="s">
        <v>44</v>
      </c>
      <c r="D195" s="205" t="s">
        <v>271</v>
      </c>
      <c r="E195" s="203" t="s">
        <v>272</v>
      </c>
      <c r="F195" s="203" t="s">
        <v>291</v>
      </c>
      <c r="G195" s="206">
        <v>44140.393750000003</v>
      </c>
      <c r="H195" s="203" t="s">
        <v>48</v>
      </c>
      <c r="I195" s="203">
        <v>9</v>
      </c>
      <c r="J195" s="207">
        <v>3.5</v>
      </c>
      <c r="K195" s="209" t="s">
        <v>632</v>
      </c>
      <c r="M195" s="208">
        <v>1</v>
      </c>
      <c r="V195" s="203" t="s">
        <v>54</v>
      </c>
    </row>
  </sheetData>
  <phoneticPr fontId="9" type="noConversion"/>
  <hyperlinks>
    <hyperlink ref="J2" location="'F20 Collaborative Writing'!B2" display="'F20 Collaborative Writing'!B2" xr:uid="{827C3D6C-44DE-48B0-81D3-1625BE09A18F}"/>
    <hyperlink ref="J3:J10" location="'F20 Collaborative Writing'!B2" display="'F20 Collaborative Writing'!B2" xr:uid="{69FDFD4E-2635-4227-BED9-B72C42B1EA52}"/>
    <hyperlink ref="J11" location="'F20 Collaborative Writing'!B3" display="'F20 Collaborative Writing'!B3" xr:uid="{8F1ECF48-EC85-4C97-9D4C-D585A1D76DAE}"/>
    <hyperlink ref="J12:J73" location="'F20 Collaborative Writing'!B3" display="'F20 Collaborative Writing'!B3" xr:uid="{C2DA6EFD-3083-4237-8DD2-ECDCA17B714E}"/>
    <hyperlink ref="J74" location="'F20 Collaborative Writing'!B4" display="'F20 Collaborative Writing'!B4" xr:uid="{0FD7BB19-1A07-40A5-BA16-570AD88ECF70}"/>
    <hyperlink ref="J75:J79" location="'F20 Collaborative Writing'!B4" display="'F20 Collaborative Writing'!B4" xr:uid="{735E9742-7961-42E0-A82A-914F2532F388}"/>
    <hyperlink ref="J80" location="'F20 Collaborative Writing'!B5" display="'F20 Collaborative Writing'!B5" xr:uid="{83668436-EB4F-418D-9D6C-D774D7127AF3}"/>
    <hyperlink ref="J81:J177" location="'F20 Collaborative Writing'!B5" display="'F20 Collaborative Writing'!B5" xr:uid="{B44128BE-DE86-45F3-815A-78B7B36FED51}"/>
    <hyperlink ref="J178" location="'F20 Collaborative Writing'!B6" display="'F20 Collaborative Writing'!B6" xr:uid="{25127FE9-3B17-49A2-A571-2F75A206EF7C}"/>
    <hyperlink ref="J179:J195" location="'F20 Collaborative Writing'!B6" display="'F20 Collaborative Writing'!B6" xr:uid="{EB16A701-1E3A-4D57-BEB9-29C26867CAD2}"/>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outlinePr summaryBelow="0" summaryRight="0"/>
  </sheetPr>
  <dimension ref="A1:F980"/>
  <sheetViews>
    <sheetView zoomScaleNormal="100" workbookViewId="0">
      <selection activeCell="F2" sqref="F2:F6"/>
    </sheetView>
  </sheetViews>
  <sheetFormatPr baseColWidth="10" defaultColWidth="14.5" defaultRowHeight="15.75" customHeight="1" x14ac:dyDescent="0.15"/>
  <cols>
    <col min="1" max="1" width="17" style="2" customWidth="1"/>
    <col min="2" max="2" width="100.5" style="2" customWidth="1"/>
    <col min="3" max="5" width="10.5" style="2" customWidth="1"/>
    <col min="6" max="6" width="8.1640625" style="2" customWidth="1"/>
    <col min="7" max="16384" width="14.5" style="2"/>
  </cols>
  <sheetData>
    <row r="1" spans="1:6" ht="13" x14ac:dyDescent="0.15">
      <c r="A1" s="1" t="s">
        <v>30</v>
      </c>
      <c r="B1" s="2" t="s">
        <v>640</v>
      </c>
      <c r="C1" s="77" t="s">
        <v>641</v>
      </c>
      <c r="D1" s="77" t="s">
        <v>642</v>
      </c>
      <c r="E1" s="77" t="s">
        <v>643</v>
      </c>
      <c r="F1" s="1" t="s">
        <v>644</v>
      </c>
    </row>
    <row r="2" spans="1:6" ht="126" x14ac:dyDescent="0.15">
      <c r="A2" s="1">
        <v>3.1</v>
      </c>
      <c r="B2" s="76" t="s">
        <v>645</v>
      </c>
      <c r="C2" s="1"/>
      <c r="D2" s="1">
        <v>4</v>
      </c>
      <c r="E2" s="1">
        <v>4</v>
      </c>
      <c r="F2" s="1">
        <f t="shared" ref="F2:F6" si="0">AVERAGE(C2:E2)</f>
        <v>4</v>
      </c>
    </row>
    <row r="3" spans="1:6" ht="140" x14ac:dyDescent="0.15">
      <c r="A3" s="1">
        <v>3.2</v>
      </c>
      <c r="B3" s="3" t="s">
        <v>646</v>
      </c>
      <c r="C3" s="1"/>
      <c r="D3" s="1">
        <v>4</v>
      </c>
      <c r="E3" s="1">
        <v>4</v>
      </c>
      <c r="F3" s="1">
        <f t="shared" si="0"/>
        <v>4</v>
      </c>
    </row>
    <row r="4" spans="1:6" ht="168" x14ac:dyDescent="0.15">
      <c r="A4" s="1">
        <v>3.3</v>
      </c>
      <c r="B4" s="3" t="s">
        <v>647</v>
      </c>
      <c r="C4" s="1">
        <v>4</v>
      </c>
      <c r="D4" s="1">
        <v>4</v>
      </c>
      <c r="E4" s="1"/>
      <c r="F4" s="1">
        <f t="shared" si="0"/>
        <v>4</v>
      </c>
    </row>
    <row r="5" spans="1:6" ht="384" x14ac:dyDescent="0.15">
      <c r="A5" s="1">
        <v>3.4</v>
      </c>
      <c r="B5" s="3" t="s">
        <v>648</v>
      </c>
      <c r="C5" s="1"/>
      <c r="D5" s="1">
        <v>4</v>
      </c>
      <c r="E5" s="1">
        <v>4</v>
      </c>
      <c r="F5" s="1">
        <f t="shared" si="0"/>
        <v>4</v>
      </c>
    </row>
    <row r="6" spans="1:6" ht="126" x14ac:dyDescent="0.15">
      <c r="A6" s="1">
        <v>3.5</v>
      </c>
      <c r="B6" s="3" t="s">
        <v>649</v>
      </c>
      <c r="C6" s="1">
        <v>1</v>
      </c>
      <c r="E6" s="1">
        <v>1</v>
      </c>
      <c r="F6" s="1">
        <f t="shared" si="0"/>
        <v>1</v>
      </c>
    </row>
    <row r="7" spans="1:6" ht="13" x14ac:dyDescent="0.15">
      <c r="C7" s="1"/>
      <c r="E7" s="1"/>
    </row>
    <row r="8" spans="1:6" ht="13" x14ac:dyDescent="0.15">
      <c r="C8" s="1"/>
      <c r="E8" s="1"/>
    </row>
    <row r="9" spans="1:6" ht="13" x14ac:dyDescent="0.15">
      <c r="C9" s="1"/>
      <c r="E9" s="1"/>
    </row>
    <row r="10" spans="1:6" ht="13" x14ac:dyDescent="0.15">
      <c r="C10" s="1"/>
      <c r="E10" s="1"/>
    </row>
    <row r="11" spans="1:6" ht="13" x14ac:dyDescent="0.15">
      <c r="C11" s="1"/>
      <c r="E11" s="1"/>
    </row>
    <row r="12" spans="1:6" ht="13" x14ac:dyDescent="0.15">
      <c r="C12" s="1"/>
      <c r="E12" s="1"/>
    </row>
    <row r="13" spans="1:6" ht="13" x14ac:dyDescent="0.15">
      <c r="C13" s="1"/>
      <c r="E13" s="1"/>
    </row>
    <row r="14" spans="1:6" ht="13" x14ac:dyDescent="0.15">
      <c r="C14" s="1"/>
      <c r="E14" s="1"/>
    </row>
    <row r="15" spans="1:6" ht="13" x14ac:dyDescent="0.15">
      <c r="C15" s="1"/>
      <c r="E15" s="1"/>
    </row>
    <row r="16" spans="1:6" ht="13" x14ac:dyDescent="0.15">
      <c r="C16" s="1"/>
      <c r="E16" s="1"/>
    </row>
    <row r="17" spans="3:5" ht="13" x14ac:dyDescent="0.15">
      <c r="C17" s="1"/>
      <c r="E17" s="1"/>
    </row>
    <row r="18" spans="3:5" ht="13" x14ac:dyDescent="0.15">
      <c r="C18" s="1"/>
      <c r="E18" s="1"/>
    </row>
    <row r="19" spans="3:5" ht="13" x14ac:dyDescent="0.15">
      <c r="C19" s="1"/>
      <c r="E19" s="1"/>
    </row>
    <row r="20" spans="3:5" ht="13" x14ac:dyDescent="0.15">
      <c r="C20" s="1"/>
      <c r="E20" s="1"/>
    </row>
    <row r="21" spans="3:5" ht="13" x14ac:dyDescent="0.15">
      <c r="C21" s="1"/>
      <c r="E21" s="1"/>
    </row>
    <row r="22" spans="3:5" ht="13" x14ac:dyDescent="0.15">
      <c r="C22" s="1"/>
      <c r="E22" s="1"/>
    </row>
    <row r="23" spans="3:5" ht="13" x14ac:dyDescent="0.15">
      <c r="C23" s="1"/>
      <c r="E23" s="1"/>
    </row>
    <row r="24" spans="3:5" ht="13" x14ac:dyDescent="0.15">
      <c r="C24" s="1"/>
      <c r="E24" s="1"/>
    </row>
    <row r="25" spans="3:5" ht="13" x14ac:dyDescent="0.15">
      <c r="C25" s="1"/>
      <c r="E25" s="1"/>
    </row>
    <row r="26" spans="3:5" ht="13" x14ac:dyDescent="0.15">
      <c r="C26" s="1"/>
      <c r="E26" s="1"/>
    </row>
    <row r="27" spans="3:5" ht="13" x14ac:dyDescent="0.15">
      <c r="C27" s="1"/>
      <c r="E27" s="1"/>
    </row>
    <row r="28" spans="3:5" ht="13" x14ac:dyDescent="0.15">
      <c r="C28" s="1"/>
      <c r="E28" s="1"/>
    </row>
    <row r="29" spans="3:5" ht="13" x14ac:dyDescent="0.15">
      <c r="C29" s="1"/>
      <c r="E29" s="1"/>
    </row>
    <row r="30" spans="3:5" ht="13" x14ac:dyDescent="0.15">
      <c r="C30" s="1"/>
      <c r="E30" s="1"/>
    </row>
    <row r="31" spans="3:5" ht="13" x14ac:dyDescent="0.15">
      <c r="C31" s="1"/>
      <c r="E31" s="1"/>
    </row>
    <row r="32" spans="3:5" ht="13" x14ac:dyDescent="0.15">
      <c r="C32" s="1"/>
      <c r="E32" s="1"/>
    </row>
    <row r="33" spans="3:5" ht="13" x14ac:dyDescent="0.15">
      <c r="C33" s="1"/>
      <c r="E33" s="1"/>
    </row>
    <row r="34" spans="3:5" ht="13" x14ac:dyDescent="0.15">
      <c r="C34" s="1"/>
      <c r="E34" s="1"/>
    </row>
    <row r="35" spans="3:5" ht="13" x14ac:dyDescent="0.15">
      <c r="C35" s="1"/>
      <c r="E35" s="1"/>
    </row>
    <row r="36" spans="3:5" ht="13" x14ac:dyDescent="0.15">
      <c r="C36" s="1"/>
      <c r="E36" s="1"/>
    </row>
    <row r="37" spans="3:5" ht="13" x14ac:dyDescent="0.15">
      <c r="C37" s="1"/>
      <c r="E37" s="1"/>
    </row>
    <row r="38" spans="3:5" ht="13" x14ac:dyDescent="0.15">
      <c r="C38" s="1"/>
      <c r="E38" s="1"/>
    </row>
    <row r="39" spans="3:5" ht="13" x14ac:dyDescent="0.15">
      <c r="C39" s="1"/>
      <c r="E39" s="1"/>
    </row>
    <row r="40" spans="3:5" ht="13" x14ac:dyDescent="0.15">
      <c r="C40" s="1"/>
      <c r="E40" s="1"/>
    </row>
    <row r="41" spans="3:5" ht="13" x14ac:dyDescent="0.15">
      <c r="C41" s="1"/>
      <c r="E41" s="1"/>
    </row>
    <row r="42" spans="3:5" ht="13" x14ac:dyDescent="0.15">
      <c r="C42" s="1"/>
      <c r="E42" s="1"/>
    </row>
    <row r="43" spans="3:5" ht="13" x14ac:dyDescent="0.15">
      <c r="C43" s="1"/>
      <c r="E43" s="1"/>
    </row>
    <row r="44" spans="3:5" ht="13" x14ac:dyDescent="0.15">
      <c r="C44" s="1"/>
      <c r="E44" s="1"/>
    </row>
    <row r="45" spans="3:5" ht="13" x14ac:dyDescent="0.15">
      <c r="C45" s="1"/>
      <c r="E45" s="1"/>
    </row>
    <row r="46" spans="3:5" ht="13" x14ac:dyDescent="0.15">
      <c r="C46" s="1"/>
      <c r="E46" s="1"/>
    </row>
    <row r="47" spans="3:5" ht="13" x14ac:dyDescent="0.15">
      <c r="C47" s="1"/>
      <c r="E47" s="1"/>
    </row>
    <row r="48" spans="3:5" ht="13" x14ac:dyDescent="0.15">
      <c r="C48" s="1"/>
      <c r="E48" s="1"/>
    </row>
    <row r="49" spans="3:5" ht="13" x14ac:dyDescent="0.15">
      <c r="C49" s="1"/>
      <c r="E49" s="1"/>
    </row>
    <row r="50" spans="3:5" ht="13" x14ac:dyDescent="0.15">
      <c r="C50" s="1"/>
      <c r="E50" s="1"/>
    </row>
    <row r="51" spans="3:5" ht="13" x14ac:dyDescent="0.15">
      <c r="C51" s="1"/>
      <c r="E51" s="1"/>
    </row>
    <row r="52" spans="3:5" ht="13" x14ac:dyDescent="0.15">
      <c r="C52" s="1"/>
      <c r="E52" s="1"/>
    </row>
    <row r="53" spans="3:5" ht="13" x14ac:dyDescent="0.15">
      <c r="C53" s="1"/>
      <c r="E53" s="1"/>
    </row>
    <row r="54" spans="3:5" ht="13" x14ac:dyDescent="0.15">
      <c r="C54" s="1"/>
      <c r="E54" s="1"/>
    </row>
    <row r="55" spans="3:5" ht="13" x14ac:dyDescent="0.15">
      <c r="C55" s="1"/>
      <c r="E55" s="1"/>
    </row>
    <row r="56" spans="3:5" ht="13" x14ac:dyDescent="0.15">
      <c r="C56" s="1"/>
      <c r="E56" s="1"/>
    </row>
    <row r="57" spans="3:5" ht="13" x14ac:dyDescent="0.15">
      <c r="C57" s="1"/>
      <c r="E57" s="1"/>
    </row>
    <row r="58" spans="3:5" ht="13" x14ac:dyDescent="0.15">
      <c r="C58" s="1"/>
      <c r="E58" s="1"/>
    </row>
    <row r="59" spans="3:5" ht="13" x14ac:dyDescent="0.15">
      <c r="C59" s="1"/>
      <c r="E59" s="1"/>
    </row>
    <row r="60" spans="3:5" ht="13" x14ac:dyDescent="0.15">
      <c r="C60" s="1"/>
      <c r="E60" s="1"/>
    </row>
    <row r="61" spans="3:5" ht="13" x14ac:dyDescent="0.15">
      <c r="C61" s="1"/>
      <c r="E61" s="1"/>
    </row>
    <row r="62" spans="3:5" ht="13" x14ac:dyDescent="0.15">
      <c r="C62" s="1"/>
      <c r="E62" s="1"/>
    </row>
    <row r="63" spans="3:5" ht="13" x14ac:dyDescent="0.15">
      <c r="C63" s="1"/>
      <c r="E63" s="1"/>
    </row>
    <row r="64" spans="3:5" ht="13" x14ac:dyDescent="0.15">
      <c r="C64" s="1"/>
      <c r="E64" s="1"/>
    </row>
    <row r="65" spans="3:5" ht="13" x14ac:dyDescent="0.15">
      <c r="C65" s="1"/>
      <c r="E65" s="1"/>
    </row>
    <row r="66" spans="3:5" ht="13" x14ac:dyDescent="0.15">
      <c r="C66" s="1"/>
      <c r="E66" s="1"/>
    </row>
    <row r="67" spans="3:5" ht="13" x14ac:dyDescent="0.15">
      <c r="C67" s="1"/>
      <c r="E67" s="1"/>
    </row>
    <row r="68" spans="3:5" ht="13" x14ac:dyDescent="0.15">
      <c r="C68" s="1"/>
      <c r="E68" s="1"/>
    </row>
    <row r="69" spans="3:5" ht="13" x14ac:dyDescent="0.15">
      <c r="C69" s="1"/>
      <c r="E69" s="1"/>
    </row>
    <row r="70" spans="3:5" ht="13" x14ac:dyDescent="0.15">
      <c r="C70" s="1"/>
      <c r="E70" s="1"/>
    </row>
    <row r="71" spans="3:5" ht="13" x14ac:dyDescent="0.15">
      <c r="C71" s="1"/>
      <c r="E71" s="1"/>
    </row>
    <row r="72" spans="3:5" ht="13" x14ac:dyDescent="0.15">
      <c r="C72" s="1"/>
      <c r="E72" s="1"/>
    </row>
    <row r="73" spans="3:5" ht="13" x14ac:dyDescent="0.15">
      <c r="C73" s="1"/>
      <c r="E73" s="1"/>
    </row>
    <row r="74" spans="3:5" ht="13" x14ac:dyDescent="0.15">
      <c r="C74" s="1"/>
      <c r="E74" s="1"/>
    </row>
    <row r="75" spans="3:5" ht="13" x14ac:dyDescent="0.15">
      <c r="C75" s="1"/>
      <c r="E75" s="1"/>
    </row>
    <row r="76" spans="3:5" ht="13" x14ac:dyDescent="0.15">
      <c r="C76" s="1"/>
      <c r="E76" s="1"/>
    </row>
    <row r="77" spans="3:5" ht="13" x14ac:dyDescent="0.15">
      <c r="C77" s="1"/>
      <c r="E77" s="1"/>
    </row>
    <row r="78" spans="3:5" ht="13" x14ac:dyDescent="0.15">
      <c r="C78" s="1"/>
      <c r="E78" s="1"/>
    </row>
    <row r="79" spans="3:5" ht="13" x14ac:dyDescent="0.15">
      <c r="C79" s="1"/>
      <c r="E79" s="1"/>
    </row>
    <row r="80" spans="3:5" ht="13" x14ac:dyDescent="0.15">
      <c r="C80" s="1"/>
      <c r="E80" s="1"/>
    </row>
    <row r="81" spans="3:5" ht="13" x14ac:dyDescent="0.15">
      <c r="C81" s="1"/>
      <c r="E81" s="1"/>
    </row>
    <row r="82" spans="3:5" ht="13" x14ac:dyDescent="0.15">
      <c r="C82" s="1"/>
      <c r="E82" s="1"/>
    </row>
    <row r="83" spans="3:5" ht="13" x14ac:dyDescent="0.15">
      <c r="C83" s="1"/>
      <c r="E83" s="1"/>
    </row>
    <row r="84" spans="3:5" ht="13" x14ac:dyDescent="0.15">
      <c r="C84" s="1"/>
      <c r="E84" s="1"/>
    </row>
    <row r="85" spans="3:5" ht="13" x14ac:dyDescent="0.15">
      <c r="C85" s="1"/>
      <c r="E85" s="1"/>
    </row>
    <row r="86" spans="3:5" ht="13" x14ac:dyDescent="0.15">
      <c r="C86" s="1"/>
      <c r="E86" s="1"/>
    </row>
    <row r="87" spans="3:5" ht="13" x14ac:dyDescent="0.15">
      <c r="C87" s="1"/>
      <c r="E87" s="1"/>
    </row>
    <row r="88" spans="3:5" ht="13" x14ac:dyDescent="0.15">
      <c r="C88" s="1"/>
      <c r="E88" s="1"/>
    </row>
    <row r="89" spans="3:5" ht="13" x14ac:dyDescent="0.15">
      <c r="C89" s="1"/>
      <c r="E89" s="1"/>
    </row>
    <row r="90" spans="3:5" ht="13" x14ac:dyDescent="0.15">
      <c r="C90" s="1"/>
      <c r="E90" s="1"/>
    </row>
    <row r="91" spans="3:5" ht="13" x14ac:dyDescent="0.15">
      <c r="C91" s="1"/>
      <c r="E91" s="1"/>
    </row>
    <row r="92" spans="3:5" ht="13" x14ac:dyDescent="0.15">
      <c r="C92" s="1"/>
      <c r="E92" s="1"/>
    </row>
    <row r="93" spans="3:5" ht="13" x14ac:dyDescent="0.15">
      <c r="C93" s="1"/>
      <c r="E93" s="1"/>
    </row>
    <row r="94" spans="3:5" ht="13" x14ac:dyDescent="0.15">
      <c r="C94" s="1"/>
      <c r="E94" s="1"/>
    </row>
    <row r="95" spans="3:5" ht="13" x14ac:dyDescent="0.15">
      <c r="C95" s="1"/>
      <c r="E95" s="1"/>
    </row>
    <row r="96" spans="3:5" ht="13" x14ac:dyDescent="0.15">
      <c r="C96" s="1"/>
      <c r="E96" s="1"/>
    </row>
    <row r="97" spans="3:5" ht="13" x14ac:dyDescent="0.15">
      <c r="C97" s="1"/>
      <c r="E97" s="1"/>
    </row>
    <row r="98" spans="3:5" ht="13" x14ac:dyDescent="0.15">
      <c r="C98" s="1"/>
      <c r="E98" s="1"/>
    </row>
    <row r="99" spans="3:5" ht="13" x14ac:dyDescent="0.15">
      <c r="C99" s="1"/>
      <c r="E99" s="1"/>
    </row>
    <row r="100" spans="3:5" ht="13" x14ac:dyDescent="0.15">
      <c r="C100" s="1"/>
      <c r="E100" s="1"/>
    </row>
    <row r="101" spans="3:5" ht="13" x14ac:dyDescent="0.15">
      <c r="C101" s="1"/>
      <c r="E101" s="1"/>
    </row>
    <row r="102" spans="3:5" ht="13" x14ac:dyDescent="0.15">
      <c r="C102" s="1"/>
      <c r="E102" s="1"/>
    </row>
    <row r="103" spans="3:5" ht="13" x14ac:dyDescent="0.15">
      <c r="C103" s="1"/>
      <c r="E103" s="1"/>
    </row>
    <row r="104" spans="3:5" ht="13" x14ac:dyDescent="0.15">
      <c r="C104" s="1"/>
      <c r="E104" s="1"/>
    </row>
    <row r="105" spans="3:5" ht="13" x14ac:dyDescent="0.15">
      <c r="C105" s="1"/>
      <c r="E105" s="1"/>
    </row>
    <row r="106" spans="3:5" ht="13" x14ac:dyDescent="0.15">
      <c r="C106" s="1"/>
      <c r="E106" s="1"/>
    </row>
    <row r="107" spans="3:5" ht="13" x14ac:dyDescent="0.15">
      <c r="C107" s="1"/>
      <c r="E107" s="1"/>
    </row>
    <row r="108" spans="3:5" ht="13" x14ac:dyDescent="0.15">
      <c r="C108" s="1"/>
      <c r="E108" s="1"/>
    </row>
    <row r="109" spans="3:5" ht="13" x14ac:dyDescent="0.15">
      <c r="C109" s="1"/>
      <c r="E109" s="1"/>
    </row>
    <row r="110" spans="3:5" ht="13" x14ac:dyDescent="0.15">
      <c r="C110" s="1"/>
      <c r="E110" s="1"/>
    </row>
    <row r="111" spans="3:5" ht="13" x14ac:dyDescent="0.15">
      <c r="C111" s="1"/>
      <c r="E111" s="1"/>
    </row>
    <row r="112" spans="3:5" ht="13" x14ac:dyDescent="0.15">
      <c r="C112" s="1"/>
      <c r="E112" s="1"/>
    </row>
    <row r="113" spans="3:5" ht="13" x14ac:dyDescent="0.15">
      <c r="C113" s="1"/>
      <c r="E113" s="1"/>
    </row>
    <row r="114" spans="3:5" ht="13" x14ac:dyDescent="0.15">
      <c r="C114" s="1"/>
      <c r="E114" s="1"/>
    </row>
    <row r="115" spans="3:5" ht="13" x14ac:dyDescent="0.15">
      <c r="C115" s="1"/>
      <c r="E115" s="1"/>
    </row>
    <row r="116" spans="3:5" ht="13" x14ac:dyDescent="0.15">
      <c r="C116" s="1"/>
      <c r="E116" s="1"/>
    </row>
    <row r="117" spans="3:5" ht="13" x14ac:dyDescent="0.15">
      <c r="C117" s="1"/>
      <c r="E117" s="1"/>
    </row>
    <row r="118" spans="3:5" ht="13" x14ac:dyDescent="0.15">
      <c r="C118" s="1"/>
      <c r="E118" s="1"/>
    </row>
    <row r="119" spans="3:5" ht="13" x14ac:dyDescent="0.15">
      <c r="C119" s="1"/>
      <c r="E119" s="1"/>
    </row>
    <row r="120" spans="3:5" ht="13" x14ac:dyDescent="0.15">
      <c r="C120" s="1"/>
      <c r="E120" s="1"/>
    </row>
    <row r="121" spans="3:5" ht="13" x14ac:dyDescent="0.15">
      <c r="C121" s="1"/>
      <c r="E121" s="1"/>
    </row>
    <row r="122" spans="3:5" ht="13" x14ac:dyDescent="0.15">
      <c r="C122" s="1"/>
      <c r="E122" s="1"/>
    </row>
    <row r="123" spans="3:5" ht="13" x14ac:dyDescent="0.15">
      <c r="C123" s="1"/>
      <c r="E123" s="1"/>
    </row>
    <row r="124" spans="3:5" ht="13" x14ac:dyDescent="0.15">
      <c r="C124" s="1"/>
      <c r="E124" s="1"/>
    </row>
    <row r="125" spans="3:5" ht="13" x14ac:dyDescent="0.15">
      <c r="C125" s="1"/>
      <c r="E125" s="1"/>
    </row>
    <row r="126" spans="3:5" ht="13" x14ac:dyDescent="0.15">
      <c r="C126" s="1"/>
      <c r="E126" s="1"/>
    </row>
    <row r="127" spans="3:5" ht="13" x14ac:dyDescent="0.15">
      <c r="C127" s="1"/>
      <c r="E127" s="1"/>
    </row>
    <row r="128" spans="3:5" ht="13" x14ac:dyDescent="0.15">
      <c r="C128" s="1"/>
      <c r="E128" s="1"/>
    </row>
    <row r="129" spans="3:5" ht="13" x14ac:dyDescent="0.15">
      <c r="C129" s="1"/>
      <c r="E129" s="1"/>
    </row>
    <row r="130" spans="3:5" ht="13" x14ac:dyDescent="0.15">
      <c r="C130" s="1"/>
      <c r="E130" s="1"/>
    </row>
    <row r="131" spans="3:5" ht="13" x14ac:dyDescent="0.15">
      <c r="C131" s="1"/>
      <c r="E131" s="1"/>
    </row>
    <row r="132" spans="3:5" ht="13" x14ac:dyDescent="0.15">
      <c r="C132" s="1"/>
      <c r="E132" s="1"/>
    </row>
    <row r="133" spans="3:5" ht="13" x14ac:dyDescent="0.15">
      <c r="C133" s="1"/>
      <c r="E133" s="1"/>
    </row>
    <row r="134" spans="3:5" ht="13" x14ac:dyDescent="0.15">
      <c r="C134" s="1"/>
      <c r="E134" s="1"/>
    </row>
    <row r="135" spans="3:5" ht="13" x14ac:dyDescent="0.15">
      <c r="C135" s="1"/>
      <c r="E135" s="1"/>
    </row>
    <row r="136" spans="3:5" ht="13" x14ac:dyDescent="0.15">
      <c r="C136" s="1"/>
      <c r="E136" s="1"/>
    </row>
    <row r="137" spans="3:5" ht="13" x14ac:dyDescent="0.15">
      <c r="C137" s="1"/>
      <c r="E137" s="1"/>
    </row>
    <row r="138" spans="3:5" ht="13" x14ac:dyDescent="0.15">
      <c r="C138" s="1"/>
      <c r="E138" s="1"/>
    </row>
    <row r="139" spans="3:5" ht="13" x14ac:dyDescent="0.15">
      <c r="C139" s="1"/>
      <c r="E139" s="1"/>
    </row>
    <row r="140" spans="3:5" ht="13" x14ac:dyDescent="0.15">
      <c r="C140" s="1"/>
      <c r="E140" s="1"/>
    </row>
    <row r="141" spans="3:5" ht="13" x14ac:dyDescent="0.15">
      <c r="C141" s="1"/>
      <c r="E141" s="1"/>
    </row>
    <row r="142" spans="3:5" ht="13" x14ac:dyDescent="0.15">
      <c r="C142" s="1"/>
      <c r="E142" s="1"/>
    </row>
    <row r="143" spans="3:5" ht="13" x14ac:dyDescent="0.15">
      <c r="C143" s="1"/>
      <c r="E143" s="1"/>
    </row>
    <row r="144" spans="3:5" ht="13" x14ac:dyDescent="0.15">
      <c r="C144" s="1"/>
      <c r="E144" s="1"/>
    </row>
    <row r="145" spans="3:5" ht="13" x14ac:dyDescent="0.15">
      <c r="C145" s="1"/>
      <c r="E145" s="1"/>
    </row>
    <row r="146" spans="3:5" ht="13" x14ac:dyDescent="0.15">
      <c r="C146" s="1"/>
      <c r="E146" s="1"/>
    </row>
    <row r="147" spans="3:5" ht="13" x14ac:dyDescent="0.15">
      <c r="C147" s="1"/>
      <c r="E147" s="1"/>
    </row>
    <row r="148" spans="3:5" ht="13" x14ac:dyDescent="0.15">
      <c r="C148" s="1"/>
      <c r="E148" s="1"/>
    </row>
    <row r="149" spans="3:5" ht="13" x14ac:dyDescent="0.15">
      <c r="C149" s="1"/>
      <c r="E149" s="1"/>
    </row>
    <row r="150" spans="3:5" ht="13" x14ac:dyDescent="0.15">
      <c r="C150" s="1"/>
      <c r="E150" s="1"/>
    </row>
    <row r="151" spans="3:5" ht="13" x14ac:dyDescent="0.15">
      <c r="C151" s="1"/>
      <c r="E151" s="1"/>
    </row>
    <row r="152" spans="3:5" ht="13" x14ac:dyDescent="0.15">
      <c r="C152" s="1"/>
      <c r="E152" s="1"/>
    </row>
    <row r="153" spans="3:5" ht="13" x14ac:dyDescent="0.15">
      <c r="C153" s="1"/>
      <c r="E153" s="1"/>
    </row>
    <row r="154" spans="3:5" ht="13" x14ac:dyDescent="0.15">
      <c r="C154" s="1"/>
      <c r="E154" s="1"/>
    </row>
    <row r="155" spans="3:5" ht="13" x14ac:dyDescent="0.15">
      <c r="C155" s="1"/>
      <c r="E155" s="1"/>
    </row>
    <row r="156" spans="3:5" ht="13" x14ac:dyDescent="0.15">
      <c r="C156" s="1"/>
      <c r="E156" s="1"/>
    </row>
    <row r="157" spans="3:5" ht="13" x14ac:dyDescent="0.15">
      <c r="C157" s="1"/>
      <c r="E157" s="1"/>
    </row>
    <row r="158" spans="3:5" ht="13" x14ac:dyDescent="0.15">
      <c r="C158" s="1"/>
      <c r="E158" s="1"/>
    </row>
    <row r="159" spans="3:5" ht="13" x14ac:dyDescent="0.15">
      <c r="C159" s="1"/>
      <c r="E159" s="1"/>
    </row>
    <row r="160" spans="3:5" ht="13" x14ac:dyDescent="0.15">
      <c r="C160" s="1"/>
      <c r="E160" s="1"/>
    </row>
    <row r="161" spans="3:5" ht="13" x14ac:dyDescent="0.15">
      <c r="C161" s="1"/>
      <c r="E161" s="1"/>
    </row>
    <row r="162" spans="3:5" ht="13" x14ac:dyDescent="0.15">
      <c r="C162" s="1"/>
      <c r="E162" s="1"/>
    </row>
    <row r="163" spans="3:5" ht="13" x14ac:dyDescent="0.15">
      <c r="C163" s="1"/>
      <c r="E163" s="1"/>
    </row>
    <row r="164" spans="3:5" ht="13" x14ac:dyDescent="0.15">
      <c r="C164" s="1"/>
      <c r="E164" s="1"/>
    </row>
    <row r="165" spans="3:5" ht="13" x14ac:dyDescent="0.15">
      <c r="C165" s="1"/>
      <c r="E165" s="1"/>
    </row>
    <row r="166" spans="3:5" ht="13" x14ac:dyDescent="0.15">
      <c r="C166" s="1"/>
      <c r="E166" s="1"/>
    </row>
    <row r="167" spans="3:5" ht="13" x14ac:dyDescent="0.15">
      <c r="C167" s="1"/>
      <c r="E167" s="1"/>
    </row>
    <row r="168" spans="3:5" ht="13" x14ac:dyDescent="0.15">
      <c r="C168" s="1"/>
      <c r="E168" s="1"/>
    </row>
    <row r="169" spans="3:5" ht="13" x14ac:dyDescent="0.15">
      <c r="C169" s="1"/>
      <c r="E169" s="1"/>
    </row>
    <row r="170" spans="3:5" ht="13" x14ac:dyDescent="0.15">
      <c r="C170" s="1"/>
      <c r="E170" s="1"/>
    </row>
    <row r="171" spans="3:5" ht="13" x14ac:dyDescent="0.15">
      <c r="C171" s="1"/>
      <c r="E171" s="1"/>
    </row>
    <row r="172" spans="3:5" ht="13" x14ac:dyDescent="0.15">
      <c r="C172" s="1"/>
      <c r="E172" s="1"/>
    </row>
    <row r="173" spans="3:5" ht="13" x14ac:dyDescent="0.15">
      <c r="C173" s="1"/>
      <c r="E173" s="1"/>
    </row>
    <row r="174" spans="3:5" ht="13" x14ac:dyDescent="0.15">
      <c r="C174" s="1"/>
      <c r="E174" s="1"/>
    </row>
    <row r="175" spans="3:5" ht="13" x14ac:dyDescent="0.15">
      <c r="C175" s="1"/>
      <c r="E175" s="1"/>
    </row>
    <row r="176" spans="3:5" ht="13" x14ac:dyDescent="0.15">
      <c r="C176" s="1"/>
      <c r="E176" s="1"/>
    </row>
    <row r="177" spans="3:5" ht="13" x14ac:dyDescent="0.15">
      <c r="C177" s="1"/>
      <c r="E177" s="1"/>
    </row>
    <row r="178" spans="3:5" ht="13" x14ac:dyDescent="0.15">
      <c r="C178" s="1"/>
      <c r="E178" s="1"/>
    </row>
    <row r="179" spans="3:5" ht="13" x14ac:dyDescent="0.15">
      <c r="C179" s="1"/>
      <c r="E179" s="1"/>
    </row>
    <row r="180" spans="3:5" ht="13" x14ac:dyDescent="0.15">
      <c r="C180" s="1"/>
      <c r="E180" s="1"/>
    </row>
    <row r="181" spans="3:5" ht="13" x14ac:dyDescent="0.15">
      <c r="C181" s="1"/>
      <c r="E181" s="1"/>
    </row>
    <row r="182" spans="3:5" ht="13" x14ac:dyDescent="0.15">
      <c r="C182" s="1"/>
      <c r="E182" s="1"/>
    </row>
    <row r="183" spans="3:5" ht="13" x14ac:dyDescent="0.15">
      <c r="C183" s="1"/>
      <c r="E183" s="1"/>
    </row>
    <row r="184" spans="3:5" ht="13" x14ac:dyDescent="0.15">
      <c r="C184" s="1"/>
      <c r="E184" s="1"/>
    </row>
    <row r="185" spans="3:5" ht="13" x14ac:dyDescent="0.15">
      <c r="C185" s="1"/>
      <c r="E185" s="1"/>
    </row>
    <row r="186" spans="3:5" ht="13" x14ac:dyDescent="0.15">
      <c r="C186" s="1"/>
      <c r="E186" s="1"/>
    </row>
    <row r="187" spans="3:5" ht="13" x14ac:dyDescent="0.15">
      <c r="C187" s="1"/>
      <c r="E187" s="1"/>
    </row>
    <row r="188" spans="3:5" ht="13" x14ac:dyDescent="0.15">
      <c r="C188" s="1"/>
      <c r="E188" s="1"/>
    </row>
    <row r="189" spans="3:5" ht="13" x14ac:dyDescent="0.15">
      <c r="C189" s="1"/>
      <c r="E189" s="1"/>
    </row>
    <row r="190" spans="3:5" ht="13" x14ac:dyDescent="0.15">
      <c r="C190" s="1"/>
      <c r="E190" s="1"/>
    </row>
    <row r="191" spans="3:5" ht="13" x14ac:dyDescent="0.15">
      <c r="C191" s="1"/>
      <c r="E191" s="1"/>
    </row>
    <row r="192" spans="3:5" ht="13" x14ac:dyDescent="0.15">
      <c r="C192" s="1"/>
      <c r="E192" s="1"/>
    </row>
    <row r="193" spans="3:5" ht="13" x14ac:dyDescent="0.15">
      <c r="C193" s="1"/>
      <c r="E193" s="1"/>
    </row>
    <row r="194" spans="3:5" ht="13" x14ac:dyDescent="0.15">
      <c r="C194" s="1"/>
      <c r="E194" s="1"/>
    </row>
    <row r="195" spans="3:5" ht="13" x14ac:dyDescent="0.15">
      <c r="C195" s="1"/>
      <c r="E195" s="1"/>
    </row>
    <row r="196" spans="3:5" ht="13" x14ac:dyDescent="0.15">
      <c r="C196" s="1"/>
      <c r="E196" s="1"/>
    </row>
    <row r="197" spans="3:5" ht="13" x14ac:dyDescent="0.15">
      <c r="C197" s="1"/>
      <c r="E197" s="1"/>
    </row>
    <row r="198" spans="3:5" ht="13" x14ac:dyDescent="0.15">
      <c r="C198" s="1"/>
      <c r="E198" s="1"/>
    </row>
    <row r="199" spans="3:5" ht="13" x14ac:dyDescent="0.15">
      <c r="C199" s="1"/>
      <c r="E199" s="1"/>
    </row>
    <row r="200" spans="3:5" ht="13" x14ac:dyDescent="0.15">
      <c r="C200" s="1"/>
      <c r="E200" s="1"/>
    </row>
    <row r="201" spans="3:5" ht="13" x14ac:dyDescent="0.15">
      <c r="C201" s="1"/>
      <c r="E201" s="1"/>
    </row>
    <row r="202" spans="3:5" ht="13" x14ac:dyDescent="0.15">
      <c r="C202" s="1"/>
      <c r="E202" s="1"/>
    </row>
    <row r="203" spans="3:5" ht="13" x14ac:dyDescent="0.15">
      <c r="C203" s="1"/>
      <c r="E203" s="1"/>
    </row>
    <row r="204" spans="3:5" ht="13" x14ac:dyDescent="0.15">
      <c r="C204" s="1"/>
      <c r="E204" s="1"/>
    </row>
    <row r="205" spans="3:5" ht="13" x14ac:dyDescent="0.15">
      <c r="C205" s="1"/>
      <c r="E205" s="1"/>
    </row>
    <row r="206" spans="3:5" ht="13" x14ac:dyDescent="0.15">
      <c r="C206" s="1"/>
      <c r="E206" s="1"/>
    </row>
    <row r="207" spans="3:5" ht="13" x14ac:dyDescent="0.15">
      <c r="C207" s="1"/>
      <c r="E207" s="1"/>
    </row>
    <row r="208" spans="3:5" ht="13" x14ac:dyDescent="0.15">
      <c r="C208" s="1"/>
      <c r="E208" s="1"/>
    </row>
    <row r="209" spans="3:5" ht="13" x14ac:dyDescent="0.15">
      <c r="C209" s="1"/>
      <c r="E209" s="1"/>
    </row>
    <row r="210" spans="3:5" ht="13" x14ac:dyDescent="0.15">
      <c r="C210" s="1"/>
      <c r="E210" s="1"/>
    </row>
    <row r="211" spans="3:5" ht="13" x14ac:dyDescent="0.15">
      <c r="C211" s="1"/>
      <c r="E211" s="1"/>
    </row>
    <row r="212" spans="3:5" ht="13" x14ac:dyDescent="0.15">
      <c r="C212" s="1"/>
      <c r="E212" s="1"/>
    </row>
    <row r="213" spans="3:5" ht="13" x14ac:dyDescent="0.15">
      <c r="C213" s="1"/>
      <c r="E213" s="1"/>
    </row>
    <row r="214" spans="3:5" ht="13" x14ac:dyDescent="0.15">
      <c r="C214" s="1"/>
      <c r="E214" s="1"/>
    </row>
    <row r="215" spans="3:5" ht="13" x14ac:dyDescent="0.15">
      <c r="C215" s="1"/>
      <c r="E215" s="1"/>
    </row>
    <row r="216" spans="3:5" ht="13" x14ac:dyDescent="0.15">
      <c r="C216" s="1"/>
      <c r="E216" s="1"/>
    </row>
    <row r="217" spans="3:5" ht="13" x14ac:dyDescent="0.15">
      <c r="C217" s="1"/>
      <c r="E217" s="1"/>
    </row>
    <row r="218" spans="3:5" ht="13" x14ac:dyDescent="0.15">
      <c r="C218" s="1"/>
      <c r="E218" s="1"/>
    </row>
    <row r="219" spans="3:5" ht="13" x14ac:dyDescent="0.15">
      <c r="C219" s="1"/>
      <c r="E219" s="1"/>
    </row>
    <row r="220" spans="3:5" ht="13" x14ac:dyDescent="0.15">
      <c r="C220" s="1"/>
      <c r="E220" s="1"/>
    </row>
    <row r="221" spans="3:5" ht="13" x14ac:dyDescent="0.15">
      <c r="C221" s="1"/>
      <c r="E221" s="1"/>
    </row>
    <row r="222" spans="3:5" ht="13" x14ac:dyDescent="0.15">
      <c r="C222" s="1"/>
      <c r="E222" s="1"/>
    </row>
    <row r="223" spans="3:5" ht="13" x14ac:dyDescent="0.15">
      <c r="C223" s="1"/>
      <c r="E223" s="1"/>
    </row>
    <row r="224" spans="3:5" ht="13" x14ac:dyDescent="0.15">
      <c r="C224" s="1"/>
      <c r="E224" s="1"/>
    </row>
    <row r="225" spans="3:5" ht="13" x14ac:dyDescent="0.15">
      <c r="C225" s="1"/>
      <c r="E225" s="1"/>
    </row>
    <row r="226" spans="3:5" ht="13" x14ac:dyDescent="0.15">
      <c r="C226" s="1"/>
      <c r="E226" s="1"/>
    </row>
    <row r="227" spans="3:5" ht="13" x14ac:dyDescent="0.15">
      <c r="C227" s="1"/>
      <c r="E227" s="1"/>
    </row>
    <row r="228" spans="3:5" ht="13" x14ac:dyDescent="0.15">
      <c r="C228" s="1"/>
      <c r="E228" s="1"/>
    </row>
    <row r="229" spans="3:5" ht="13" x14ac:dyDescent="0.15">
      <c r="C229" s="1"/>
      <c r="E229" s="1"/>
    </row>
    <row r="230" spans="3:5" ht="13" x14ac:dyDescent="0.15">
      <c r="C230" s="1"/>
      <c r="E230" s="1"/>
    </row>
    <row r="231" spans="3:5" ht="13" x14ac:dyDescent="0.15">
      <c r="C231" s="1"/>
      <c r="E231" s="1"/>
    </row>
    <row r="232" spans="3:5" ht="13" x14ac:dyDescent="0.15">
      <c r="C232" s="1"/>
      <c r="E232" s="1"/>
    </row>
    <row r="233" spans="3:5" ht="13" x14ac:dyDescent="0.15">
      <c r="C233" s="1"/>
      <c r="E233" s="1"/>
    </row>
    <row r="234" spans="3:5" ht="13" x14ac:dyDescent="0.15">
      <c r="C234" s="1"/>
      <c r="E234" s="1"/>
    </row>
    <row r="235" spans="3:5" ht="13" x14ac:dyDescent="0.15">
      <c r="C235" s="1"/>
      <c r="E235" s="1"/>
    </row>
    <row r="236" spans="3:5" ht="13" x14ac:dyDescent="0.15">
      <c r="C236" s="1"/>
      <c r="E236" s="1"/>
    </row>
    <row r="237" spans="3:5" ht="13" x14ac:dyDescent="0.15">
      <c r="C237" s="1"/>
      <c r="E237" s="1"/>
    </row>
    <row r="238" spans="3:5" ht="13" x14ac:dyDescent="0.15">
      <c r="C238" s="1"/>
      <c r="E238" s="1"/>
    </row>
    <row r="239" spans="3:5" ht="13" x14ac:dyDescent="0.15">
      <c r="C239" s="1"/>
      <c r="E239" s="1"/>
    </row>
    <row r="240" spans="3:5" ht="13" x14ac:dyDescent="0.15">
      <c r="C240" s="1"/>
      <c r="E240" s="1"/>
    </row>
    <row r="241" spans="3:5" ht="13" x14ac:dyDescent="0.15">
      <c r="C241" s="1"/>
      <c r="E241" s="1"/>
    </row>
    <row r="242" spans="3:5" ht="13" x14ac:dyDescent="0.15">
      <c r="C242" s="1"/>
      <c r="E242" s="1"/>
    </row>
    <row r="243" spans="3:5" ht="13" x14ac:dyDescent="0.15">
      <c r="C243" s="1"/>
      <c r="E243" s="1"/>
    </row>
    <row r="244" spans="3:5" ht="13" x14ac:dyDescent="0.15">
      <c r="C244" s="1"/>
      <c r="E244" s="1"/>
    </row>
    <row r="245" spans="3:5" ht="13" x14ac:dyDescent="0.15">
      <c r="C245" s="1"/>
      <c r="E245" s="1"/>
    </row>
    <row r="246" spans="3:5" ht="13" x14ac:dyDescent="0.15">
      <c r="C246" s="1"/>
      <c r="E246" s="1"/>
    </row>
    <row r="247" spans="3:5" ht="13" x14ac:dyDescent="0.15">
      <c r="C247" s="1"/>
      <c r="E247" s="1"/>
    </row>
    <row r="248" spans="3:5" ht="13" x14ac:dyDescent="0.15">
      <c r="C248" s="1"/>
      <c r="E248" s="1"/>
    </row>
    <row r="249" spans="3:5" ht="13" x14ac:dyDescent="0.15">
      <c r="C249" s="1"/>
      <c r="E249" s="1"/>
    </row>
    <row r="250" spans="3:5" ht="13" x14ac:dyDescent="0.15">
      <c r="C250" s="1"/>
      <c r="E250" s="1"/>
    </row>
    <row r="251" spans="3:5" ht="13" x14ac:dyDescent="0.15">
      <c r="C251" s="1"/>
      <c r="E251" s="1"/>
    </row>
    <row r="252" spans="3:5" ht="13" x14ac:dyDescent="0.15">
      <c r="C252" s="1"/>
      <c r="E252" s="1"/>
    </row>
    <row r="253" spans="3:5" ht="13" x14ac:dyDescent="0.15">
      <c r="C253" s="1"/>
      <c r="E253" s="1"/>
    </row>
    <row r="254" spans="3:5" ht="13" x14ac:dyDescent="0.15">
      <c r="C254" s="1"/>
      <c r="E254" s="1"/>
    </row>
    <row r="255" spans="3:5" ht="13" x14ac:dyDescent="0.15">
      <c r="C255" s="1"/>
      <c r="E255" s="1"/>
    </row>
    <row r="256" spans="3:5" ht="13" x14ac:dyDescent="0.15">
      <c r="C256" s="1"/>
      <c r="E256" s="1"/>
    </row>
    <row r="257" spans="3:5" ht="13" x14ac:dyDescent="0.15">
      <c r="C257" s="1"/>
      <c r="E257" s="1"/>
    </row>
    <row r="258" spans="3:5" ht="13" x14ac:dyDescent="0.15">
      <c r="C258" s="1"/>
      <c r="E258" s="1"/>
    </row>
    <row r="259" spans="3:5" ht="13" x14ac:dyDescent="0.15">
      <c r="C259" s="1"/>
      <c r="E259" s="1"/>
    </row>
    <row r="260" spans="3:5" ht="13" x14ac:dyDescent="0.15">
      <c r="C260" s="1"/>
      <c r="E260" s="1"/>
    </row>
    <row r="261" spans="3:5" ht="13" x14ac:dyDescent="0.15">
      <c r="C261" s="1"/>
      <c r="E261" s="1"/>
    </row>
    <row r="262" spans="3:5" ht="13" x14ac:dyDescent="0.15">
      <c r="C262" s="1"/>
      <c r="E262" s="1"/>
    </row>
    <row r="263" spans="3:5" ht="13" x14ac:dyDescent="0.15">
      <c r="C263" s="1"/>
      <c r="E263" s="1"/>
    </row>
    <row r="264" spans="3:5" ht="13" x14ac:dyDescent="0.15">
      <c r="C264" s="1"/>
      <c r="E264" s="1"/>
    </row>
    <row r="265" spans="3:5" ht="13" x14ac:dyDescent="0.15">
      <c r="C265" s="1"/>
      <c r="E265" s="1"/>
    </row>
    <row r="266" spans="3:5" ht="13" x14ac:dyDescent="0.15">
      <c r="C266" s="1"/>
      <c r="E266" s="1"/>
    </row>
    <row r="267" spans="3:5" ht="13" x14ac:dyDescent="0.15">
      <c r="C267" s="1"/>
      <c r="E267" s="1"/>
    </row>
    <row r="268" spans="3:5" ht="13" x14ac:dyDescent="0.15">
      <c r="C268" s="1"/>
      <c r="E268" s="1"/>
    </row>
    <row r="269" spans="3:5" ht="13" x14ac:dyDescent="0.15">
      <c r="C269" s="1"/>
      <c r="E269" s="1"/>
    </row>
    <row r="270" spans="3:5" ht="13" x14ac:dyDescent="0.15">
      <c r="C270" s="1"/>
      <c r="E270" s="1"/>
    </row>
    <row r="271" spans="3:5" ht="13" x14ac:dyDescent="0.15">
      <c r="C271" s="1"/>
      <c r="E271" s="1"/>
    </row>
    <row r="272" spans="3:5" ht="13" x14ac:dyDescent="0.15">
      <c r="C272" s="1"/>
      <c r="E272" s="1"/>
    </row>
    <row r="273" spans="3:5" ht="13" x14ac:dyDescent="0.15">
      <c r="C273" s="1"/>
      <c r="E273" s="1"/>
    </row>
    <row r="274" spans="3:5" ht="13" x14ac:dyDescent="0.15">
      <c r="C274" s="1"/>
      <c r="E274" s="1"/>
    </row>
    <row r="275" spans="3:5" ht="13" x14ac:dyDescent="0.15">
      <c r="C275" s="1"/>
      <c r="E275" s="1"/>
    </row>
    <row r="276" spans="3:5" ht="13" x14ac:dyDescent="0.15">
      <c r="C276" s="1"/>
      <c r="E276" s="1"/>
    </row>
    <row r="277" spans="3:5" ht="13" x14ac:dyDescent="0.15">
      <c r="C277" s="1"/>
      <c r="E277" s="1"/>
    </row>
    <row r="278" spans="3:5" ht="13" x14ac:dyDescent="0.15">
      <c r="C278" s="1"/>
      <c r="E278" s="1"/>
    </row>
    <row r="279" spans="3:5" ht="13" x14ac:dyDescent="0.15">
      <c r="C279" s="1"/>
      <c r="E279" s="1"/>
    </row>
    <row r="280" spans="3:5" ht="13" x14ac:dyDescent="0.15">
      <c r="C280" s="1"/>
      <c r="E280" s="1"/>
    </row>
    <row r="281" spans="3:5" ht="13" x14ac:dyDescent="0.15">
      <c r="C281" s="1"/>
      <c r="E281" s="1"/>
    </row>
    <row r="282" spans="3:5" ht="13" x14ac:dyDescent="0.15">
      <c r="C282" s="1"/>
      <c r="E282" s="1"/>
    </row>
    <row r="283" spans="3:5" ht="13" x14ac:dyDescent="0.15">
      <c r="C283" s="1"/>
      <c r="E283" s="1"/>
    </row>
    <row r="284" spans="3:5" ht="13" x14ac:dyDescent="0.15">
      <c r="C284" s="1"/>
      <c r="E284" s="1"/>
    </row>
    <row r="285" spans="3:5" ht="13" x14ac:dyDescent="0.15">
      <c r="C285" s="1"/>
      <c r="E285" s="1"/>
    </row>
    <row r="286" spans="3:5" ht="13" x14ac:dyDescent="0.15">
      <c r="C286" s="1"/>
      <c r="E286" s="1"/>
    </row>
    <row r="287" spans="3:5" ht="13" x14ac:dyDescent="0.15">
      <c r="C287" s="1"/>
      <c r="E287" s="1"/>
    </row>
    <row r="288" spans="3:5" ht="13" x14ac:dyDescent="0.15">
      <c r="C288" s="1"/>
      <c r="E288" s="1"/>
    </row>
    <row r="289" spans="3:5" ht="13" x14ac:dyDescent="0.15">
      <c r="C289" s="1"/>
      <c r="E289" s="1"/>
    </row>
    <row r="290" spans="3:5" ht="13" x14ac:dyDescent="0.15">
      <c r="C290" s="1"/>
      <c r="E290" s="1"/>
    </row>
    <row r="291" spans="3:5" ht="13" x14ac:dyDescent="0.15">
      <c r="C291" s="1"/>
      <c r="E291" s="1"/>
    </row>
    <row r="292" spans="3:5" ht="13" x14ac:dyDescent="0.15">
      <c r="C292" s="1"/>
      <c r="E292" s="1"/>
    </row>
    <row r="293" spans="3:5" ht="13" x14ac:dyDescent="0.15">
      <c r="C293" s="1"/>
      <c r="E293" s="1"/>
    </row>
    <row r="294" spans="3:5" ht="13" x14ac:dyDescent="0.15">
      <c r="C294" s="1"/>
      <c r="E294" s="1"/>
    </row>
    <row r="295" spans="3:5" ht="13" x14ac:dyDescent="0.15">
      <c r="C295" s="1"/>
      <c r="E295" s="1"/>
    </row>
    <row r="296" spans="3:5" ht="13" x14ac:dyDescent="0.15">
      <c r="C296" s="1"/>
      <c r="E296" s="1"/>
    </row>
    <row r="297" spans="3:5" ht="13" x14ac:dyDescent="0.15">
      <c r="C297" s="1"/>
      <c r="E297" s="1"/>
    </row>
    <row r="298" spans="3:5" ht="13" x14ac:dyDescent="0.15">
      <c r="C298" s="1"/>
      <c r="E298" s="1"/>
    </row>
    <row r="299" spans="3:5" ht="13" x14ac:dyDescent="0.15">
      <c r="C299" s="1"/>
      <c r="E299" s="1"/>
    </row>
    <row r="300" spans="3:5" ht="13" x14ac:dyDescent="0.15">
      <c r="C300" s="1"/>
      <c r="E300" s="1"/>
    </row>
    <row r="301" spans="3:5" ht="13" x14ac:dyDescent="0.15">
      <c r="C301" s="1"/>
      <c r="E301" s="1"/>
    </row>
    <row r="302" spans="3:5" ht="13" x14ac:dyDescent="0.15">
      <c r="C302" s="1"/>
      <c r="E302" s="1"/>
    </row>
    <row r="303" spans="3:5" ht="13" x14ac:dyDescent="0.15">
      <c r="C303" s="1"/>
      <c r="E303" s="1"/>
    </row>
    <row r="304" spans="3:5" ht="13" x14ac:dyDescent="0.15">
      <c r="C304" s="1"/>
      <c r="E304" s="1"/>
    </row>
    <row r="305" spans="3:5" ht="13" x14ac:dyDescent="0.15">
      <c r="C305" s="1"/>
      <c r="E305" s="1"/>
    </row>
    <row r="306" spans="3:5" ht="13" x14ac:dyDescent="0.15">
      <c r="C306" s="1"/>
      <c r="E306" s="1"/>
    </row>
    <row r="307" spans="3:5" ht="13" x14ac:dyDescent="0.15">
      <c r="C307" s="1"/>
      <c r="E307" s="1"/>
    </row>
    <row r="308" spans="3:5" ht="13" x14ac:dyDescent="0.15">
      <c r="C308" s="1"/>
      <c r="E308" s="1"/>
    </row>
    <row r="309" spans="3:5" ht="13" x14ac:dyDescent="0.15">
      <c r="C309" s="1"/>
      <c r="E309" s="1"/>
    </row>
    <row r="310" spans="3:5" ht="13" x14ac:dyDescent="0.15">
      <c r="C310" s="1"/>
      <c r="E310" s="1"/>
    </row>
    <row r="311" spans="3:5" ht="13" x14ac:dyDescent="0.15">
      <c r="C311" s="1"/>
      <c r="E311" s="1"/>
    </row>
    <row r="312" spans="3:5" ht="13" x14ac:dyDescent="0.15">
      <c r="C312" s="1"/>
      <c r="E312" s="1"/>
    </row>
    <row r="313" spans="3:5" ht="13" x14ac:dyDescent="0.15">
      <c r="C313" s="1"/>
      <c r="E313" s="1"/>
    </row>
    <row r="314" spans="3:5" ht="13" x14ac:dyDescent="0.15">
      <c r="C314" s="1"/>
      <c r="E314" s="1"/>
    </row>
    <row r="315" spans="3:5" ht="13" x14ac:dyDescent="0.15">
      <c r="C315" s="1"/>
      <c r="E315" s="1"/>
    </row>
    <row r="316" spans="3:5" ht="13" x14ac:dyDescent="0.15">
      <c r="C316" s="1"/>
      <c r="E316" s="1"/>
    </row>
    <row r="317" spans="3:5" ht="13" x14ac:dyDescent="0.15">
      <c r="C317" s="1"/>
      <c r="E317" s="1"/>
    </row>
    <row r="318" spans="3:5" ht="13" x14ac:dyDescent="0.15">
      <c r="C318" s="1"/>
      <c r="E318" s="1"/>
    </row>
    <row r="319" spans="3:5" ht="13" x14ac:dyDescent="0.15">
      <c r="C319" s="1"/>
      <c r="E319" s="1"/>
    </row>
    <row r="320" spans="3:5" ht="13" x14ac:dyDescent="0.15">
      <c r="C320" s="1"/>
      <c r="E320" s="1"/>
    </row>
    <row r="321" spans="3:5" ht="13" x14ac:dyDescent="0.15">
      <c r="C321" s="1"/>
      <c r="E321" s="1"/>
    </row>
    <row r="322" spans="3:5" ht="13" x14ac:dyDescent="0.15">
      <c r="C322" s="1"/>
      <c r="E322" s="1"/>
    </row>
    <row r="323" spans="3:5" ht="13" x14ac:dyDescent="0.15">
      <c r="C323" s="1"/>
      <c r="E323" s="1"/>
    </row>
    <row r="324" spans="3:5" ht="13" x14ac:dyDescent="0.15">
      <c r="C324" s="1"/>
      <c r="E324" s="1"/>
    </row>
    <row r="325" spans="3:5" ht="13" x14ac:dyDescent="0.15">
      <c r="C325" s="1"/>
      <c r="E325" s="1"/>
    </row>
    <row r="326" spans="3:5" ht="13" x14ac:dyDescent="0.15">
      <c r="C326" s="1"/>
      <c r="E326" s="1"/>
    </row>
    <row r="327" spans="3:5" ht="13" x14ac:dyDescent="0.15">
      <c r="C327" s="1"/>
      <c r="E327" s="1"/>
    </row>
    <row r="328" spans="3:5" ht="13" x14ac:dyDescent="0.15">
      <c r="C328" s="1"/>
      <c r="E328" s="1"/>
    </row>
    <row r="329" spans="3:5" ht="13" x14ac:dyDescent="0.15">
      <c r="C329" s="1"/>
      <c r="E329" s="1"/>
    </row>
    <row r="330" spans="3:5" ht="13" x14ac:dyDescent="0.15">
      <c r="C330" s="1"/>
      <c r="E330" s="1"/>
    </row>
    <row r="331" spans="3:5" ht="13" x14ac:dyDescent="0.15">
      <c r="C331" s="1"/>
      <c r="E331" s="1"/>
    </row>
    <row r="332" spans="3:5" ht="13" x14ac:dyDescent="0.15">
      <c r="C332" s="1"/>
      <c r="E332" s="1"/>
    </row>
    <row r="333" spans="3:5" ht="13" x14ac:dyDescent="0.15">
      <c r="C333" s="1"/>
      <c r="E333" s="1"/>
    </row>
    <row r="334" spans="3:5" ht="13" x14ac:dyDescent="0.15">
      <c r="C334" s="1"/>
      <c r="E334" s="1"/>
    </row>
    <row r="335" spans="3:5" ht="13" x14ac:dyDescent="0.15">
      <c r="C335" s="1"/>
      <c r="E335" s="1"/>
    </row>
    <row r="336" spans="3:5" ht="13" x14ac:dyDescent="0.15">
      <c r="C336" s="1"/>
      <c r="E336" s="1"/>
    </row>
    <row r="337" spans="3:5" ht="13" x14ac:dyDescent="0.15">
      <c r="C337" s="1"/>
      <c r="E337" s="1"/>
    </row>
    <row r="338" spans="3:5" ht="13" x14ac:dyDescent="0.15">
      <c r="C338" s="1"/>
      <c r="E338" s="1"/>
    </row>
    <row r="339" spans="3:5" ht="13" x14ac:dyDescent="0.15">
      <c r="C339" s="1"/>
      <c r="E339" s="1"/>
    </row>
    <row r="340" spans="3:5" ht="13" x14ac:dyDescent="0.15">
      <c r="C340" s="1"/>
      <c r="E340" s="1"/>
    </row>
    <row r="341" spans="3:5" ht="13" x14ac:dyDescent="0.15">
      <c r="C341" s="1"/>
      <c r="E341" s="1"/>
    </row>
    <row r="342" spans="3:5" ht="13" x14ac:dyDescent="0.15">
      <c r="C342" s="1"/>
      <c r="E342" s="1"/>
    </row>
    <row r="343" spans="3:5" ht="13" x14ac:dyDescent="0.15">
      <c r="C343" s="1"/>
      <c r="E343" s="1"/>
    </row>
    <row r="344" spans="3:5" ht="13" x14ac:dyDescent="0.15">
      <c r="C344" s="1"/>
      <c r="E344" s="1"/>
    </row>
    <row r="345" spans="3:5" ht="13" x14ac:dyDescent="0.15">
      <c r="C345" s="1"/>
      <c r="E345" s="1"/>
    </row>
    <row r="346" spans="3:5" ht="13" x14ac:dyDescent="0.15">
      <c r="C346" s="1"/>
      <c r="E346" s="1"/>
    </row>
    <row r="347" spans="3:5" ht="13" x14ac:dyDescent="0.15">
      <c r="C347" s="1"/>
      <c r="E347" s="1"/>
    </row>
    <row r="348" spans="3:5" ht="13" x14ac:dyDescent="0.15">
      <c r="C348" s="1"/>
      <c r="E348" s="1"/>
    </row>
    <row r="349" spans="3:5" ht="13" x14ac:dyDescent="0.15">
      <c r="C349" s="1"/>
      <c r="E349" s="1"/>
    </row>
    <row r="350" spans="3:5" ht="13" x14ac:dyDescent="0.15">
      <c r="C350" s="1"/>
      <c r="E350" s="1"/>
    </row>
    <row r="351" spans="3:5" ht="13" x14ac:dyDescent="0.15">
      <c r="C351" s="1"/>
      <c r="E351" s="1"/>
    </row>
    <row r="352" spans="3:5" ht="13" x14ac:dyDescent="0.15">
      <c r="C352" s="1"/>
      <c r="E352" s="1"/>
    </row>
    <row r="353" spans="3:5" ht="13" x14ac:dyDescent="0.15">
      <c r="C353" s="1"/>
      <c r="E353" s="1"/>
    </row>
    <row r="354" spans="3:5" ht="13" x14ac:dyDescent="0.15">
      <c r="C354" s="1"/>
      <c r="E354" s="1"/>
    </row>
    <row r="355" spans="3:5" ht="13" x14ac:dyDescent="0.15">
      <c r="C355" s="1"/>
      <c r="E355" s="1"/>
    </row>
    <row r="356" spans="3:5" ht="13" x14ac:dyDescent="0.15">
      <c r="C356" s="1"/>
      <c r="E356" s="1"/>
    </row>
    <row r="357" spans="3:5" ht="13" x14ac:dyDescent="0.15">
      <c r="C357" s="1"/>
      <c r="E357" s="1"/>
    </row>
    <row r="358" spans="3:5" ht="13" x14ac:dyDescent="0.15">
      <c r="C358" s="1"/>
      <c r="E358" s="1"/>
    </row>
    <row r="359" spans="3:5" ht="13" x14ac:dyDescent="0.15">
      <c r="C359" s="1"/>
      <c r="E359" s="1"/>
    </row>
    <row r="360" spans="3:5" ht="13" x14ac:dyDescent="0.15">
      <c r="C360" s="1"/>
      <c r="E360" s="1"/>
    </row>
    <row r="361" spans="3:5" ht="13" x14ac:dyDescent="0.15">
      <c r="C361" s="1"/>
      <c r="E361" s="1"/>
    </row>
    <row r="362" spans="3:5" ht="13" x14ac:dyDescent="0.15">
      <c r="C362" s="1"/>
      <c r="E362" s="1"/>
    </row>
    <row r="363" spans="3:5" ht="13" x14ac:dyDescent="0.15">
      <c r="C363" s="1"/>
      <c r="E363" s="1"/>
    </row>
    <row r="364" spans="3:5" ht="13" x14ac:dyDescent="0.15">
      <c r="C364" s="1"/>
      <c r="E364" s="1"/>
    </row>
    <row r="365" spans="3:5" ht="13" x14ac:dyDescent="0.15">
      <c r="C365" s="1"/>
      <c r="E365" s="1"/>
    </row>
    <row r="366" spans="3:5" ht="13" x14ac:dyDescent="0.15">
      <c r="C366" s="1"/>
      <c r="E366" s="1"/>
    </row>
    <row r="367" spans="3:5" ht="13" x14ac:dyDescent="0.15">
      <c r="C367" s="1"/>
      <c r="E367" s="1"/>
    </row>
    <row r="368" spans="3:5" ht="13" x14ac:dyDescent="0.15">
      <c r="C368" s="1"/>
      <c r="E368" s="1"/>
    </row>
    <row r="369" spans="3:5" ht="13" x14ac:dyDescent="0.15">
      <c r="C369" s="1"/>
      <c r="E369" s="1"/>
    </row>
    <row r="370" spans="3:5" ht="13" x14ac:dyDescent="0.15">
      <c r="C370" s="1"/>
      <c r="E370" s="1"/>
    </row>
    <row r="371" spans="3:5" ht="13" x14ac:dyDescent="0.15">
      <c r="C371" s="1"/>
      <c r="E371" s="1"/>
    </row>
    <row r="372" spans="3:5" ht="13" x14ac:dyDescent="0.15">
      <c r="C372" s="1"/>
      <c r="E372" s="1"/>
    </row>
    <row r="373" spans="3:5" ht="13" x14ac:dyDescent="0.15">
      <c r="C373" s="1"/>
      <c r="E373" s="1"/>
    </row>
    <row r="374" spans="3:5" ht="13" x14ac:dyDescent="0.15">
      <c r="C374" s="1"/>
      <c r="E374" s="1"/>
    </row>
    <row r="375" spans="3:5" ht="13" x14ac:dyDescent="0.15">
      <c r="C375" s="1"/>
      <c r="E375" s="1"/>
    </row>
    <row r="376" spans="3:5" ht="13" x14ac:dyDescent="0.15">
      <c r="C376" s="1"/>
      <c r="E376" s="1"/>
    </row>
    <row r="377" spans="3:5" ht="13" x14ac:dyDescent="0.15">
      <c r="C377" s="1"/>
      <c r="E377" s="1"/>
    </row>
    <row r="378" spans="3:5" ht="13" x14ac:dyDescent="0.15">
      <c r="C378" s="1"/>
      <c r="E378" s="1"/>
    </row>
    <row r="379" spans="3:5" ht="13" x14ac:dyDescent="0.15">
      <c r="C379" s="1"/>
      <c r="E379" s="1"/>
    </row>
    <row r="380" spans="3:5" ht="13" x14ac:dyDescent="0.15">
      <c r="C380" s="1"/>
      <c r="E380" s="1"/>
    </row>
    <row r="381" spans="3:5" ht="13" x14ac:dyDescent="0.15">
      <c r="C381" s="1"/>
      <c r="E381" s="1"/>
    </row>
    <row r="382" spans="3:5" ht="13" x14ac:dyDescent="0.15">
      <c r="C382" s="1"/>
      <c r="E382" s="1"/>
    </row>
    <row r="383" spans="3:5" ht="13" x14ac:dyDescent="0.15">
      <c r="C383" s="1"/>
      <c r="E383" s="1"/>
    </row>
    <row r="384" spans="3:5" ht="13" x14ac:dyDescent="0.15">
      <c r="C384" s="1"/>
      <c r="E384" s="1"/>
    </row>
    <row r="385" spans="3:5" ht="13" x14ac:dyDescent="0.15">
      <c r="C385" s="1"/>
      <c r="E385" s="1"/>
    </row>
    <row r="386" spans="3:5" ht="13" x14ac:dyDescent="0.15">
      <c r="C386" s="1"/>
      <c r="E386" s="1"/>
    </row>
    <row r="387" spans="3:5" ht="13" x14ac:dyDescent="0.15">
      <c r="C387" s="1"/>
      <c r="E387" s="1"/>
    </row>
    <row r="388" spans="3:5" ht="13" x14ac:dyDescent="0.15">
      <c r="C388" s="1"/>
      <c r="E388" s="1"/>
    </row>
    <row r="389" spans="3:5" ht="13" x14ac:dyDescent="0.15">
      <c r="C389" s="1"/>
      <c r="E389" s="1"/>
    </row>
    <row r="390" spans="3:5" ht="13" x14ac:dyDescent="0.15">
      <c r="C390" s="1"/>
      <c r="E390" s="1"/>
    </row>
    <row r="391" spans="3:5" ht="13" x14ac:dyDescent="0.15">
      <c r="C391" s="1"/>
      <c r="E391" s="1"/>
    </row>
    <row r="392" spans="3:5" ht="13" x14ac:dyDescent="0.15">
      <c r="C392" s="1"/>
      <c r="E392" s="1"/>
    </row>
    <row r="393" spans="3:5" ht="13" x14ac:dyDescent="0.15">
      <c r="C393" s="1"/>
      <c r="E393" s="1"/>
    </row>
    <row r="394" spans="3:5" ht="13" x14ac:dyDescent="0.15">
      <c r="C394" s="1"/>
      <c r="E394" s="1"/>
    </row>
    <row r="395" spans="3:5" ht="13" x14ac:dyDescent="0.15">
      <c r="C395" s="1"/>
      <c r="E395" s="1"/>
    </row>
    <row r="396" spans="3:5" ht="13" x14ac:dyDescent="0.15">
      <c r="C396" s="1"/>
      <c r="E396" s="1"/>
    </row>
    <row r="397" spans="3:5" ht="13" x14ac:dyDescent="0.15">
      <c r="C397" s="1"/>
      <c r="E397" s="1"/>
    </row>
    <row r="398" spans="3:5" ht="13" x14ac:dyDescent="0.15">
      <c r="C398" s="1"/>
      <c r="E398" s="1"/>
    </row>
    <row r="399" spans="3:5" ht="13" x14ac:dyDescent="0.15">
      <c r="C399" s="1"/>
      <c r="E399" s="1"/>
    </row>
    <row r="400" spans="3:5" ht="13" x14ac:dyDescent="0.15">
      <c r="C400" s="1"/>
      <c r="E400" s="1"/>
    </row>
    <row r="401" spans="3:5" ht="13" x14ac:dyDescent="0.15">
      <c r="C401" s="1"/>
      <c r="E401" s="1"/>
    </row>
    <row r="402" spans="3:5" ht="13" x14ac:dyDescent="0.15">
      <c r="C402" s="1"/>
      <c r="E402" s="1"/>
    </row>
    <row r="403" spans="3:5" ht="13" x14ac:dyDescent="0.15">
      <c r="C403" s="1"/>
      <c r="E403" s="1"/>
    </row>
    <row r="404" spans="3:5" ht="13" x14ac:dyDescent="0.15">
      <c r="C404" s="1"/>
      <c r="E404" s="1"/>
    </row>
    <row r="405" spans="3:5" ht="13" x14ac:dyDescent="0.15">
      <c r="C405" s="1"/>
      <c r="E405" s="1"/>
    </row>
    <row r="406" spans="3:5" ht="13" x14ac:dyDescent="0.15">
      <c r="C406" s="1"/>
      <c r="E406" s="1"/>
    </row>
    <row r="407" spans="3:5" ht="13" x14ac:dyDescent="0.15">
      <c r="C407" s="1"/>
      <c r="E407" s="1"/>
    </row>
    <row r="408" spans="3:5" ht="13" x14ac:dyDescent="0.15">
      <c r="C408" s="1"/>
      <c r="E408" s="1"/>
    </row>
    <row r="409" spans="3:5" ht="13" x14ac:dyDescent="0.15">
      <c r="C409" s="1"/>
      <c r="E409" s="1"/>
    </row>
    <row r="410" spans="3:5" ht="13" x14ac:dyDescent="0.15">
      <c r="C410" s="1"/>
      <c r="E410" s="1"/>
    </row>
    <row r="411" spans="3:5" ht="13" x14ac:dyDescent="0.15">
      <c r="C411" s="1"/>
      <c r="E411" s="1"/>
    </row>
    <row r="412" spans="3:5" ht="13" x14ac:dyDescent="0.15">
      <c r="C412" s="1"/>
      <c r="E412" s="1"/>
    </row>
    <row r="413" spans="3:5" ht="13" x14ac:dyDescent="0.15">
      <c r="C413" s="1"/>
      <c r="E413" s="1"/>
    </row>
    <row r="414" spans="3:5" ht="13" x14ac:dyDescent="0.15">
      <c r="C414" s="1"/>
      <c r="E414" s="1"/>
    </row>
    <row r="415" spans="3:5" ht="13" x14ac:dyDescent="0.15">
      <c r="C415" s="1"/>
      <c r="E415" s="1"/>
    </row>
    <row r="416" spans="3:5" ht="13" x14ac:dyDescent="0.15">
      <c r="C416" s="1"/>
      <c r="E416" s="1"/>
    </row>
    <row r="417" spans="3:5" ht="13" x14ac:dyDescent="0.15">
      <c r="C417" s="1"/>
      <c r="E417" s="1"/>
    </row>
    <row r="418" spans="3:5" ht="13" x14ac:dyDescent="0.15">
      <c r="C418" s="1"/>
      <c r="E418" s="1"/>
    </row>
    <row r="419" spans="3:5" ht="13" x14ac:dyDescent="0.15">
      <c r="C419" s="1"/>
      <c r="E419" s="1"/>
    </row>
    <row r="420" spans="3:5" ht="13" x14ac:dyDescent="0.15">
      <c r="C420" s="1"/>
      <c r="E420" s="1"/>
    </row>
    <row r="421" spans="3:5" ht="13" x14ac:dyDescent="0.15">
      <c r="C421" s="1"/>
      <c r="E421" s="1"/>
    </row>
    <row r="422" spans="3:5" ht="13" x14ac:dyDescent="0.15">
      <c r="C422" s="1"/>
      <c r="E422" s="1"/>
    </row>
    <row r="423" spans="3:5" ht="13" x14ac:dyDescent="0.15">
      <c r="C423" s="1"/>
      <c r="E423" s="1"/>
    </row>
    <row r="424" spans="3:5" ht="13" x14ac:dyDescent="0.15">
      <c r="C424" s="1"/>
      <c r="E424" s="1"/>
    </row>
    <row r="425" spans="3:5" ht="13" x14ac:dyDescent="0.15">
      <c r="C425" s="1"/>
      <c r="E425" s="1"/>
    </row>
    <row r="426" spans="3:5" ht="13" x14ac:dyDescent="0.15">
      <c r="C426" s="1"/>
      <c r="E426" s="1"/>
    </row>
    <row r="427" spans="3:5" ht="13" x14ac:dyDescent="0.15">
      <c r="C427" s="1"/>
      <c r="E427" s="1"/>
    </row>
    <row r="428" spans="3:5" ht="13" x14ac:dyDescent="0.15">
      <c r="C428" s="1"/>
      <c r="E428" s="1"/>
    </row>
    <row r="429" spans="3:5" ht="13" x14ac:dyDescent="0.15">
      <c r="C429" s="1"/>
      <c r="E429" s="1"/>
    </row>
    <row r="430" spans="3:5" ht="13" x14ac:dyDescent="0.15">
      <c r="C430" s="1"/>
      <c r="E430" s="1"/>
    </row>
    <row r="431" spans="3:5" ht="13" x14ac:dyDescent="0.15">
      <c r="C431" s="1"/>
      <c r="E431" s="1"/>
    </row>
    <row r="432" spans="3:5" ht="13" x14ac:dyDescent="0.15">
      <c r="C432" s="1"/>
      <c r="E432" s="1"/>
    </row>
    <row r="433" spans="3:5" ht="13" x14ac:dyDescent="0.15">
      <c r="C433" s="1"/>
      <c r="E433" s="1"/>
    </row>
    <row r="434" spans="3:5" ht="13" x14ac:dyDescent="0.15">
      <c r="C434" s="1"/>
      <c r="E434" s="1"/>
    </row>
    <row r="435" spans="3:5" ht="13" x14ac:dyDescent="0.15">
      <c r="C435" s="1"/>
      <c r="E435" s="1"/>
    </row>
    <row r="436" spans="3:5" ht="13" x14ac:dyDescent="0.15">
      <c r="C436" s="1"/>
      <c r="E436" s="1"/>
    </row>
    <row r="437" spans="3:5" ht="13" x14ac:dyDescent="0.15">
      <c r="C437" s="1"/>
      <c r="E437" s="1"/>
    </row>
    <row r="438" spans="3:5" ht="13" x14ac:dyDescent="0.15">
      <c r="C438" s="1"/>
      <c r="E438" s="1"/>
    </row>
    <row r="439" spans="3:5" ht="13" x14ac:dyDescent="0.15">
      <c r="C439" s="1"/>
      <c r="E439" s="1"/>
    </row>
    <row r="440" spans="3:5" ht="13" x14ac:dyDescent="0.15">
      <c r="C440" s="1"/>
      <c r="E440" s="1"/>
    </row>
    <row r="441" spans="3:5" ht="13" x14ac:dyDescent="0.15">
      <c r="C441" s="1"/>
      <c r="E441" s="1"/>
    </row>
    <row r="442" spans="3:5" ht="13" x14ac:dyDescent="0.15">
      <c r="C442" s="1"/>
      <c r="E442" s="1"/>
    </row>
    <row r="443" spans="3:5" ht="13" x14ac:dyDescent="0.15">
      <c r="C443" s="1"/>
      <c r="E443" s="1"/>
    </row>
    <row r="444" spans="3:5" ht="13" x14ac:dyDescent="0.15">
      <c r="C444" s="1"/>
      <c r="E444" s="1"/>
    </row>
    <row r="445" spans="3:5" ht="13" x14ac:dyDescent="0.15">
      <c r="C445" s="1"/>
      <c r="E445" s="1"/>
    </row>
    <row r="446" spans="3:5" ht="13" x14ac:dyDescent="0.15">
      <c r="C446" s="1"/>
      <c r="E446" s="1"/>
    </row>
    <row r="447" spans="3:5" ht="13" x14ac:dyDescent="0.15">
      <c r="C447" s="1"/>
      <c r="E447" s="1"/>
    </row>
    <row r="448" spans="3:5" ht="13" x14ac:dyDescent="0.15">
      <c r="C448" s="1"/>
      <c r="E448" s="1"/>
    </row>
    <row r="449" spans="3:5" ht="13" x14ac:dyDescent="0.15">
      <c r="C449" s="1"/>
      <c r="E449" s="1"/>
    </row>
    <row r="450" spans="3:5" ht="13" x14ac:dyDescent="0.15">
      <c r="C450" s="1"/>
      <c r="E450" s="1"/>
    </row>
    <row r="451" spans="3:5" ht="13" x14ac:dyDescent="0.15">
      <c r="C451" s="1"/>
      <c r="E451" s="1"/>
    </row>
    <row r="452" spans="3:5" ht="13" x14ac:dyDescent="0.15">
      <c r="C452" s="1"/>
      <c r="E452" s="1"/>
    </row>
    <row r="453" spans="3:5" ht="13" x14ac:dyDescent="0.15">
      <c r="C453" s="1"/>
      <c r="E453" s="1"/>
    </row>
    <row r="454" spans="3:5" ht="13" x14ac:dyDescent="0.15">
      <c r="C454" s="1"/>
      <c r="E454" s="1"/>
    </row>
    <row r="455" spans="3:5" ht="13" x14ac:dyDescent="0.15">
      <c r="C455" s="1"/>
      <c r="E455" s="1"/>
    </row>
    <row r="456" spans="3:5" ht="13" x14ac:dyDescent="0.15">
      <c r="C456" s="1"/>
      <c r="E456" s="1"/>
    </row>
    <row r="457" spans="3:5" ht="13" x14ac:dyDescent="0.15">
      <c r="C457" s="1"/>
      <c r="E457" s="1"/>
    </row>
    <row r="458" spans="3:5" ht="13" x14ac:dyDescent="0.15">
      <c r="C458" s="1"/>
      <c r="E458" s="1"/>
    </row>
    <row r="459" spans="3:5" ht="13" x14ac:dyDescent="0.15">
      <c r="C459" s="1"/>
      <c r="E459" s="1"/>
    </row>
    <row r="460" spans="3:5" ht="13" x14ac:dyDescent="0.15">
      <c r="C460" s="1"/>
      <c r="E460" s="1"/>
    </row>
    <row r="461" spans="3:5" ht="13" x14ac:dyDescent="0.15">
      <c r="C461" s="1"/>
      <c r="E461" s="1"/>
    </row>
    <row r="462" spans="3:5" ht="13" x14ac:dyDescent="0.15">
      <c r="C462" s="1"/>
      <c r="E462" s="1"/>
    </row>
    <row r="463" spans="3:5" ht="13" x14ac:dyDescent="0.15">
      <c r="C463" s="1"/>
      <c r="E463" s="1"/>
    </row>
    <row r="464" spans="3:5" ht="13" x14ac:dyDescent="0.15">
      <c r="C464" s="1"/>
      <c r="E464" s="1"/>
    </row>
    <row r="465" spans="3:5" ht="13" x14ac:dyDescent="0.15">
      <c r="C465" s="1"/>
      <c r="E465" s="1"/>
    </row>
    <row r="466" spans="3:5" ht="13" x14ac:dyDescent="0.15">
      <c r="C466" s="1"/>
      <c r="E466" s="1"/>
    </row>
    <row r="467" spans="3:5" ht="13" x14ac:dyDescent="0.15">
      <c r="C467" s="1"/>
      <c r="E467" s="1"/>
    </row>
    <row r="468" spans="3:5" ht="13" x14ac:dyDescent="0.15">
      <c r="C468" s="1"/>
      <c r="E468" s="1"/>
    </row>
    <row r="469" spans="3:5" ht="13" x14ac:dyDescent="0.15">
      <c r="C469" s="1"/>
      <c r="E469" s="1"/>
    </row>
    <row r="470" spans="3:5" ht="13" x14ac:dyDescent="0.15">
      <c r="C470" s="1"/>
      <c r="E470" s="1"/>
    </row>
    <row r="471" spans="3:5" ht="13" x14ac:dyDescent="0.15">
      <c r="C471" s="1"/>
      <c r="E471" s="1"/>
    </row>
    <row r="472" spans="3:5" ht="13" x14ac:dyDescent="0.15">
      <c r="C472" s="1"/>
      <c r="E472" s="1"/>
    </row>
    <row r="473" spans="3:5" ht="13" x14ac:dyDescent="0.15">
      <c r="C473" s="1"/>
      <c r="E473" s="1"/>
    </row>
    <row r="474" spans="3:5" ht="13" x14ac:dyDescent="0.15">
      <c r="C474" s="1"/>
      <c r="E474" s="1"/>
    </row>
    <row r="475" spans="3:5" ht="13" x14ac:dyDescent="0.15">
      <c r="C475" s="1"/>
      <c r="E475" s="1"/>
    </row>
    <row r="476" spans="3:5" ht="13" x14ac:dyDescent="0.15">
      <c r="C476" s="1"/>
      <c r="E476" s="1"/>
    </row>
    <row r="477" spans="3:5" ht="13" x14ac:dyDescent="0.15">
      <c r="C477" s="1"/>
      <c r="E477" s="1"/>
    </row>
    <row r="478" spans="3:5" ht="13" x14ac:dyDescent="0.15">
      <c r="C478" s="1"/>
      <c r="E478" s="1"/>
    </row>
    <row r="479" spans="3:5" ht="13" x14ac:dyDescent="0.15">
      <c r="C479" s="1"/>
      <c r="E479" s="1"/>
    </row>
    <row r="480" spans="3:5" ht="13" x14ac:dyDescent="0.15">
      <c r="C480" s="1"/>
      <c r="E480" s="1"/>
    </row>
    <row r="481" spans="3:5" ht="13" x14ac:dyDescent="0.15">
      <c r="C481" s="1"/>
      <c r="E481" s="1"/>
    </row>
    <row r="482" spans="3:5" ht="13" x14ac:dyDescent="0.15">
      <c r="C482" s="1"/>
      <c r="E482" s="1"/>
    </row>
    <row r="483" spans="3:5" ht="13" x14ac:dyDescent="0.15">
      <c r="C483" s="1"/>
      <c r="E483" s="1"/>
    </row>
    <row r="484" spans="3:5" ht="13" x14ac:dyDescent="0.15">
      <c r="C484" s="1"/>
      <c r="E484" s="1"/>
    </row>
    <row r="485" spans="3:5" ht="13" x14ac:dyDescent="0.15">
      <c r="C485" s="1"/>
      <c r="E485" s="1"/>
    </row>
    <row r="486" spans="3:5" ht="13" x14ac:dyDescent="0.15">
      <c r="C486" s="1"/>
      <c r="E486" s="1"/>
    </row>
    <row r="487" spans="3:5" ht="13" x14ac:dyDescent="0.15">
      <c r="C487" s="1"/>
      <c r="E487" s="1"/>
    </row>
    <row r="488" spans="3:5" ht="13" x14ac:dyDescent="0.15">
      <c r="C488" s="1"/>
      <c r="E488" s="1"/>
    </row>
    <row r="489" spans="3:5" ht="13" x14ac:dyDescent="0.15">
      <c r="C489" s="1"/>
      <c r="E489" s="1"/>
    </row>
    <row r="490" spans="3:5" ht="13" x14ac:dyDescent="0.15">
      <c r="C490" s="1"/>
      <c r="E490" s="1"/>
    </row>
    <row r="491" spans="3:5" ht="13" x14ac:dyDescent="0.15">
      <c r="C491" s="1"/>
      <c r="E491" s="1"/>
    </row>
    <row r="492" spans="3:5" ht="13" x14ac:dyDescent="0.15">
      <c r="C492" s="1"/>
      <c r="E492" s="1"/>
    </row>
    <row r="493" spans="3:5" ht="13" x14ac:dyDescent="0.15">
      <c r="C493" s="1"/>
      <c r="E493" s="1"/>
    </row>
    <row r="494" spans="3:5" ht="13" x14ac:dyDescent="0.15">
      <c r="C494" s="1"/>
      <c r="E494" s="1"/>
    </row>
    <row r="495" spans="3:5" ht="13" x14ac:dyDescent="0.15">
      <c r="C495" s="1"/>
      <c r="E495" s="1"/>
    </row>
    <row r="496" spans="3:5" ht="13" x14ac:dyDescent="0.15">
      <c r="C496" s="1"/>
      <c r="E496" s="1"/>
    </row>
    <row r="497" spans="3:5" ht="13" x14ac:dyDescent="0.15">
      <c r="C497" s="1"/>
      <c r="E497" s="1"/>
    </row>
    <row r="498" spans="3:5" ht="13" x14ac:dyDescent="0.15">
      <c r="C498" s="1"/>
      <c r="E498" s="1"/>
    </row>
    <row r="499" spans="3:5" ht="13" x14ac:dyDescent="0.15">
      <c r="C499" s="1"/>
      <c r="E499" s="1"/>
    </row>
    <row r="500" spans="3:5" ht="13" x14ac:dyDescent="0.15">
      <c r="C500" s="1"/>
      <c r="E500" s="1"/>
    </row>
    <row r="501" spans="3:5" ht="13" x14ac:dyDescent="0.15">
      <c r="C501" s="1"/>
      <c r="E501" s="1"/>
    </row>
    <row r="502" spans="3:5" ht="13" x14ac:dyDescent="0.15">
      <c r="C502" s="1"/>
      <c r="E502" s="1"/>
    </row>
    <row r="503" spans="3:5" ht="13" x14ac:dyDescent="0.15">
      <c r="C503" s="1"/>
      <c r="E503" s="1"/>
    </row>
    <row r="504" spans="3:5" ht="13" x14ac:dyDescent="0.15">
      <c r="C504" s="1"/>
      <c r="E504" s="1"/>
    </row>
    <row r="505" spans="3:5" ht="13" x14ac:dyDescent="0.15">
      <c r="C505" s="1"/>
      <c r="E505" s="1"/>
    </row>
    <row r="506" spans="3:5" ht="13" x14ac:dyDescent="0.15">
      <c r="C506" s="1"/>
      <c r="E506" s="1"/>
    </row>
    <row r="507" spans="3:5" ht="13" x14ac:dyDescent="0.15">
      <c r="C507" s="1"/>
      <c r="E507" s="1"/>
    </row>
    <row r="508" spans="3:5" ht="13" x14ac:dyDescent="0.15">
      <c r="C508" s="1"/>
      <c r="E508" s="1"/>
    </row>
    <row r="509" spans="3:5" ht="13" x14ac:dyDescent="0.15">
      <c r="C509" s="1"/>
      <c r="E509" s="1"/>
    </row>
    <row r="510" spans="3:5" ht="13" x14ac:dyDescent="0.15">
      <c r="C510" s="1"/>
      <c r="E510" s="1"/>
    </row>
    <row r="511" spans="3:5" ht="13" x14ac:dyDescent="0.15">
      <c r="C511" s="1"/>
      <c r="E511" s="1"/>
    </row>
    <row r="512" spans="3:5" ht="13" x14ac:dyDescent="0.15">
      <c r="C512" s="1"/>
      <c r="E512" s="1"/>
    </row>
    <row r="513" spans="3:5" ht="13" x14ac:dyDescent="0.15">
      <c r="C513" s="1"/>
      <c r="E513" s="1"/>
    </row>
    <row r="514" spans="3:5" ht="13" x14ac:dyDescent="0.15">
      <c r="C514" s="1"/>
      <c r="E514" s="1"/>
    </row>
    <row r="515" spans="3:5" ht="13" x14ac:dyDescent="0.15">
      <c r="C515" s="1"/>
      <c r="E515" s="1"/>
    </row>
    <row r="516" spans="3:5" ht="13" x14ac:dyDescent="0.15">
      <c r="C516" s="1"/>
      <c r="E516" s="1"/>
    </row>
    <row r="517" spans="3:5" ht="13" x14ac:dyDescent="0.15">
      <c r="C517" s="1"/>
      <c r="E517" s="1"/>
    </row>
    <row r="518" spans="3:5" ht="13" x14ac:dyDescent="0.15">
      <c r="C518" s="1"/>
      <c r="E518" s="1"/>
    </row>
    <row r="519" spans="3:5" ht="13" x14ac:dyDescent="0.15">
      <c r="C519" s="1"/>
      <c r="E519" s="1"/>
    </row>
    <row r="520" spans="3:5" ht="13" x14ac:dyDescent="0.15">
      <c r="C520" s="1"/>
      <c r="E520" s="1"/>
    </row>
    <row r="521" spans="3:5" ht="13" x14ac:dyDescent="0.15">
      <c r="C521" s="1"/>
      <c r="E521" s="1"/>
    </row>
    <row r="522" spans="3:5" ht="13" x14ac:dyDescent="0.15">
      <c r="C522" s="1"/>
      <c r="E522" s="1"/>
    </row>
    <row r="523" spans="3:5" ht="13" x14ac:dyDescent="0.15">
      <c r="C523" s="1"/>
      <c r="E523" s="1"/>
    </row>
    <row r="524" spans="3:5" ht="13" x14ac:dyDescent="0.15">
      <c r="C524" s="1"/>
      <c r="E524" s="1"/>
    </row>
    <row r="525" spans="3:5" ht="13" x14ac:dyDescent="0.15">
      <c r="C525" s="1"/>
      <c r="E525" s="1"/>
    </row>
    <row r="526" spans="3:5" ht="13" x14ac:dyDescent="0.15">
      <c r="C526" s="1"/>
      <c r="E526" s="1"/>
    </row>
    <row r="527" spans="3:5" ht="13" x14ac:dyDescent="0.15">
      <c r="C527" s="1"/>
      <c r="E527" s="1"/>
    </row>
    <row r="528" spans="3:5" ht="13" x14ac:dyDescent="0.15">
      <c r="C528" s="1"/>
      <c r="E528" s="1"/>
    </row>
    <row r="529" spans="3:5" ht="13" x14ac:dyDescent="0.15">
      <c r="C529" s="1"/>
      <c r="E529" s="1"/>
    </row>
    <row r="530" spans="3:5" ht="13" x14ac:dyDescent="0.15">
      <c r="C530" s="1"/>
      <c r="E530" s="1"/>
    </row>
    <row r="531" spans="3:5" ht="13" x14ac:dyDescent="0.15">
      <c r="C531" s="1"/>
      <c r="E531" s="1"/>
    </row>
    <row r="532" spans="3:5" ht="13" x14ac:dyDescent="0.15">
      <c r="C532" s="1"/>
      <c r="E532" s="1"/>
    </row>
    <row r="533" spans="3:5" ht="13" x14ac:dyDescent="0.15">
      <c r="C533" s="1"/>
      <c r="E533" s="1"/>
    </row>
    <row r="534" spans="3:5" ht="13" x14ac:dyDescent="0.15">
      <c r="C534" s="1"/>
      <c r="E534" s="1"/>
    </row>
    <row r="535" spans="3:5" ht="13" x14ac:dyDescent="0.15">
      <c r="C535" s="1"/>
      <c r="E535" s="1"/>
    </row>
    <row r="536" spans="3:5" ht="13" x14ac:dyDescent="0.15">
      <c r="C536" s="1"/>
      <c r="E536" s="1"/>
    </row>
    <row r="537" spans="3:5" ht="13" x14ac:dyDescent="0.15">
      <c r="C537" s="1"/>
      <c r="E537" s="1"/>
    </row>
    <row r="538" spans="3:5" ht="13" x14ac:dyDescent="0.15">
      <c r="C538" s="1"/>
      <c r="E538" s="1"/>
    </row>
    <row r="539" spans="3:5" ht="13" x14ac:dyDescent="0.15">
      <c r="C539" s="1"/>
      <c r="E539" s="1"/>
    </row>
    <row r="540" spans="3:5" ht="13" x14ac:dyDescent="0.15">
      <c r="C540" s="1"/>
      <c r="E540" s="1"/>
    </row>
    <row r="541" spans="3:5" ht="13" x14ac:dyDescent="0.15">
      <c r="C541" s="1"/>
      <c r="E541" s="1"/>
    </row>
    <row r="542" spans="3:5" ht="13" x14ac:dyDescent="0.15">
      <c r="C542" s="1"/>
      <c r="E542" s="1"/>
    </row>
    <row r="543" spans="3:5" ht="13" x14ac:dyDescent="0.15">
      <c r="C543" s="1"/>
      <c r="E543" s="1"/>
    </row>
    <row r="544" spans="3:5" ht="13" x14ac:dyDescent="0.15">
      <c r="C544" s="1"/>
      <c r="E544" s="1"/>
    </row>
    <row r="545" spans="3:5" ht="13" x14ac:dyDescent="0.15">
      <c r="C545" s="1"/>
      <c r="E545" s="1"/>
    </row>
    <row r="546" spans="3:5" ht="13" x14ac:dyDescent="0.15">
      <c r="C546" s="1"/>
      <c r="E546" s="1"/>
    </row>
    <row r="547" spans="3:5" ht="13" x14ac:dyDescent="0.15">
      <c r="C547" s="1"/>
      <c r="E547" s="1"/>
    </row>
    <row r="548" spans="3:5" ht="13" x14ac:dyDescent="0.15">
      <c r="C548" s="1"/>
      <c r="E548" s="1"/>
    </row>
    <row r="549" spans="3:5" ht="13" x14ac:dyDescent="0.15">
      <c r="C549" s="1"/>
      <c r="E549" s="1"/>
    </row>
    <row r="550" spans="3:5" ht="13" x14ac:dyDescent="0.15">
      <c r="C550" s="1"/>
      <c r="E550" s="1"/>
    </row>
    <row r="551" spans="3:5" ht="13" x14ac:dyDescent="0.15">
      <c r="C551" s="1"/>
      <c r="E551" s="1"/>
    </row>
    <row r="552" spans="3:5" ht="13" x14ac:dyDescent="0.15">
      <c r="C552" s="1"/>
      <c r="E552" s="1"/>
    </row>
    <row r="553" spans="3:5" ht="13" x14ac:dyDescent="0.15">
      <c r="C553" s="1"/>
      <c r="E553" s="1"/>
    </row>
    <row r="554" spans="3:5" ht="13" x14ac:dyDescent="0.15">
      <c r="C554" s="1"/>
      <c r="E554" s="1"/>
    </row>
    <row r="555" spans="3:5" ht="13" x14ac:dyDescent="0.15">
      <c r="C555" s="1"/>
      <c r="E555" s="1"/>
    </row>
    <row r="556" spans="3:5" ht="13" x14ac:dyDescent="0.15">
      <c r="C556" s="1"/>
      <c r="E556" s="1"/>
    </row>
    <row r="557" spans="3:5" ht="13" x14ac:dyDescent="0.15">
      <c r="C557" s="1"/>
      <c r="E557" s="1"/>
    </row>
    <row r="558" spans="3:5" ht="13" x14ac:dyDescent="0.15">
      <c r="C558" s="1"/>
      <c r="E558" s="1"/>
    </row>
    <row r="559" spans="3:5" ht="13" x14ac:dyDescent="0.15">
      <c r="C559" s="1"/>
      <c r="E559" s="1"/>
    </row>
    <row r="560" spans="3:5" ht="13" x14ac:dyDescent="0.15">
      <c r="C560" s="1"/>
      <c r="E560" s="1"/>
    </row>
    <row r="561" spans="3:5" ht="13" x14ac:dyDescent="0.15">
      <c r="C561" s="1"/>
      <c r="E561" s="1"/>
    </row>
    <row r="562" spans="3:5" ht="13" x14ac:dyDescent="0.15">
      <c r="C562" s="1"/>
      <c r="E562" s="1"/>
    </row>
    <row r="563" spans="3:5" ht="13" x14ac:dyDescent="0.15">
      <c r="C563" s="1"/>
      <c r="E563" s="1"/>
    </row>
    <row r="564" spans="3:5" ht="13" x14ac:dyDescent="0.15">
      <c r="C564" s="1"/>
      <c r="E564" s="1"/>
    </row>
    <row r="565" spans="3:5" ht="13" x14ac:dyDescent="0.15">
      <c r="C565" s="1"/>
      <c r="E565" s="1"/>
    </row>
    <row r="566" spans="3:5" ht="13" x14ac:dyDescent="0.15">
      <c r="C566" s="1"/>
      <c r="E566" s="1"/>
    </row>
    <row r="567" spans="3:5" ht="13" x14ac:dyDescent="0.15">
      <c r="C567" s="1"/>
      <c r="E567" s="1"/>
    </row>
    <row r="568" spans="3:5" ht="13" x14ac:dyDescent="0.15">
      <c r="C568" s="1"/>
      <c r="E568" s="1"/>
    </row>
    <row r="569" spans="3:5" ht="13" x14ac:dyDescent="0.15">
      <c r="C569" s="1"/>
      <c r="E569" s="1"/>
    </row>
    <row r="570" spans="3:5" ht="13" x14ac:dyDescent="0.15">
      <c r="C570" s="1"/>
      <c r="E570" s="1"/>
    </row>
    <row r="571" spans="3:5" ht="13" x14ac:dyDescent="0.15">
      <c r="C571" s="1"/>
      <c r="E571" s="1"/>
    </row>
    <row r="572" spans="3:5" ht="13" x14ac:dyDescent="0.15">
      <c r="C572" s="1"/>
      <c r="E572" s="1"/>
    </row>
    <row r="573" spans="3:5" ht="13" x14ac:dyDescent="0.15">
      <c r="C573" s="1"/>
      <c r="E573" s="1"/>
    </row>
    <row r="574" spans="3:5" ht="13" x14ac:dyDescent="0.15">
      <c r="C574" s="1"/>
      <c r="E574" s="1"/>
    </row>
    <row r="575" spans="3:5" ht="13" x14ac:dyDescent="0.15">
      <c r="C575" s="1"/>
      <c r="E575" s="1"/>
    </row>
    <row r="576" spans="3:5" ht="13" x14ac:dyDescent="0.15">
      <c r="C576" s="1"/>
      <c r="E576" s="1"/>
    </row>
    <row r="577" spans="3:5" ht="13" x14ac:dyDescent="0.15">
      <c r="C577" s="1"/>
      <c r="E577" s="1"/>
    </row>
    <row r="578" spans="3:5" ht="13" x14ac:dyDescent="0.15">
      <c r="C578" s="1"/>
      <c r="E578" s="1"/>
    </row>
    <row r="579" spans="3:5" ht="13" x14ac:dyDescent="0.15">
      <c r="C579" s="1"/>
      <c r="E579" s="1"/>
    </row>
    <row r="580" spans="3:5" ht="13" x14ac:dyDescent="0.15">
      <c r="C580" s="1"/>
      <c r="E580" s="1"/>
    </row>
    <row r="581" spans="3:5" ht="13" x14ac:dyDescent="0.15">
      <c r="C581" s="1"/>
      <c r="E581" s="1"/>
    </row>
    <row r="582" spans="3:5" ht="13" x14ac:dyDescent="0.15">
      <c r="C582" s="1"/>
      <c r="E582" s="1"/>
    </row>
    <row r="583" spans="3:5" ht="13" x14ac:dyDescent="0.15">
      <c r="C583" s="1"/>
      <c r="E583" s="1"/>
    </row>
    <row r="584" spans="3:5" ht="13" x14ac:dyDescent="0.15">
      <c r="C584" s="1"/>
      <c r="E584" s="1"/>
    </row>
    <row r="585" spans="3:5" ht="13" x14ac:dyDescent="0.15">
      <c r="C585" s="1"/>
      <c r="E585" s="1"/>
    </row>
    <row r="586" spans="3:5" ht="13" x14ac:dyDescent="0.15">
      <c r="C586" s="1"/>
      <c r="E586" s="1"/>
    </row>
    <row r="587" spans="3:5" ht="13" x14ac:dyDescent="0.15">
      <c r="C587" s="1"/>
      <c r="E587" s="1"/>
    </row>
    <row r="588" spans="3:5" ht="13" x14ac:dyDescent="0.15">
      <c r="C588" s="1"/>
      <c r="E588" s="1"/>
    </row>
    <row r="589" spans="3:5" ht="13" x14ac:dyDescent="0.15">
      <c r="C589" s="1"/>
      <c r="E589" s="1"/>
    </row>
    <row r="590" spans="3:5" ht="13" x14ac:dyDescent="0.15">
      <c r="C590" s="1"/>
      <c r="E590" s="1"/>
    </row>
    <row r="591" spans="3:5" ht="13" x14ac:dyDescent="0.15">
      <c r="C591" s="1"/>
      <c r="E591" s="1"/>
    </row>
    <row r="592" spans="3:5" ht="13" x14ac:dyDescent="0.15">
      <c r="C592" s="1"/>
      <c r="E592" s="1"/>
    </row>
    <row r="593" spans="3:5" ht="13" x14ac:dyDescent="0.15">
      <c r="C593" s="1"/>
      <c r="E593" s="1"/>
    </row>
    <row r="594" spans="3:5" ht="13" x14ac:dyDescent="0.15">
      <c r="C594" s="1"/>
      <c r="E594" s="1"/>
    </row>
    <row r="595" spans="3:5" ht="13" x14ac:dyDescent="0.15">
      <c r="C595" s="1"/>
      <c r="E595" s="1"/>
    </row>
    <row r="596" spans="3:5" ht="13" x14ac:dyDescent="0.15">
      <c r="C596" s="1"/>
      <c r="E596" s="1"/>
    </row>
    <row r="597" spans="3:5" ht="13" x14ac:dyDescent="0.15">
      <c r="C597" s="1"/>
      <c r="E597" s="1"/>
    </row>
    <row r="598" spans="3:5" ht="13" x14ac:dyDescent="0.15">
      <c r="C598" s="1"/>
      <c r="E598" s="1"/>
    </row>
    <row r="599" spans="3:5" ht="13" x14ac:dyDescent="0.15">
      <c r="C599" s="1"/>
      <c r="E599" s="1"/>
    </row>
    <row r="600" spans="3:5" ht="13" x14ac:dyDescent="0.15">
      <c r="C600" s="1"/>
      <c r="E600" s="1"/>
    </row>
    <row r="601" spans="3:5" ht="13" x14ac:dyDescent="0.15">
      <c r="C601" s="1"/>
      <c r="E601" s="1"/>
    </row>
    <row r="602" spans="3:5" ht="13" x14ac:dyDescent="0.15">
      <c r="C602" s="1"/>
      <c r="E602" s="1"/>
    </row>
    <row r="603" spans="3:5" ht="13" x14ac:dyDescent="0.15">
      <c r="C603" s="1"/>
      <c r="E603" s="1"/>
    </row>
    <row r="604" spans="3:5" ht="13" x14ac:dyDescent="0.15">
      <c r="C604" s="1"/>
      <c r="E604" s="1"/>
    </row>
    <row r="605" spans="3:5" ht="13" x14ac:dyDescent="0.15">
      <c r="C605" s="1"/>
      <c r="E605" s="1"/>
    </row>
    <row r="606" spans="3:5" ht="13" x14ac:dyDescent="0.15">
      <c r="C606" s="1"/>
      <c r="E606" s="1"/>
    </row>
    <row r="607" spans="3:5" ht="13" x14ac:dyDescent="0.15">
      <c r="C607" s="1"/>
      <c r="E607" s="1"/>
    </row>
    <row r="608" spans="3:5" ht="13" x14ac:dyDescent="0.15">
      <c r="C608" s="1"/>
      <c r="E608" s="1"/>
    </row>
    <row r="609" spans="3:5" ht="13" x14ac:dyDescent="0.15">
      <c r="C609" s="1"/>
      <c r="E609" s="1"/>
    </row>
    <row r="610" spans="3:5" ht="13" x14ac:dyDescent="0.15">
      <c r="C610" s="1"/>
      <c r="E610" s="1"/>
    </row>
    <row r="611" spans="3:5" ht="13" x14ac:dyDescent="0.15">
      <c r="C611" s="1"/>
      <c r="E611" s="1"/>
    </row>
    <row r="612" spans="3:5" ht="13" x14ac:dyDescent="0.15">
      <c r="C612" s="1"/>
      <c r="E612" s="1"/>
    </row>
    <row r="613" spans="3:5" ht="13" x14ac:dyDescent="0.15">
      <c r="C613" s="1"/>
      <c r="E613" s="1"/>
    </row>
    <row r="614" spans="3:5" ht="13" x14ac:dyDescent="0.15">
      <c r="C614" s="1"/>
      <c r="E614" s="1"/>
    </row>
    <row r="615" spans="3:5" ht="13" x14ac:dyDescent="0.15">
      <c r="C615" s="1"/>
      <c r="E615" s="1"/>
    </row>
    <row r="616" spans="3:5" ht="13" x14ac:dyDescent="0.15">
      <c r="C616" s="1"/>
      <c r="E616" s="1"/>
    </row>
    <row r="617" spans="3:5" ht="13" x14ac:dyDescent="0.15">
      <c r="C617" s="1"/>
      <c r="E617" s="1"/>
    </row>
    <row r="618" spans="3:5" ht="13" x14ac:dyDescent="0.15">
      <c r="C618" s="1"/>
      <c r="E618" s="1"/>
    </row>
    <row r="619" spans="3:5" ht="13" x14ac:dyDescent="0.15">
      <c r="C619" s="1"/>
      <c r="E619" s="1"/>
    </row>
    <row r="620" spans="3:5" ht="13" x14ac:dyDescent="0.15">
      <c r="C620" s="1"/>
      <c r="E620" s="1"/>
    </row>
    <row r="621" spans="3:5" ht="13" x14ac:dyDescent="0.15">
      <c r="C621" s="1"/>
      <c r="E621" s="1"/>
    </row>
    <row r="622" spans="3:5" ht="13" x14ac:dyDescent="0.15">
      <c r="C622" s="1"/>
      <c r="E622" s="1"/>
    </row>
    <row r="623" spans="3:5" ht="13" x14ac:dyDescent="0.15">
      <c r="C623" s="1"/>
      <c r="E623" s="1"/>
    </row>
    <row r="624" spans="3:5" ht="13" x14ac:dyDescent="0.15">
      <c r="C624" s="1"/>
      <c r="E624" s="1"/>
    </row>
    <row r="625" spans="3:5" ht="13" x14ac:dyDescent="0.15">
      <c r="C625" s="1"/>
      <c r="E625" s="1"/>
    </row>
    <row r="626" spans="3:5" ht="13" x14ac:dyDescent="0.15">
      <c r="C626" s="1"/>
      <c r="E626" s="1"/>
    </row>
    <row r="627" spans="3:5" ht="13" x14ac:dyDescent="0.15">
      <c r="C627" s="1"/>
      <c r="E627" s="1"/>
    </row>
    <row r="628" spans="3:5" ht="13" x14ac:dyDescent="0.15">
      <c r="C628" s="1"/>
      <c r="E628" s="1"/>
    </row>
    <row r="629" spans="3:5" ht="13" x14ac:dyDescent="0.15">
      <c r="C629" s="1"/>
      <c r="E629" s="1"/>
    </row>
    <row r="630" spans="3:5" ht="13" x14ac:dyDescent="0.15">
      <c r="C630" s="1"/>
      <c r="E630" s="1"/>
    </row>
    <row r="631" spans="3:5" ht="13" x14ac:dyDescent="0.15">
      <c r="C631" s="1"/>
      <c r="E631" s="1"/>
    </row>
    <row r="632" spans="3:5" ht="13" x14ac:dyDescent="0.15">
      <c r="C632" s="1"/>
      <c r="E632" s="1"/>
    </row>
    <row r="633" spans="3:5" ht="13" x14ac:dyDescent="0.15">
      <c r="C633" s="1"/>
      <c r="E633" s="1"/>
    </row>
    <row r="634" spans="3:5" ht="13" x14ac:dyDescent="0.15">
      <c r="C634" s="1"/>
      <c r="E634" s="1"/>
    </row>
    <row r="635" spans="3:5" ht="13" x14ac:dyDescent="0.15">
      <c r="C635" s="1"/>
      <c r="E635" s="1"/>
    </row>
    <row r="636" spans="3:5" ht="13" x14ac:dyDescent="0.15">
      <c r="C636" s="1"/>
      <c r="E636" s="1"/>
    </row>
    <row r="637" spans="3:5" ht="13" x14ac:dyDescent="0.15">
      <c r="C637" s="1"/>
      <c r="E637" s="1"/>
    </row>
    <row r="638" spans="3:5" ht="13" x14ac:dyDescent="0.15">
      <c r="C638" s="1"/>
      <c r="E638" s="1"/>
    </row>
    <row r="639" spans="3:5" ht="13" x14ac:dyDescent="0.15">
      <c r="C639" s="1"/>
      <c r="E639" s="1"/>
    </row>
    <row r="640" spans="3:5" ht="13" x14ac:dyDescent="0.15">
      <c r="C640" s="1"/>
      <c r="E640" s="1"/>
    </row>
    <row r="641" spans="3:5" ht="13" x14ac:dyDescent="0.15">
      <c r="C641" s="1"/>
      <c r="E641" s="1"/>
    </row>
    <row r="642" spans="3:5" ht="13" x14ac:dyDescent="0.15">
      <c r="C642" s="1"/>
      <c r="E642" s="1"/>
    </row>
    <row r="643" spans="3:5" ht="13" x14ac:dyDescent="0.15">
      <c r="C643" s="1"/>
      <c r="E643" s="1"/>
    </row>
    <row r="644" spans="3:5" ht="13" x14ac:dyDescent="0.15">
      <c r="C644" s="1"/>
      <c r="E644" s="1"/>
    </row>
    <row r="645" spans="3:5" ht="13" x14ac:dyDescent="0.15">
      <c r="C645" s="1"/>
      <c r="E645" s="1"/>
    </row>
    <row r="646" spans="3:5" ht="13" x14ac:dyDescent="0.15">
      <c r="C646" s="1"/>
      <c r="E646" s="1"/>
    </row>
    <row r="647" spans="3:5" ht="13" x14ac:dyDescent="0.15">
      <c r="C647" s="1"/>
      <c r="E647" s="1"/>
    </row>
    <row r="648" spans="3:5" ht="13" x14ac:dyDescent="0.15">
      <c r="C648" s="1"/>
      <c r="E648" s="1"/>
    </row>
    <row r="649" spans="3:5" ht="13" x14ac:dyDescent="0.15">
      <c r="C649" s="1"/>
      <c r="E649" s="1"/>
    </row>
    <row r="650" spans="3:5" ht="13" x14ac:dyDescent="0.15">
      <c r="C650" s="1"/>
      <c r="E650" s="1"/>
    </row>
    <row r="651" spans="3:5" ht="13" x14ac:dyDescent="0.15">
      <c r="C651" s="1"/>
      <c r="E651" s="1"/>
    </row>
    <row r="652" spans="3:5" ht="13" x14ac:dyDescent="0.15">
      <c r="C652" s="1"/>
      <c r="E652" s="1"/>
    </row>
    <row r="653" spans="3:5" ht="13" x14ac:dyDescent="0.15">
      <c r="C653" s="1"/>
      <c r="E653" s="1"/>
    </row>
    <row r="654" spans="3:5" ht="13" x14ac:dyDescent="0.15">
      <c r="C654" s="1"/>
      <c r="E654" s="1"/>
    </row>
    <row r="655" spans="3:5" ht="13" x14ac:dyDescent="0.15">
      <c r="C655" s="1"/>
      <c r="E655" s="1"/>
    </row>
    <row r="656" spans="3:5" ht="13" x14ac:dyDescent="0.15">
      <c r="C656" s="1"/>
      <c r="E656" s="1"/>
    </row>
    <row r="657" spans="3:5" ht="13" x14ac:dyDescent="0.15">
      <c r="C657" s="1"/>
      <c r="E657" s="1"/>
    </row>
    <row r="658" spans="3:5" ht="13" x14ac:dyDescent="0.15">
      <c r="C658" s="1"/>
      <c r="E658" s="1"/>
    </row>
    <row r="659" spans="3:5" ht="13" x14ac:dyDescent="0.15">
      <c r="C659" s="1"/>
      <c r="E659" s="1"/>
    </row>
    <row r="660" spans="3:5" ht="13" x14ac:dyDescent="0.15">
      <c r="C660" s="1"/>
      <c r="E660" s="1"/>
    </row>
    <row r="661" spans="3:5" ht="13" x14ac:dyDescent="0.15">
      <c r="C661" s="1"/>
      <c r="E661" s="1"/>
    </row>
    <row r="662" spans="3:5" ht="13" x14ac:dyDescent="0.15">
      <c r="C662" s="1"/>
      <c r="E662" s="1"/>
    </row>
    <row r="663" spans="3:5" ht="13" x14ac:dyDescent="0.15">
      <c r="C663" s="1"/>
      <c r="E663" s="1"/>
    </row>
    <row r="664" spans="3:5" ht="13" x14ac:dyDescent="0.15">
      <c r="C664" s="1"/>
      <c r="E664" s="1"/>
    </row>
    <row r="665" spans="3:5" ht="13" x14ac:dyDescent="0.15">
      <c r="C665" s="1"/>
      <c r="E665" s="1"/>
    </row>
    <row r="666" spans="3:5" ht="13" x14ac:dyDescent="0.15">
      <c r="C666" s="1"/>
      <c r="E666" s="1"/>
    </row>
    <row r="667" spans="3:5" ht="13" x14ac:dyDescent="0.15">
      <c r="C667" s="1"/>
      <c r="E667" s="1"/>
    </row>
    <row r="668" spans="3:5" ht="13" x14ac:dyDescent="0.15">
      <c r="C668" s="1"/>
      <c r="E668" s="1"/>
    </row>
    <row r="669" spans="3:5" ht="13" x14ac:dyDescent="0.15">
      <c r="C669" s="1"/>
      <c r="E669" s="1"/>
    </row>
    <row r="670" spans="3:5" ht="13" x14ac:dyDescent="0.15">
      <c r="C670" s="1"/>
      <c r="E670" s="1"/>
    </row>
    <row r="671" spans="3:5" ht="13" x14ac:dyDescent="0.15">
      <c r="C671" s="1"/>
      <c r="E671" s="1"/>
    </row>
    <row r="672" spans="3:5" ht="13" x14ac:dyDescent="0.15">
      <c r="C672" s="1"/>
      <c r="E672" s="1"/>
    </row>
    <row r="673" spans="3:5" ht="13" x14ac:dyDescent="0.15">
      <c r="C673" s="1"/>
      <c r="E673" s="1"/>
    </row>
    <row r="674" spans="3:5" ht="13" x14ac:dyDescent="0.15">
      <c r="C674" s="1"/>
      <c r="E674" s="1"/>
    </row>
    <row r="675" spans="3:5" ht="13" x14ac:dyDescent="0.15">
      <c r="C675" s="1"/>
      <c r="E675" s="1"/>
    </row>
    <row r="676" spans="3:5" ht="13" x14ac:dyDescent="0.15">
      <c r="C676" s="1"/>
      <c r="E676" s="1"/>
    </row>
    <row r="677" spans="3:5" ht="13" x14ac:dyDescent="0.15">
      <c r="C677" s="1"/>
      <c r="E677" s="1"/>
    </row>
    <row r="678" spans="3:5" ht="13" x14ac:dyDescent="0.15">
      <c r="C678" s="1"/>
      <c r="E678" s="1"/>
    </row>
    <row r="679" spans="3:5" ht="13" x14ac:dyDescent="0.15">
      <c r="C679" s="1"/>
      <c r="E679" s="1"/>
    </row>
    <row r="680" spans="3:5" ht="13" x14ac:dyDescent="0.15">
      <c r="C680" s="1"/>
      <c r="E680" s="1"/>
    </row>
    <row r="681" spans="3:5" ht="13" x14ac:dyDescent="0.15">
      <c r="C681" s="1"/>
      <c r="E681" s="1"/>
    </row>
    <row r="682" spans="3:5" ht="13" x14ac:dyDescent="0.15">
      <c r="C682" s="1"/>
      <c r="E682" s="1"/>
    </row>
    <row r="683" spans="3:5" ht="13" x14ac:dyDescent="0.15">
      <c r="C683" s="1"/>
      <c r="E683" s="1"/>
    </row>
    <row r="684" spans="3:5" ht="13" x14ac:dyDescent="0.15">
      <c r="C684" s="1"/>
      <c r="E684" s="1"/>
    </row>
    <row r="685" spans="3:5" ht="13" x14ac:dyDescent="0.15">
      <c r="C685" s="1"/>
      <c r="E685" s="1"/>
    </row>
    <row r="686" spans="3:5" ht="13" x14ac:dyDescent="0.15">
      <c r="C686" s="1"/>
      <c r="E686" s="1"/>
    </row>
    <row r="687" spans="3:5" ht="13" x14ac:dyDescent="0.15">
      <c r="C687" s="1"/>
      <c r="E687" s="1"/>
    </row>
    <row r="688" spans="3:5" ht="13" x14ac:dyDescent="0.15">
      <c r="C688" s="1"/>
      <c r="E688" s="1"/>
    </row>
    <row r="689" spans="3:5" ht="13" x14ac:dyDescent="0.15">
      <c r="C689" s="1"/>
      <c r="E689" s="1"/>
    </row>
    <row r="690" spans="3:5" ht="13" x14ac:dyDescent="0.15">
      <c r="C690" s="1"/>
      <c r="E690" s="1"/>
    </row>
    <row r="691" spans="3:5" ht="13" x14ac:dyDescent="0.15">
      <c r="C691" s="1"/>
      <c r="E691" s="1"/>
    </row>
    <row r="692" spans="3:5" ht="13" x14ac:dyDescent="0.15">
      <c r="C692" s="1"/>
      <c r="E692" s="1"/>
    </row>
    <row r="693" spans="3:5" ht="13" x14ac:dyDescent="0.15">
      <c r="C693" s="1"/>
      <c r="E693" s="1"/>
    </row>
    <row r="694" spans="3:5" ht="13" x14ac:dyDescent="0.15">
      <c r="C694" s="1"/>
      <c r="E694" s="1"/>
    </row>
    <row r="695" spans="3:5" ht="13" x14ac:dyDescent="0.15">
      <c r="C695" s="1"/>
      <c r="E695" s="1"/>
    </row>
    <row r="696" spans="3:5" ht="13" x14ac:dyDescent="0.15">
      <c r="C696" s="1"/>
      <c r="E696" s="1"/>
    </row>
    <row r="697" spans="3:5" ht="13" x14ac:dyDescent="0.15">
      <c r="C697" s="1"/>
      <c r="E697" s="1"/>
    </row>
    <row r="698" spans="3:5" ht="13" x14ac:dyDescent="0.15">
      <c r="C698" s="1"/>
      <c r="E698" s="1"/>
    </row>
    <row r="699" spans="3:5" ht="13" x14ac:dyDescent="0.15">
      <c r="C699" s="1"/>
      <c r="E699" s="1"/>
    </row>
    <row r="700" spans="3:5" ht="13" x14ac:dyDescent="0.15">
      <c r="C700" s="1"/>
      <c r="E700" s="1"/>
    </row>
    <row r="701" spans="3:5" ht="13" x14ac:dyDescent="0.15">
      <c r="C701" s="1"/>
      <c r="E701" s="1"/>
    </row>
    <row r="702" spans="3:5" ht="13" x14ac:dyDescent="0.15">
      <c r="C702" s="1"/>
      <c r="E702" s="1"/>
    </row>
    <row r="703" spans="3:5" ht="13" x14ac:dyDescent="0.15">
      <c r="C703" s="1"/>
      <c r="E703" s="1"/>
    </row>
    <row r="704" spans="3:5" ht="13" x14ac:dyDescent="0.15">
      <c r="C704" s="1"/>
      <c r="E704" s="1"/>
    </row>
    <row r="705" spans="3:5" ht="13" x14ac:dyDescent="0.15">
      <c r="C705" s="1"/>
      <c r="E705" s="1"/>
    </row>
    <row r="706" spans="3:5" ht="13" x14ac:dyDescent="0.15">
      <c r="C706" s="1"/>
      <c r="E706" s="1"/>
    </row>
    <row r="707" spans="3:5" ht="13" x14ac:dyDescent="0.15">
      <c r="C707" s="1"/>
      <c r="E707" s="1"/>
    </row>
    <row r="708" spans="3:5" ht="13" x14ac:dyDescent="0.15">
      <c r="C708" s="1"/>
      <c r="E708" s="1"/>
    </row>
    <row r="709" spans="3:5" ht="13" x14ac:dyDescent="0.15">
      <c r="C709" s="1"/>
      <c r="E709" s="1"/>
    </row>
    <row r="710" spans="3:5" ht="13" x14ac:dyDescent="0.15">
      <c r="C710" s="1"/>
      <c r="E710" s="1"/>
    </row>
    <row r="711" spans="3:5" ht="13" x14ac:dyDescent="0.15">
      <c r="C711" s="1"/>
      <c r="E711" s="1"/>
    </row>
    <row r="712" spans="3:5" ht="13" x14ac:dyDescent="0.15">
      <c r="C712" s="1"/>
      <c r="E712" s="1"/>
    </row>
    <row r="713" spans="3:5" ht="13" x14ac:dyDescent="0.15">
      <c r="C713" s="1"/>
      <c r="E713" s="1"/>
    </row>
    <row r="714" spans="3:5" ht="13" x14ac:dyDescent="0.15">
      <c r="C714" s="1"/>
      <c r="E714" s="1"/>
    </row>
    <row r="715" spans="3:5" ht="13" x14ac:dyDescent="0.15">
      <c r="C715" s="1"/>
      <c r="E715" s="1"/>
    </row>
    <row r="716" spans="3:5" ht="13" x14ac:dyDescent="0.15">
      <c r="C716" s="1"/>
      <c r="E716" s="1"/>
    </row>
    <row r="717" spans="3:5" ht="13" x14ac:dyDescent="0.15">
      <c r="C717" s="1"/>
      <c r="E717" s="1"/>
    </row>
    <row r="718" spans="3:5" ht="13" x14ac:dyDescent="0.15">
      <c r="C718" s="1"/>
      <c r="E718" s="1"/>
    </row>
    <row r="719" spans="3:5" ht="13" x14ac:dyDescent="0.15">
      <c r="C719" s="1"/>
      <c r="E719" s="1"/>
    </row>
    <row r="720" spans="3:5" ht="13" x14ac:dyDescent="0.15">
      <c r="C720" s="1"/>
      <c r="E720" s="1"/>
    </row>
    <row r="721" spans="3:5" ht="13" x14ac:dyDescent="0.15">
      <c r="C721" s="1"/>
      <c r="E721" s="1"/>
    </row>
    <row r="722" spans="3:5" ht="13" x14ac:dyDescent="0.15">
      <c r="C722" s="1"/>
      <c r="E722" s="1"/>
    </row>
    <row r="723" spans="3:5" ht="13" x14ac:dyDescent="0.15">
      <c r="C723" s="1"/>
      <c r="E723" s="1"/>
    </row>
    <row r="724" spans="3:5" ht="13" x14ac:dyDescent="0.15">
      <c r="C724" s="1"/>
      <c r="E724" s="1"/>
    </row>
    <row r="725" spans="3:5" ht="13" x14ac:dyDescent="0.15">
      <c r="C725" s="1"/>
      <c r="E725" s="1"/>
    </row>
    <row r="726" spans="3:5" ht="13" x14ac:dyDescent="0.15">
      <c r="C726" s="1"/>
      <c r="E726" s="1"/>
    </row>
    <row r="727" spans="3:5" ht="13" x14ac:dyDescent="0.15">
      <c r="C727" s="1"/>
      <c r="E727" s="1"/>
    </row>
    <row r="728" spans="3:5" ht="13" x14ac:dyDescent="0.15">
      <c r="C728" s="1"/>
      <c r="E728" s="1"/>
    </row>
    <row r="729" spans="3:5" ht="13" x14ac:dyDescent="0.15">
      <c r="C729" s="1"/>
      <c r="E729" s="1"/>
    </row>
    <row r="730" spans="3:5" ht="13" x14ac:dyDescent="0.15">
      <c r="C730" s="1"/>
      <c r="E730" s="1"/>
    </row>
    <row r="731" spans="3:5" ht="13" x14ac:dyDescent="0.15">
      <c r="C731" s="1"/>
      <c r="E731" s="1"/>
    </row>
    <row r="732" spans="3:5" ht="13" x14ac:dyDescent="0.15">
      <c r="C732" s="1"/>
      <c r="E732" s="1"/>
    </row>
    <row r="733" spans="3:5" ht="13" x14ac:dyDescent="0.15">
      <c r="C733" s="1"/>
      <c r="E733" s="1"/>
    </row>
    <row r="734" spans="3:5" ht="13" x14ac:dyDescent="0.15">
      <c r="C734" s="1"/>
      <c r="E734" s="1"/>
    </row>
    <row r="735" spans="3:5" ht="13" x14ac:dyDescent="0.15">
      <c r="C735" s="1"/>
      <c r="E735" s="1"/>
    </row>
    <row r="736" spans="3:5" ht="13" x14ac:dyDescent="0.15">
      <c r="C736" s="1"/>
      <c r="E736" s="1"/>
    </row>
    <row r="737" spans="3:5" ht="13" x14ac:dyDescent="0.15">
      <c r="C737" s="1"/>
      <c r="E737" s="1"/>
    </row>
    <row r="738" spans="3:5" ht="13" x14ac:dyDescent="0.15">
      <c r="C738" s="1"/>
      <c r="E738" s="1"/>
    </row>
    <row r="739" spans="3:5" ht="13" x14ac:dyDescent="0.15">
      <c r="C739" s="1"/>
      <c r="E739" s="1"/>
    </row>
    <row r="740" spans="3:5" ht="13" x14ac:dyDescent="0.15">
      <c r="C740" s="1"/>
      <c r="E740" s="1"/>
    </row>
    <row r="741" spans="3:5" ht="13" x14ac:dyDescent="0.15">
      <c r="C741" s="1"/>
      <c r="E741" s="1"/>
    </row>
    <row r="742" spans="3:5" ht="13" x14ac:dyDescent="0.15">
      <c r="C742" s="1"/>
      <c r="E742" s="1"/>
    </row>
    <row r="743" spans="3:5" ht="13" x14ac:dyDescent="0.15">
      <c r="C743" s="1"/>
      <c r="E743" s="1"/>
    </row>
    <row r="744" spans="3:5" ht="13" x14ac:dyDescent="0.15">
      <c r="C744" s="1"/>
      <c r="E744" s="1"/>
    </row>
    <row r="745" spans="3:5" ht="13" x14ac:dyDescent="0.15">
      <c r="C745" s="1"/>
      <c r="E745" s="1"/>
    </row>
    <row r="746" spans="3:5" ht="13" x14ac:dyDescent="0.15">
      <c r="C746" s="1"/>
      <c r="E746" s="1"/>
    </row>
    <row r="747" spans="3:5" ht="13" x14ac:dyDescent="0.15">
      <c r="C747" s="1"/>
      <c r="E747" s="1"/>
    </row>
    <row r="748" spans="3:5" ht="13" x14ac:dyDescent="0.15">
      <c r="C748" s="1"/>
      <c r="E748" s="1"/>
    </row>
    <row r="749" spans="3:5" ht="13" x14ac:dyDescent="0.15">
      <c r="C749" s="1"/>
      <c r="E749" s="1"/>
    </row>
    <row r="750" spans="3:5" ht="13" x14ac:dyDescent="0.15">
      <c r="C750" s="1"/>
      <c r="E750" s="1"/>
    </row>
    <row r="751" spans="3:5" ht="13" x14ac:dyDescent="0.15">
      <c r="C751" s="1"/>
      <c r="E751" s="1"/>
    </row>
    <row r="752" spans="3:5" ht="13" x14ac:dyDescent="0.15">
      <c r="C752" s="1"/>
      <c r="E752" s="1"/>
    </row>
    <row r="753" spans="3:5" ht="13" x14ac:dyDescent="0.15">
      <c r="C753" s="1"/>
      <c r="E753" s="1"/>
    </row>
    <row r="754" spans="3:5" ht="13" x14ac:dyDescent="0.15">
      <c r="C754" s="1"/>
      <c r="E754" s="1"/>
    </row>
    <row r="755" spans="3:5" ht="13" x14ac:dyDescent="0.15">
      <c r="C755" s="1"/>
      <c r="E755" s="1"/>
    </row>
    <row r="756" spans="3:5" ht="13" x14ac:dyDescent="0.15">
      <c r="C756" s="1"/>
      <c r="E756" s="1"/>
    </row>
    <row r="757" spans="3:5" ht="13" x14ac:dyDescent="0.15">
      <c r="C757" s="1"/>
      <c r="E757" s="1"/>
    </row>
    <row r="758" spans="3:5" ht="13" x14ac:dyDescent="0.15">
      <c r="C758" s="1"/>
      <c r="E758" s="1"/>
    </row>
    <row r="759" spans="3:5" ht="13" x14ac:dyDescent="0.15">
      <c r="C759" s="1"/>
      <c r="E759" s="1"/>
    </row>
    <row r="760" spans="3:5" ht="13" x14ac:dyDescent="0.15">
      <c r="C760" s="1"/>
      <c r="E760" s="1"/>
    </row>
    <row r="761" spans="3:5" ht="13" x14ac:dyDescent="0.15">
      <c r="C761" s="1"/>
      <c r="E761" s="1"/>
    </row>
    <row r="762" spans="3:5" ht="13" x14ac:dyDescent="0.15">
      <c r="C762" s="1"/>
      <c r="E762" s="1"/>
    </row>
    <row r="763" spans="3:5" ht="13" x14ac:dyDescent="0.15">
      <c r="C763" s="1"/>
      <c r="E763" s="1"/>
    </row>
    <row r="764" spans="3:5" ht="13" x14ac:dyDescent="0.15">
      <c r="C764" s="1"/>
      <c r="E764" s="1"/>
    </row>
    <row r="765" spans="3:5" ht="13" x14ac:dyDescent="0.15">
      <c r="C765" s="1"/>
      <c r="E765" s="1"/>
    </row>
    <row r="766" spans="3:5" ht="13" x14ac:dyDescent="0.15">
      <c r="C766" s="1"/>
      <c r="E766" s="1"/>
    </row>
    <row r="767" spans="3:5" ht="13" x14ac:dyDescent="0.15">
      <c r="C767" s="1"/>
      <c r="E767" s="1"/>
    </row>
    <row r="768" spans="3:5" ht="13" x14ac:dyDescent="0.15">
      <c r="C768" s="1"/>
      <c r="E768" s="1"/>
    </row>
    <row r="769" spans="3:5" ht="13" x14ac:dyDescent="0.15">
      <c r="C769" s="1"/>
      <c r="E769" s="1"/>
    </row>
    <row r="770" spans="3:5" ht="13" x14ac:dyDescent="0.15">
      <c r="C770" s="1"/>
      <c r="E770" s="1"/>
    </row>
    <row r="771" spans="3:5" ht="13" x14ac:dyDescent="0.15">
      <c r="C771" s="1"/>
      <c r="E771" s="1"/>
    </row>
    <row r="772" spans="3:5" ht="13" x14ac:dyDescent="0.15">
      <c r="C772" s="1"/>
      <c r="E772" s="1"/>
    </row>
    <row r="773" spans="3:5" ht="13" x14ac:dyDescent="0.15">
      <c r="C773" s="1"/>
      <c r="E773" s="1"/>
    </row>
    <row r="774" spans="3:5" ht="13" x14ac:dyDescent="0.15">
      <c r="C774" s="1"/>
      <c r="E774" s="1"/>
    </row>
    <row r="775" spans="3:5" ht="13" x14ac:dyDescent="0.15">
      <c r="C775" s="1"/>
      <c r="E775" s="1"/>
    </row>
    <row r="776" spans="3:5" ht="13" x14ac:dyDescent="0.15">
      <c r="C776" s="1"/>
      <c r="E776" s="1"/>
    </row>
    <row r="777" spans="3:5" ht="13" x14ac:dyDescent="0.15">
      <c r="C777" s="1"/>
      <c r="E777" s="1"/>
    </row>
    <row r="778" spans="3:5" ht="13" x14ac:dyDescent="0.15">
      <c r="C778" s="1"/>
      <c r="E778" s="1"/>
    </row>
    <row r="779" spans="3:5" ht="13" x14ac:dyDescent="0.15">
      <c r="C779" s="1"/>
      <c r="E779" s="1"/>
    </row>
    <row r="780" spans="3:5" ht="13" x14ac:dyDescent="0.15">
      <c r="C780" s="1"/>
      <c r="E780" s="1"/>
    </row>
    <row r="781" spans="3:5" ht="13" x14ac:dyDescent="0.15">
      <c r="C781" s="1"/>
      <c r="E781" s="1"/>
    </row>
    <row r="782" spans="3:5" ht="13" x14ac:dyDescent="0.15">
      <c r="C782" s="1"/>
      <c r="E782" s="1"/>
    </row>
    <row r="783" spans="3:5" ht="13" x14ac:dyDescent="0.15">
      <c r="C783" s="1"/>
      <c r="E783" s="1"/>
    </row>
    <row r="784" spans="3:5" ht="13" x14ac:dyDescent="0.15">
      <c r="C784" s="1"/>
      <c r="E784" s="1"/>
    </row>
    <row r="785" spans="3:5" ht="13" x14ac:dyDescent="0.15">
      <c r="C785" s="1"/>
      <c r="E785" s="1"/>
    </row>
    <row r="786" spans="3:5" ht="13" x14ac:dyDescent="0.15">
      <c r="C786" s="1"/>
      <c r="E786" s="1"/>
    </row>
    <row r="787" spans="3:5" ht="13" x14ac:dyDescent="0.15">
      <c r="C787" s="1"/>
      <c r="E787" s="1"/>
    </row>
    <row r="788" spans="3:5" ht="13" x14ac:dyDescent="0.15">
      <c r="C788" s="1"/>
      <c r="E788" s="1"/>
    </row>
    <row r="789" spans="3:5" ht="13" x14ac:dyDescent="0.15">
      <c r="C789" s="1"/>
      <c r="E789" s="1"/>
    </row>
    <row r="790" spans="3:5" ht="13" x14ac:dyDescent="0.15">
      <c r="C790" s="1"/>
      <c r="E790" s="1"/>
    </row>
    <row r="791" spans="3:5" ht="13" x14ac:dyDescent="0.15">
      <c r="C791" s="1"/>
      <c r="E791" s="1"/>
    </row>
    <row r="792" spans="3:5" ht="13" x14ac:dyDescent="0.15">
      <c r="C792" s="1"/>
      <c r="E792" s="1"/>
    </row>
    <row r="793" spans="3:5" ht="13" x14ac:dyDescent="0.15">
      <c r="C793" s="1"/>
      <c r="E793" s="1"/>
    </row>
    <row r="794" spans="3:5" ht="13" x14ac:dyDescent="0.15">
      <c r="C794" s="1"/>
      <c r="E794" s="1"/>
    </row>
    <row r="795" spans="3:5" ht="13" x14ac:dyDescent="0.15">
      <c r="C795" s="1"/>
      <c r="E795" s="1"/>
    </row>
    <row r="796" spans="3:5" ht="13" x14ac:dyDescent="0.15">
      <c r="C796" s="1"/>
      <c r="E796" s="1"/>
    </row>
    <row r="797" spans="3:5" ht="13" x14ac:dyDescent="0.15">
      <c r="C797" s="1"/>
      <c r="E797" s="1"/>
    </row>
    <row r="798" spans="3:5" ht="13" x14ac:dyDescent="0.15">
      <c r="C798" s="1"/>
      <c r="E798" s="1"/>
    </row>
    <row r="799" spans="3:5" ht="13" x14ac:dyDescent="0.15">
      <c r="C799" s="1"/>
      <c r="E799" s="1"/>
    </row>
    <row r="800" spans="3:5" ht="13" x14ac:dyDescent="0.15">
      <c r="C800" s="1"/>
      <c r="E800" s="1"/>
    </row>
    <row r="801" spans="3:5" ht="13" x14ac:dyDescent="0.15">
      <c r="C801" s="1"/>
      <c r="E801" s="1"/>
    </row>
    <row r="802" spans="3:5" ht="13" x14ac:dyDescent="0.15">
      <c r="C802" s="1"/>
      <c r="E802" s="1"/>
    </row>
    <row r="803" spans="3:5" ht="13" x14ac:dyDescent="0.15">
      <c r="C803" s="1"/>
      <c r="E803" s="1"/>
    </row>
    <row r="804" spans="3:5" ht="13" x14ac:dyDescent="0.15">
      <c r="C804" s="1"/>
      <c r="E804" s="1"/>
    </row>
    <row r="805" spans="3:5" ht="13" x14ac:dyDescent="0.15">
      <c r="C805" s="1"/>
      <c r="E805" s="1"/>
    </row>
    <row r="806" spans="3:5" ht="13" x14ac:dyDescent="0.15">
      <c r="C806" s="1"/>
      <c r="E806" s="1"/>
    </row>
    <row r="807" spans="3:5" ht="13" x14ac:dyDescent="0.15">
      <c r="C807" s="1"/>
      <c r="E807" s="1"/>
    </row>
    <row r="808" spans="3:5" ht="13" x14ac:dyDescent="0.15">
      <c r="C808" s="1"/>
      <c r="E808" s="1"/>
    </row>
    <row r="809" spans="3:5" ht="13" x14ac:dyDescent="0.15">
      <c r="C809" s="1"/>
      <c r="E809" s="1"/>
    </row>
    <row r="810" spans="3:5" ht="13" x14ac:dyDescent="0.15">
      <c r="C810" s="1"/>
      <c r="E810" s="1"/>
    </row>
    <row r="811" spans="3:5" ht="13" x14ac:dyDescent="0.15">
      <c r="C811" s="1"/>
      <c r="E811" s="1"/>
    </row>
    <row r="812" spans="3:5" ht="13" x14ac:dyDescent="0.15">
      <c r="C812" s="1"/>
      <c r="E812" s="1"/>
    </row>
    <row r="813" spans="3:5" ht="13" x14ac:dyDescent="0.15">
      <c r="C813" s="1"/>
      <c r="E813" s="1"/>
    </row>
    <row r="814" spans="3:5" ht="13" x14ac:dyDescent="0.15">
      <c r="C814" s="1"/>
      <c r="E814" s="1"/>
    </row>
    <row r="815" spans="3:5" ht="13" x14ac:dyDescent="0.15">
      <c r="C815" s="1"/>
      <c r="E815" s="1"/>
    </row>
    <row r="816" spans="3:5" ht="13" x14ac:dyDescent="0.15">
      <c r="C816" s="1"/>
      <c r="E816" s="1"/>
    </row>
    <row r="817" spans="3:5" ht="13" x14ac:dyDescent="0.15">
      <c r="C817" s="1"/>
      <c r="E817" s="1"/>
    </row>
    <row r="818" spans="3:5" ht="13" x14ac:dyDescent="0.15">
      <c r="C818" s="1"/>
      <c r="E818" s="1"/>
    </row>
    <row r="819" spans="3:5" ht="13" x14ac:dyDescent="0.15">
      <c r="C819" s="1"/>
      <c r="E819" s="1"/>
    </row>
    <row r="820" spans="3:5" ht="13" x14ac:dyDescent="0.15">
      <c r="C820" s="1"/>
      <c r="E820" s="1"/>
    </row>
    <row r="821" spans="3:5" ht="13" x14ac:dyDescent="0.15">
      <c r="C821" s="1"/>
      <c r="E821" s="1"/>
    </row>
    <row r="822" spans="3:5" ht="13" x14ac:dyDescent="0.15">
      <c r="C822" s="1"/>
      <c r="E822" s="1"/>
    </row>
    <row r="823" spans="3:5" ht="13" x14ac:dyDescent="0.15">
      <c r="C823" s="1"/>
      <c r="E823" s="1"/>
    </row>
    <row r="824" spans="3:5" ht="13" x14ac:dyDescent="0.15">
      <c r="C824" s="1"/>
      <c r="E824" s="1"/>
    </row>
    <row r="825" spans="3:5" ht="13" x14ac:dyDescent="0.15">
      <c r="C825" s="1"/>
      <c r="E825" s="1"/>
    </row>
    <row r="826" spans="3:5" ht="13" x14ac:dyDescent="0.15">
      <c r="C826" s="1"/>
      <c r="E826" s="1"/>
    </row>
    <row r="827" spans="3:5" ht="13" x14ac:dyDescent="0.15">
      <c r="C827" s="1"/>
      <c r="E827" s="1"/>
    </row>
    <row r="828" spans="3:5" ht="13" x14ac:dyDescent="0.15">
      <c r="C828" s="1"/>
      <c r="E828" s="1"/>
    </row>
    <row r="829" spans="3:5" ht="13" x14ac:dyDescent="0.15">
      <c r="C829" s="1"/>
      <c r="E829" s="1"/>
    </row>
    <row r="830" spans="3:5" ht="13" x14ac:dyDescent="0.15">
      <c r="C830" s="1"/>
      <c r="E830" s="1"/>
    </row>
    <row r="831" spans="3:5" ht="13" x14ac:dyDescent="0.15">
      <c r="C831" s="1"/>
      <c r="E831" s="1"/>
    </row>
    <row r="832" spans="3:5" ht="13" x14ac:dyDescent="0.15">
      <c r="C832" s="1"/>
      <c r="E832" s="1"/>
    </row>
    <row r="833" spans="3:5" ht="13" x14ac:dyDescent="0.15">
      <c r="C833" s="1"/>
      <c r="E833" s="1"/>
    </row>
    <row r="834" spans="3:5" ht="13" x14ac:dyDescent="0.15">
      <c r="C834" s="1"/>
      <c r="E834" s="1"/>
    </row>
    <row r="835" spans="3:5" ht="13" x14ac:dyDescent="0.15">
      <c r="C835" s="1"/>
      <c r="E835" s="1"/>
    </row>
    <row r="836" spans="3:5" ht="13" x14ac:dyDescent="0.15">
      <c r="C836" s="1"/>
      <c r="E836" s="1"/>
    </row>
    <row r="837" spans="3:5" ht="13" x14ac:dyDescent="0.15">
      <c r="C837" s="1"/>
      <c r="E837" s="1"/>
    </row>
    <row r="838" spans="3:5" ht="13" x14ac:dyDescent="0.15">
      <c r="C838" s="1"/>
      <c r="E838" s="1"/>
    </row>
    <row r="839" spans="3:5" ht="13" x14ac:dyDescent="0.15">
      <c r="C839" s="1"/>
      <c r="E839" s="1"/>
    </row>
    <row r="840" spans="3:5" ht="13" x14ac:dyDescent="0.15">
      <c r="C840" s="1"/>
      <c r="E840" s="1"/>
    </row>
    <row r="841" spans="3:5" ht="13" x14ac:dyDescent="0.15">
      <c r="C841" s="1"/>
      <c r="E841" s="1"/>
    </row>
    <row r="842" spans="3:5" ht="13" x14ac:dyDescent="0.15">
      <c r="C842" s="1"/>
      <c r="E842" s="1"/>
    </row>
    <row r="843" spans="3:5" ht="13" x14ac:dyDescent="0.15">
      <c r="C843" s="1"/>
      <c r="E843" s="1"/>
    </row>
    <row r="844" spans="3:5" ht="13" x14ac:dyDescent="0.15">
      <c r="C844" s="1"/>
      <c r="E844" s="1"/>
    </row>
    <row r="845" spans="3:5" ht="13" x14ac:dyDescent="0.15">
      <c r="C845" s="1"/>
      <c r="E845" s="1"/>
    </row>
    <row r="846" spans="3:5" ht="13" x14ac:dyDescent="0.15">
      <c r="C846" s="1"/>
      <c r="E846" s="1"/>
    </row>
    <row r="847" spans="3:5" ht="13" x14ac:dyDescent="0.15">
      <c r="C847" s="1"/>
      <c r="E847" s="1"/>
    </row>
    <row r="848" spans="3:5" ht="13" x14ac:dyDescent="0.15">
      <c r="C848" s="1"/>
      <c r="E848" s="1"/>
    </row>
    <row r="849" spans="3:5" ht="13" x14ac:dyDescent="0.15">
      <c r="C849" s="1"/>
      <c r="E849" s="1"/>
    </row>
    <row r="850" spans="3:5" ht="13" x14ac:dyDescent="0.15">
      <c r="C850" s="1"/>
      <c r="E850" s="1"/>
    </row>
    <row r="851" spans="3:5" ht="13" x14ac:dyDescent="0.15">
      <c r="C851" s="1"/>
      <c r="E851" s="1"/>
    </row>
    <row r="852" spans="3:5" ht="13" x14ac:dyDescent="0.15">
      <c r="C852" s="1"/>
      <c r="E852" s="1"/>
    </row>
    <row r="853" spans="3:5" ht="13" x14ac:dyDescent="0.15">
      <c r="C853" s="1"/>
      <c r="E853" s="1"/>
    </row>
    <row r="854" spans="3:5" ht="13" x14ac:dyDescent="0.15">
      <c r="C854" s="1"/>
      <c r="E854" s="1"/>
    </row>
    <row r="855" spans="3:5" ht="13" x14ac:dyDescent="0.15">
      <c r="C855" s="1"/>
      <c r="E855" s="1"/>
    </row>
    <row r="856" spans="3:5" ht="13" x14ac:dyDescent="0.15">
      <c r="C856" s="1"/>
      <c r="E856" s="1"/>
    </row>
    <row r="857" spans="3:5" ht="13" x14ac:dyDescent="0.15">
      <c r="C857" s="1"/>
      <c r="E857" s="1"/>
    </row>
    <row r="858" spans="3:5" ht="13" x14ac:dyDescent="0.15">
      <c r="C858" s="1"/>
      <c r="E858" s="1"/>
    </row>
    <row r="859" spans="3:5" ht="13" x14ac:dyDescent="0.15">
      <c r="C859" s="1"/>
      <c r="E859" s="1"/>
    </row>
    <row r="860" spans="3:5" ht="13" x14ac:dyDescent="0.15">
      <c r="C860" s="1"/>
      <c r="E860" s="1"/>
    </row>
    <row r="861" spans="3:5" ht="13" x14ac:dyDescent="0.15">
      <c r="C861" s="1"/>
      <c r="E861" s="1"/>
    </row>
    <row r="862" spans="3:5" ht="13" x14ac:dyDescent="0.15">
      <c r="C862" s="1"/>
      <c r="E862" s="1"/>
    </row>
    <row r="863" spans="3:5" ht="13" x14ac:dyDescent="0.15">
      <c r="C863" s="1"/>
      <c r="E863" s="1"/>
    </row>
    <row r="864" spans="3:5" ht="13" x14ac:dyDescent="0.15">
      <c r="C864" s="1"/>
      <c r="E864" s="1"/>
    </row>
    <row r="865" spans="3:5" ht="13" x14ac:dyDescent="0.15">
      <c r="C865" s="1"/>
      <c r="E865" s="1"/>
    </row>
    <row r="866" spans="3:5" ht="13" x14ac:dyDescent="0.15">
      <c r="C866" s="1"/>
      <c r="E866" s="1"/>
    </row>
    <row r="867" spans="3:5" ht="13" x14ac:dyDescent="0.15">
      <c r="C867" s="1"/>
      <c r="E867" s="1"/>
    </row>
    <row r="868" spans="3:5" ht="13" x14ac:dyDescent="0.15">
      <c r="C868" s="1"/>
      <c r="E868" s="1"/>
    </row>
    <row r="869" spans="3:5" ht="13" x14ac:dyDescent="0.15">
      <c r="C869" s="1"/>
      <c r="E869" s="1"/>
    </row>
    <row r="870" spans="3:5" ht="13" x14ac:dyDescent="0.15">
      <c r="C870" s="1"/>
      <c r="E870" s="1"/>
    </row>
    <row r="871" spans="3:5" ht="13" x14ac:dyDescent="0.15">
      <c r="C871" s="1"/>
      <c r="E871" s="1"/>
    </row>
    <row r="872" spans="3:5" ht="13" x14ac:dyDescent="0.15">
      <c r="C872" s="1"/>
      <c r="E872" s="1"/>
    </row>
    <row r="873" spans="3:5" ht="13" x14ac:dyDescent="0.15">
      <c r="C873" s="1"/>
      <c r="E873" s="1"/>
    </row>
    <row r="874" spans="3:5" ht="13" x14ac:dyDescent="0.15">
      <c r="C874" s="1"/>
      <c r="E874" s="1"/>
    </row>
    <row r="875" spans="3:5" ht="13" x14ac:dyDescent="0.15">
      <c r="C875" s="1"/>
      <c r="E875" s="1"/>
    </row>
    <row r="876" spans="3:5" ht="13" x14ac:dyDescent="0.15">
      <c r="C876" s="1"/>
      <c r="E876" s="1"/>
    </row>
    <row r="877" spans="3:5" ht="13" x14ac:dyDescent="0.15">
      <c r="C877" s="1"/>
      <c r="E877" s="1"/>
    </row>
    <row r="878" spans="3:5" ht="13" x14ac:dyDescent="0.15">
      <c r="C878" s="1"/>
      <c r="E878" s="1"/>
    </row>
    <row r="879" spans="3:5" ht="13" x14ac:dyDescent="0.15">
      <c r="C879" s="1"/>
      <c r="E879" s="1"/>
    </row>
    <row r="880" spans="3:5" ht="13" x14ac:dyDescent="0.15">
      <c r="C880" s="1"/>
      <c r="E880" s="1"/>
    </row>
    <row r="881" spans="3:5" ht="13" x14ac:dyDescent="0.15">
      <c r="C881" s="1"/>
      <c r="E881" s="1"/>
    </row>
    <row r="882" spans="3:5" ht="13" x14ac:dyDescent="0.15">
      <c r="C882" s="1"/>
      <c r="E882" s="1"/>
    </row>
    <row r="883" spans="3:5" ht="13" x14ac:dyDescent="0.15">
      <c r="C883" s="1"/>
      <c r="E883" s="1"/>
    </row>
    <row r="884" spans="3:5" ht="13" x14ac:dyDescent="0.15">
      <c r="C884" s="1"/>
      <c r="E884" s="1"/>
    </row>
    <row r="885" spans="3:5" ht="13" x14ac:dyDescent="0.15">
      <c r="C885" s="1"/>
      <c r="E885" s="1"/>
    </row>
    <row r="886" spans="3:5" ht="13" x14ac:dyDescent="0.15">
      <c r="C886" s="1"/>
      <c r="E886" s="1"/>
    </row>
    <row r="887" spans="3:5" ht="13" x14ac:dyDescent="0.15">
      <c r="C887" s="1"/>
      <c r="E887" s="1"/>
    </row>
    <row r="888" spans="3:5" ht="13" x14ac:dyDescent="0.15">
      <c r="C888" s="1"/>
      <c r="E888" s="1"/>
    </row>
    <row r="889" spans="3:5" ht="13" x14ac:dyDescent="0.15">
      <c r="C889" s="1"/>
      <c r="E889" s="1"/>
    </row>
    <row r="890" spans="3:5" ht="13" x14ac:dyDescent="0.15">
      <c r="C890" s="1"/>
      <c r="E890" s="1"/>
    </row>
    <row r="891" spans="3:5" ht="13" x14ac:dyDescent="0.15">
      <c r="C891" s="1"/>
      <c r="E891" s="1"/>
    </row>
    <row r="892" spans="3:5" ht="13" x14ac:dyDescent="0.15">
      <c r="C892" s="1"/>
      <c r="E892" s="1"/>
    </row>
    <row r="893" spans="3:5" ht="13" x14ac:dyDescent="0.15">
      <c r="C893" s="1"/>
      <c r="E893" s="1"/>
    </row>
    <row r="894" spans="3:5" ht="13" x14ac:dyDescent="0.15">
      <c r="C894" s="1"/>
      <c r="E894" s="1"/>
    </row>
    <row r="895" spans="3:5" ht="13" x14ac:dyDescent="0.15">
      <c r="C895" s="1"/>
      <c r="E895" s="1"/>
    </row>
    <row r="896" spans="3:5" ht="13" x14ac:dyDescent="0.15">
      <c r="C896" s="1"/>
      <c r="E896" s="1"/>
    </row>
    <row r="897" spans="3:5" ht="13" x14ac:dyDescent="0.15">
      <c r="C897" s="1"/>
      <c r="E897" s="1"/>
    </row>
    <row r="898" spans="3:5" ht="13" x14ac:dyDescent="0.15">
      <c r="C898" s="1"/>
      <c r="E898" s="1"/>
    </row>
    <row r="899" spans="3:5" ht="13" x14ac:dyDescent="0.15">
      <c r="C899" s="1"/>
      <c r="E899" s="1"/>
    </row>
    <row r="900" spans="3:5" ht="13" x14ac:dyDescent="0.15">
      <c r="C900" s="1"/>
      <c r="E900" s="1"/>
    </row>
    <row r="901" spans="3:5" ht="13" x14ac:dyDescent="0.15">
      <c r="C901" s="1"/>
      <c r="E901" s="1"/>
    </row>
    <row r="902" spans="3:5" ht="13" x14ac:dyDescent="0.15">
      <c r="C902" s="1"/>
      <c r="E902" s="1"/>
    </row>
    <row r="903" spans="3:5" ht="13" x14ac:dyDescent="0.15">
      <c r="C903" s="1"/>
      <c r="E903" s="1"/>
    </row>
    <row r="904" spans="3:5" ht="13" x14ac:dyDescent="0.15">
      <c r="C904" s="1"/>
      <c r="E904" s="1"/>
    </row>
    <row r="905" spans="3:5" ht="13" x14ac:dyDescent="0.15">
      <c r="C905" s="1"/>
      <c r="E905" s="1"/>
    </row>
    <row r="906" spans="3:5" ht="13" x14ac:dyDescent="0.15">
      <c r="C906" s="1"/>
      <c r="E906" s="1"/>
    </row>
    <row r="907" spans="3:5" ht="13" x14ac:dyDescent="0.15">
      <c r="C907" s="1"/>
      <c r="E907" s="1"/>
    </row>
    <row r="908" spans="3:5" ht="13" x14ac:dyDescent="0.15">
      <c r="C908" s="1"/>
      <c r="E908" s="1"/>
    </row>
    <row r="909" spans="3:5" ht="13" x14ac:dyDescent="0.15">
      <c r="C909" s="1"/>
      <c r="E909" s="1"/>
    </row>
    <row r="910" spans="3:5" ht="13" x14ac:dyDescent="0.15">
      <c r="C910" s="1"/>
      <c r="E910" s="1"/>
    </row>
    <row r="911" spans="3:5" ht="13" x14ac:dyDescent="0.15">
      <c r="C911" s="1"/>
      <c r="E911" s="1"/>
    </row>
    <row r="912" spans="3:5" ht="13" x14ac:dyDescent="0.15">
      <c r="C912" s="1"/>
      <c r="E912" s="1"/>
    </row>
    <row r="913" spans="3:5" ht="13" x14ac:dyDescent="0.15">
      <c r="C913" s="1"/>
      <c r="E913" s="1"/>
    </row>
    <row r="914" spans="3:5" ht="13" x14ac:dyDescent="0.15">
      <c r="C914" s="1"/>
      <c r="E914" s="1"/>
    </row>
    <row r="915" spans="3:5" ht="13" x14ac:dyDescent="0.15">
      <c r="C915" s="1"/>
      <c r="E915" s="1"/>
    </row>
    <row r="916" spans="3:5" ht="13" x14ac:dyDescent="0.15">
      <c r="C916" s="1"/>
      <c r="E916" s="1"/>
    </row>
    <row r="917" spans="3:5" ht="13" x14ac:dyDescent="0.15">
      <c r="C917" s="1"/>
      <c r="E917" s="1"/>
    </row>
    <row r="918" spans="3:5" ht="13" x14ac:dyDescent="0.15">
      <c r="C918" s="1"/>
      <c r="E918" s="1"/>
    </row>
    <row r="919" spans="3:5" ht="13" x14ac:dyDescent="0.15">
      <c r="C919" s="1"/>
      <c r="E919" s="1"/>
    </row>
    <row r="920" spans="3:5" ht="13" x14ac:dyDescent="0.15">
      <c r="C920" s="1"/>
      <c r="E920" s="1"/>
    </row>
    <row r="921" spans="3:5" ht="13" x14ac:dyDescent="0.15">
      <c r="C921" s="1"/>
      <c r="E921" s="1"/>
    </row>
    <row r="922" spans="3:5" ht="13" x14ac:dyDescent="0.15">
      <c r="C922" s="1"/>
      <c r="E922" s="1"/>
    </row>
    <row r="923" spans="3:5" ht="13" x14ac:dyDescent="0.15">
      <c r="C923" s="1"/>
      <c r="E923" s="1"/>
    </row>
    <row r="924" spans="3:5" ht="13" x14ac:dyDescent="0.15">
      <c r="C924" s="1"/>
      <c r="E924" s="1"/>
    </row>
    <row r="925" spans="3:5" ht="13" x14ac:dyDescent="0.15">
      <c r="C925" s="1"/>
      <c r="E925" s="1"/>
    </row>
    <row r="926" spans="3:5" ht="13" x14ac:dyDescent="0.15">
      <c r="C926" s="1"/>
      <c r="E926" s="1"/>
    </row>
    <row r="927" spans="3:5" ht="13" x14ac:dyDescent="0.15">
      <c r="C927" s="1"/>
      <c r="E927" s="1"/>
    </row>
    <row r="928" spans="3:5" ht="13" x14ac:dyDescent="0.15">
      <c r="C928" s="1"/>
      <c r="E928" s="1"/>
    </row>
    <row r="929" spans="3:5" ht="13" x14ac:dyDescent="0.15">
      <c r="C929" s="1"/>
      <c r="E929" s="1"/>
    </row>
    <row r="930" spans="3:5" ht="13" x14ac:dyDescent="0.15">
      <c r="C930" s="1"/>
      <c r="E930" s="1"/>
    </row>
    <row r="931" spans="3:5" ht="13" x14ac:dyDescent="0.15">
      <c r="C931" s="1"/>
      <c r="E931" s="1"/>
    </row>
    <row r="932" spans="3:5" ht="13" x14ac:dyDescent="0.15">
      <c r="C932" s="1"/>
      <c r="E932" s="1"/>
    </row>
    <row r="933" spans="3:5" ht="13" x14ac:dyDescent="0.15">
      <c r="C933" s="1"/>
      <c r="E933" s="1"/>
    </row>
    <row r="934" spans="3:5" ht="13" x14ac:dyDescent="0.15">
      <c r="C934" s="1"/>
      <c r="E934" s="1"/>
    </row>
    <row r="935" spans="3:5" ht="13" x14ac:dyDescent="0.15">
      <c r="C935" s="1"/>
      <c r="E935" s="1"/>
    </row>
    <row r="936" spans="3:5" ht="13" x14ac:dyDescent="0.15">
      <c r="C936" s="1"/>
      <c r="E936" s="1"/>
    </row>
    <row r="937" spans="3:5" ht="13" x14ac:dyDescent="0.15">
      <c r="C937" s="1"/>
      <c r="E937" s="1"/>
    </row>
    <row r="938" spans="3:5" ht="13" x14ac:dyDescent="0.15">
      <c r="C938" s="1"/>
      <c r="E938" s="1"/>
    </row>
    <row r="939" spans="3:5" ht="13" x14ac:dyDescent="0.15">
      <c r="C939" s="1"/>
      <c r="E939" s="1"/>
    </row>
    <row r="940" spans="3:5" ht="13" x14ac:dyDescent="0.15">
      <c r="C940" s="1"/>
      <c r="E940" s="1"/>
    </row>
    <row r="941" spans="3:5" ht="13" x14ac:dyDescent="0.15">
      <c r="C941" s="1"/>
      <c r="E941" s="1"/>
    </row>
    <row r="942" spans="3:5" ht="13" x14ac:dyDescent="0.15">
      <c r="C942" s="1"/>
      <c r="E942" s="1"/>
    </row>
    <row r="943" spans="3:5" ht="13" x14ac:dyDescent="0.15">
      <c r="C943" s="1"/>
      <c r="E943" s="1"/>
    </row>
    <row r="944" spans="3:5" ht="13" x14ac:dyDescent="0.15">
      <c r="C944" s="1"/>
      <c r="E944" s="1"/>
    </row>
    <row r="945" spans="3:5" ht="13" x14ac:dyDescent="0.15">
      <c r="C945" s="1"/>
      <c r="E945" s="1"/>
    </row>
    <row r="946" spans="3:5" ht="13" x14ac:dyDescent="0.15">
      <c r="C946" s="1"/>
      <c r="E946" s="1"/>
    </row>
    <row r="947" spans="3:5" ht="13" x14ac:dyDescent="0.15">
      <c r="C947" s="1"/>
      <c r="E947" s="1"/>
    </row>
    <row r="948" spans="3:5" ht="13" x14ac:dyDescent="0.15">
      <c r="C948" s="1"/>
      <c r="E948" s="1"/>
    </row>
    <row r="949" spans="3:5" ht="13" x14ac:dyDescent="0.15">
      <c r="C949" s="1"/>
      <c r="E949" s="1"/>
    </row>
    <row r="950" spans="3:5" ht="13" x14ac:dyDescent="0.15">
      <c r="C950" s="1"/>
      <c r="E950" s="1"/>
    </row>
    <row r="951" spans="3:5" ht="13" x14ac:dyDescent="0.15">
      <c r="C951" s="1"/>
      <c r="E951" s="1"/>
    </row>
    <row r="952" spans="3:5" ht="13" x14ac:dyDescent="0.15">
      <c r="C952" s="1"/>
      <c r="E952" s="1"/>
    </row>
    <row r="953" spans="3:5" ht="13" x14ac:dyDescent="0.15">
      <c r="C953" s="1"/>
      <c r="E953" s="1"/>
    </row>
    <row r="954" spans="3:5" ht="13" x14ac:dyDescent="0.15">
      <c r="C954" s="1"/>
      <c r="E954" s="1"/>
    </row>
    <row r="955" spans="3:5" ht="13" x14ac:dyDescent="0.15">
      <c r="C955" s="1"/>
      <c r="E955" s="1"/>
    </row>
    <row r="956" spans="3:5" ht="13" x14ac:dyDescent="0.15">
      <c r="C956" s="1"/>
      <c r="E956" s="1"/>
    </row>
    <row r="957" spans="3:5" ht="13" x14ac:dyDescent="0.15">
      <c r="C957" s="1"/>
      <c r="E957" s="1"/>
    </row>
    <row r="958" spans="3:5" ht="13" x14ac:dyDescent="0.15">
      <c r="C958" s="1"/>
      <c r="E958" s="1"/>
    </row>
    <row r="959" spans="3:5" ht="13" x14ac:dyDescent="0.15">
      <c r="C959" s="1"/>
      <c r="E959" s="1"/>
    </row>
    <row r="960" spans="3:5" ht="13" x14ac:dyDescent="0.15">
      <c r="C960" s="1"/>
      <c r="E960" s="1"/>
    </row>
    <row r="961" spans="3:5" ht="13" x14ac:dyDescent="0.15">
      <c r="C961" s="1"/>
      <c r="E961" s="1"/>
    </row>
    <row r="962" spans="3:5" ht="13" x14ac:dyDescent="0.15">
      <c r="C962" s="1"/>
      <c r="E962" s="1"/>
    </row>
    <row r="963" spans="3:5" ht="13" x14ac:dyDescent="0.15">
      <c r="C963" s="1"/>
      <c r="E963" s="1"/>
    </row>
    <row r="964" spans="3:5" ht="13" x14ac:dyDescent="0.15">
      <c r="C964" s="1"/>
      <c r="E964" s="1"/>
    </row>
    <row r="965" spans="3:5" ht="13" x14ac:dyDescent="0.15">
      <c r="C965" s="1"/>
      <c r="E965" s="1"/>
    </row>
    <row r="966" spans="3:5" ht="13" x14ac:dyDescent="0.15">
      <c r="C966" s="1"/>
      <c r="E966" s="1"/>
    </row>
    <row r="967" spans="3:5" ht="13" x14ac:dyDescent="0.15">
      <c r="C967" s="1"/>
      <c r="E967" s="1"/>
    </row>
    <row r="968" spans="3:5" ht="13" x14ac:dyDescent="0.15">
      <c r="C968" s="1"/>
      <c r="E968" s="1"/>
    </row>
    <row r="969" spans="3:5" ht="13" x14ac:dyDescent="0.15">
      <c r="C969" s="1"/>
      <c r="E969" s="1"/>
    </row>
    <row r="970" spans="3:5" ht="13" x14ac:dyDescent="0.15">
      <c r="C970" s="1"/>
      <c r="E970" s="1"/>
    </row>
    <row r="971" spans="3:5" ht="13" x14ac:dyDescent="0.15">
      <c r="C971" s="1"/>
      <c r="E971" s="1"/>
    </row>
    <row r="972" spans="3:5" ht="13" x14ac:dyDescent="0.15">
      <c r="C972" s="1"/>
      <c r="E972" s="1"/>
    </row>
    <row r="973" spans="3:5" ht="13" x14ac:dyDescent="0.15">
      <c r="C973" s="1"/>
      <c r="E973" s="1"/>
    </row>
    <row r="974" spans="3:5" ht="13" x14ac:dyDescent="0.15">
      <c r="C974" s="1"/>
      <c r="E974" s="1"/>
    </row>
    <row r="975" spans="3:5" ht="13" x14ac:dyDescent="0.15">
      <c r="C975" s="1"/>
      <c r="E975" s="1"/>
    </row>
    <row r="976" spans="3:5" ht="13" x14ac:dyDescent="0.15">
      <c r="C976" s="1"/>
      <c r="E976" s="1"/>
    </row>
    <row r="977" spans="3:5" ht="13" x14ac:dyDescent="0.15">
      <c r="C977" s="1"/>
      <c r="E977" s="1"/>
    </row>
    <row r="978" spans="3:5" ht="13" x14ac:dyDescent="0.15">
      <c r="C978" s="1"/>
      <c r="E978" s="1"/>
    </row>
    <row r="979" spans="3:5" ht="13" x14ac:dyDescent="0.15">
      <c r="C979" s="1"/>
      <c r="E979" s="1"/>
    </row>
    <row r="980" spans="3:5" ht="13" x14ac:dyDescent="0.15">
      <c r="C980" s="1"/>
      <c r="E980" s="1"/>
    </row>
  </sheetData>
  <pageMargins left="0" right="0" top="0" bottom="0" header="0" footer="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67205-A5F0-D64B-B7CD-7723A395025E}">
  <dimension ref="A1:B6"/>
  <sheetViews>
    <sheetView zoomScaleNormal="100" workbookViewId="0">
      <selection activeCell="A2" sqref="A2"/>
    </sheetView>
  </sheetViews>
  <sheetFormatPr baseColWidth="10" defaultColWidth="10.83203125" defaultRowHeight="13" x14ac:dyDescent="0.15"/>
  <cols>
    <col min="1" max="1" width="36.6640625" customWidth="1"/>
    <col min="2" max="2" width="70.83203125" style="109" customWidth="1"/>
  </cols>
  <sheetData>
    <row r="1" spans="1:2" ht="48" x14ac:dyDescent="0.2">
      <c r="A1" s="117" t="s">
        <v>650</v>
      </c>
      <c r="B1" s="288" t="s">
        <v>651</v>
      </c>
    </row>
    <row r="2" spans="1:2" ht="56" x14ac:dyDescent="0.15">
      <c r="A2" s="101" t="s">
        <v>652</v>
      </c>
      <c r="B2" s="111" t="s">
        <v>653</v>
      </c>
    </row>
    <row r="3" spans="1:2" ht="154" x14ac:dyDescent="0.15">
      <c r="A3" s="107" t="s">
        <v>654</v>
      </c>
      <c r="B3" s="109" t="s">
        <v>655</v>
      </c>
    </row>
    <row r="4" spans="1:2" ht="42" x14ac:dyDescent="0.15">
      <c r="A4" s="107" t="s">
        <v>656</v>
      </c>
      <c r="B4" s="112" t="s">
        <v>657</v>
      </c>
    </row>
    <row r="5" spans="1:2" ht="140" x14ac:dyDescent="0.15">
      <c r="A5" s="107" t="s">
        <v>658</v>
      </c>
      <c r="B5" s="112" t="s">
        <v>659</v>
      </c>
    </row>
    <row r="6" spans="1:2" ht="126" x14ac:dyDescent="0.15">
      <c r="A6" s="115" t="s">
        <v>660</v>
      </c>
      <c r="B6" s="112" t="s">
        <v>661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FE478-ABA0-4DB0-ABAF-C78F42E429C2}">
  <sheetPr filterMode="1"/>
  <dimension ref="A1:T91"/>
  <sheetViews>
    <sheetView zoomScaleNormal="100" workbookViewId="0">
      <pane xSplit="4" ySplit="1" topLeftCell="G2" activePane="bottomRight" state="frozen"/>
      <selection pane="topRight" activeCell="E1" sqref="E1"/>
      <selection pane="bottomLeft" activeCell="A2" sqref="A2"/>
      <selection pane="bottomRight" activeCell="J92" sqref="J92"/>
    </sheetView>
  </sheetViews>
  <sheetFormatPr baseColWidth="10" defaultColWidth="8.83203125" defaultRowHeight="14" x14ac:dyDescent="0.15"/>
  <cols>
    <col min="1" max="1" width="15.5" style="130" customWidth="1"/>
    <col min="2" max="2" width="8.83203125" style="130"/>
    <col min="3" max="3" width="46" style="130" customWidth="1"/>
    <col min="4" max="5" width="20.5" style="130" customWidth="1"/>
    <col min="6" max="6" width="50.5" style="131" customWidth="1"/>
    <col min="7" max="7" width="20.5" style="130" customWidth="1"/>
    <col min="8" max="9" width="9.1640625" style="130" customWidth="1"/>
    <col min="10" max="10" width="17.5" style="152" bestFit="1" customWidth="1"/>
    <col min="11" max="11" width="17.83203125" style="152" bestFit="1" customWidth="1"/>
    <col min="12" max="12" width="16.5" style="154" bestFit="1" customWidth="1"/>
    <col min="13" max="13" width="15.5" style="154" bestFit="1" customWidth="1"/>
    <col min="14" max="14" width="15.5" style="152" customWidth="1"/>
    <col min="15" max="15" width="16.5" style="152" customWidth="1"/>
    <col min="16" max="16" width="12.5" style="154" bestFit="1" customWidth="1"/>
    <col min="17" max="17" width="11.5" style="154" bestFit="1" customWidth="1"/>
    <col min="18" max="18" width="8.83203125" style="152"/>
    <col min="19" max="19" width="8.1640625" style="152" bestFit="1" customWidth="1"/>
    <col min="20" max="20" width="11.5" style="130" customWidth="1"/>
    <col min="21" max="16384" width="8.83203125" style="130"/>
  </cols>
  <sheetData>
    <row r="1" spans="1:20" ht="12" customHeight="1" thickBot="1" x14ac:dyDescent="0.25">
      <c r="A1" s="120" t="s">
        <v>21</v>
      </c>
      <c r="B1" s="120" t="s">
        <v>22</v>
      </c>
      <c r="C1" s="120" t="s">
        <v>23</v>
      </c>
      <c r="D1" s="120" t="s">
        <v>24</v>
      </c>
      <c r="E1" s="120" t="s">
        <v>662</v>
      </c>
      <c r="F1" s="121" t="s">
        <v>26</v>
      </c>
      <c r="G1" s="120" t="s">
        <v>27</v>
      </c>
      <c r="H1" s="120" t="s">
        <v>28</v>
      </c>
      <c r="I1" s="122" t="s">
        <v>29</v>
      </c>
      <c r="J1" s="123" t="s">
        <v>31</v>
      </c>
      <c r="K1" s="124" t="s">
        <v>32</v>
      </c>
      <c r="L1" s="125" t="s">
        <v>33</v>
      </c>
      <c r="M1" s="126" t="s">
        <v>34</v>
      </c>
      <c r="N1" s="127" t="s">
        <v>35</v>
      </c>
      <c r="O1" s="124" t="s">
        <v>36</v>
      </c>
      <c r="P1" s="125" t="s">
        <v>37</v>
      </c>
      <c r="Q1" s="126" t="s">
        <v>38</v>
      </c>
      <c r="R1" s="128" t="s">
        <v>39</v>
      </c>
      <c r="S1" s="128" t="s">
        <v>40</v>
      </c>
      <c r="T1" s="129" t="s">
        <v>663</v>
      </c>
    </row>
    <row r="2" spans="1:20" ht="119" x14ac:dyDescent="0.2">
      <c r="A2" s="130" t="s">
        <v>292</v>
      </c>
      <c r="B2" s="130">
        <v>261</v>
      </c>
      <c r="C2" s="130" t="s">
        <v>664</v>
      </c>
      <c r="D2" s="130" t="s">
        <v>45</v>
      </c>
      <c r="E2" s="130" t="s">
        <v>665</v>
      </c>
      <c r="F2" s="131" t="s">
        <v>666</v>
      </c>
      <c r="G2" s="132">
        <v>44242.936678240738</v>
      </c>
      <c r="H2" s="130" t="s">
        <v>48</v>
      </c>
      <c r="I2" s="130">
        <v>13</v>
      </c>
      <c r="J2" s="133" t="s">
        <v>52</v>
      </c>
      <c r="K2" s="134" t="s">
        <v>52</v>
      </c>
      <c r="L2" s="135" t="s">
        <v>295</v>
      </c>
      <c r="M2" s="136" t="s">
        <v>295</v>
      </c>
      <c r="N2" s="133"/>
      <c r="O2" s="134"/>
      <c r="P2" s="137"/>
      <c r="Q2" s="136"/>
      <c r="R2" s="133"/>
      <c r="S2" s="134"/>
      <c r="T2" s="138" t="s">
        <v>667</v>
      </c>
    </row>
    <row r="3" spans="1:20" ht="241" x14ac:dyDescent="0.2">
      <c r="A3" s="130" t="s">
        <v>292</v>
      </c>
      <c r="B3" s="130">
        <v>261</v>
      </c>
      <c r="C3" s="130" t="s">
        <v>664</v>
      </c>
      <c r="D3" s="130" t="s">
        <v>45</v>
      </c>
      <c r="E3" s="130" t="s">
        <v>668</v>
      </c>
      <c r="F3" s="131" t="s">
        <v>669</v>
      </c>
      <c r="G3" s="132">
        <v>44243.390046296299</v>
      </c>
      <c r="H3" s="130" t="s">
        <v>48</v>
      </c>
      <c r="I3" s="130">
        <v>13</v>
      </c>
      <c r="J3" s="139" t="s">
        <v>52</v>
      </c>
      <c r="K3" s="140" t="s">
        <v>52</v>
      </c>
      <c r="L3" s="141" t="s">
        <v>102</v>
      </c>
      <c r="M3" s="142"/>
      <c r="N3" s="139" t="s">
        <v>670</v>
      </c>
      <c r="O3" s="140" t="s">
        <v>305</v>
      </c>
      <c r="P3" s="143" t="s">
        <v>74</v>
      </c>
      <c r="Q3" s="142" t="s">
        <v>74</v>
      </c>
      <c r="R3" s="139"/>
      <c r="S3" s="140"/>
      <c r="T3" s="144" t="s">
        <v>671</v>
      </c>
    </row>
    <row r="4" spans="1:20" ht="17" x14ac:dyDescent="0.2">
      <c r="A4" s="130" t="s">
        <v>292</v>
      </c>
      <c r="B4" s="130">
        <v>261</v>
      </c>
      <c r="C4" s="130" t="s">
        <v>664</v>
      </c>
      <c r="D4" s="130" t="s">
        <v>45</v>
      </c>
      <c r="E4" s="130" t="s">
        <v>668</v>
      </c>
      <c r="F4" s="131" t="s">
        <v>672</v>
      </c>
      <c r="G4" s="132">
        <v>44243.390648148146</v>
      </c>
      <c r="H4" s="130" t="s">
        <v>48</v>
      </c>
      <c r="I4" s="130">
        <v>13</v>
      </c>
      <c r="J4" s="133" t="s">
        <v>52</v>
      </c>
      <c r="K4" s="134" t="s">
        <v>52</v>
      </c>
      <c r="L4" s="135" t="s">
        <v>102</v>
      </c>
      <c r="M4" s="136"/>
      <c r="N4" s="133"/>
      <c r="O4" s="134"/>
      <c r="P4" s="137"/>
      <c r="Q4" s="136"/>
      <c r="R4" s="133"/>
      <c r="S4" s="134"/>
      <c r="T4" s="145"/>
    </row>
    <row r="5" spans="1:20" ht="64" x14ac:dyDescent="0.2">
      <c r="A5" s="130" t="s">
        <v>292</v>
      </c>
      <c r="B5" s="130">
        <v>261</v>
      </c>
      <c r="C5" s="130" t="s">
        <v>664</v>
      </c>
      <c r="D5" s="130" t="s">
        <v>45</v>
      </c>
      <c r="E5" s="130" t="s">
        <v>665</v>
      </c>
      <c r="F5" s="131" t="s">
        <v>673</v>
      </c>
      <c r="G5" s="132">
        <v>44245.516145833331</v>
      </c>
      <c r="H5" s="130" t="s">
        <v>48</v>
      </c>
      <c r="I5" s="130">
        <v>13</v>
      </c>
      <c r="J5" s="133" t="s">
        <v>426</v>
      </c>
      <c r="K5" s="134" t="s">
        <v>52</v>
      </c>
      <c r="L5" s="135" t="s">
        <v>102</v>
      </c>
      <c r="M5" s="136"/>
      <c r="N5" s="133" t="s">
        <v>58</v>
      </c>
      <c r="O5" s="134" t="s">
        <v>58</v>
      </c>
      <c r="P5" s="137"/>
      <c r="Q5" s="136"/>
      <c r="R5" s="133" t="s">
        <v>674</v>
      </c>
      <c r="S5" s="134"/>
      <c r="T5" s="145"/>
    </row>
    <row r="6" spans="1:20" ht="136" x14ac:dyDescent="0.2">
      <c r="A6" s="130" t="s">
        <v>292</v>
      </c>
      <c r="B6" s="130">
        <v>261</v>
      </c>
      <c r="C6" s="130" t="s">
        <v>664</v>
      </c>
      <c r="D6" s="130" t="s">
        <v>45</v>
      </c>
      <c r="E6" s="130" t="s">
        <v>675</v>
      </c>
      <c r="F6" s="131" t="s">
        <v>676</v>
      </c>
      <c r="G6" s="132">
        <v>44245.909097222226</v>
      </c>
      <c r="H6" s="130" t="s">
        <v>48</v>
      </c>
      <c r="I6" s="130">
        <v>13</v>
      </c>
      <c r="J6" s="133" t="s">
        <v>52</v>
      </c>
      <c r="K6" s="134" t="s">
        <v>52</v>
      </c>
      <c r="L6" s="135" t="s">
        <v>102</v>
      </c>
      <c r="M6" s="136"/>
      <c r="N6" s="133" t="s">
        <v>427</v>
      </c>
      <c r="O6" s="134" t="s">
        <v>305</v>
      </c>
      <c r="P6" s="137"/>
      <c r="Q6" s="136"/>
      <c r="R6" s="133"/>
      <c r="S6" s="134"/>
      <c r="T6" s="145"/>
    </row>
    <row r="7" spans="1:20" ht="106" x14ac:dyDescent="0.2">
      <c r="A7" s="130" t="s">
        <v>292</v>
      </c>
      <c r="B7" s="130">
        <v>261</v>
      </c>
      <c r="C7" s="130" t="s">
        <v>664</v>
      </c>
      <c r="D7" s="130" t="s">
        <v>45</v>
      </c>
      <c r="E7" s="130" t="s">
        <v>675</v>
      </c>
      <c r="F7" s="131" t="s">
        <v>677</v>
      </c>
      <c r="G7" s="132">
        <v>44245.910694444443</v>
      </c>
      <c r="H7" s="130" t="s">
        <v>48</v>
      </c>
      <c r="I7" s="130">
        <v>13</v>
      </c>
      <c r="J7" s="133" t="s">
        <v>52</v>
      </c>
      <c r="K7" s="134" t="s">
        <v>52</v>
      </c>
      <c r="L7" s="135" t="s">
        <v>102</v>
      </c>
      <c r="M7" s="136"/>
      <c r="N7" s="133" t="s">
        <v>305</v>
      </c>
      <c r="O7" s="134" t="s">
        <v>305</v>
      </c>
      <c r="P7" s="137"/>
      <c r="Q7" s="136"/>
      <c r="R7" s="133"/>
      <c r="S7" s="134"/>
      <c r="T7" s="145"/>
    </row>
    <row r="8" spans="1:20" ht="256" x14ac:dyDescent="0.2">
      <c r="A8" s="130" t="s">
        <v>292</v>
      </c>
      <c r="B8" s="130">
        <v>261</v>
      </c>
      <c r="C8" s="130" t="s">
        <v>664</v>
      </c>
      <c r="D8" s="130" t="s">
        <v>45</v>
      </c>
      <c r="E8" s="130" t="s">
        <v>678</v>
      </c>
      <c r="F8" s="131" t="s">
        <v>679</v>
      </c>
      <c r="G8" s="132">
        <v>44248.679884259262</v>
      </c>
      <c r="H8" s="130" t="s">
        <v>48</v>
      </c>
      <c r="I8" s="130">
        <v>13</v>
      </c>
      <c r="J8" s="133" t="s">
        <v>426</v>
      </c>
      <c r="K8" s="134" t="s">
        <v>52</v>
      </c>
      <c r="L8" s="135" t="s">
        <v>102</v>
      </c>
      <c r="M8" s="136"/>
      <c r="N8" s="133" t="s">
        <v>680</v>
      </c>
      <c r="O8" s="134" t="s">
        <v>305</v>
      </c>
      <c r="P8" s="137"/>
      <c r="Q8" s="136"/>
      <c r="R8" s="133" t="s">
        <v>674</v>
      </c>
      <c r="S8" s="134"/>
      <c r="T8" s="145"/>
    </row>
    <row r="9" spans="1:20" ht="166" x14ac:dyDescent="0.2">
      <c r="A9" s="130" t="s">
        <v>292</v>
      </c>
      <c r="B9" s="130">
        <v>261</v>
      </c>
      <c r="C9" s="130" t="s">
        <v>664</v>
      </c>
      <c r="D9" s="130" t="s">
        <v>45</v>
      </c>
      <c r="E9" s="130" t="s">
        <v>678</v>
      </c>
      <c r="F9" s="131" t="s">
        <v>681</v>
      </c>
      <c r="G9" s="132">
        <v>44248.689652777779</v>
      </c>
      <c r="H9" s="130" t="s">
        <v>48</v>
      </c>
      <c r="I9" s="130">
        <v>13</v>
      </c>
      <c r="J9" s="133" t="s">
        <v>52</v>
      </c>
      <c r="K9" s="134" t="s">
        <v>52</v>
      </c>
      <c r="L9" s="135" t="s">
        <v>102</v>
      </c>
      <c r="M9" s="136"/>
      <c r="N9" s="133" t="s">
        <v>305</v>
      </c>
      <c r="O9" s="134" t="s">
        <v>305</v>
      </c>
      <c r="P9" s="137" t="s">
        <v>120</v>
      </c>
      <c r="Q9" s="136" t="s">
        <v>74</v>
      </c>
      <c r="R9" s="133"/>
      <c r="S9" s="134"/>
      <c r="T9" s="145"/>
    </row>
    <row r="10" spans="1:20" ht="196" x14ac:dyDescent="0.2">
      <c r="A10" s="130" t="s">
        <v>292</v>
      </c>
      <c r="B10" s="130">
        <v>261</v>
      </c>
      <c r="C10" s="130" t="s">
        <v>664</v>
      </c>
      <c r="D10" s="130" t="s">
        <v>45</v>
      </c>
      <c r="E10" s="130" t="s">
        <v>678</v>
      </c>
      <c r="F10" s="131" t="s">
        <v>682</v>
      </c>
      <c r="G10" s="132">
        <v>44248.698344907411</v>
      </c>
      <c r="H10" s="130" t="s">
        <v>48</v>
      </c>
      <c r="I10" s="130">
        <v>13</v>
      </c>
      <c r="J10" s="133" t="s">
        <v>52</v>
      </c>
      <c r="K10" s="134" t="s">
        <v>52</v>
      </c>
      <c r="L10" s="135" t="s">
        <v>102</v>
      </c>
      <c r="M10" s="136"/>
      <c r="N10" s="133" t="s">
        <v>680</v>
      </c>
      <c r="O10" s="134" t="s">
        <v>305</v>
      </c>
      <c r="P10" s="137"/>
      <c r="Q10" s="136"/>
      <c r="R10" s="133"/>
      <c r="S10" s="134"/>
      <c r="T10" s="145"/>
    </row>
    <row r="11" spans="1:20" ht="17" x14ac:dyDescent="0.2">
      <c r="A11" s="130" t="s">
        <v>292</v>
      </c>
      <c r="B11" s="130">
        <v>261</v>
      </c>
      <c r="C11" s="130" t="s">
        <v>664</v>
      </c>
      <c r="D11" s="130" t="s">
        <v>45</v>
      </c>
      <c r="E11" s="130" t="s">
        <v>678</v>
      </c>
      <c r="F11" s="131" t="s">
        <v>683</v>
      </c>
      <c r="G11" s="132">
        <v>44248.699502314812</v>
      </c>
      <c r="H11" s="130" t="s">
        <v>48</v>
      </c>
      <c r="I11" s="130">
        <v>13</v>
      </c>
      <c r="J11" s="133" t="s">
        <v>52</v>
      </c>
      <c r="K11" s="134" t="s">
        <v>52</v>
      </c>
      <c r="L11" s="135" t="s">
        <v>102</v>
      </c>
      <c r="M11" s="136"/>
      <c r="N11" s="133"/>
      <c r="O11" s="134"/>
      <c r="P11" s="137"/>
      <c r="Q11" s="136"/>
      <c r="R11" s="133"/>
      <c r="S11" s="134"/>
      <c r="T11" s="145"/>
    </row>
    <row r="12" spans="1:20" ht="106" x14ac:dyDescent="0.2">
      <c r="A12" s="130" t="s">
        <v>292</v>
      </c>
      <c r="B12" s="130">
        <v>261</v>
      </c>
      <c r="C12" s="130" t="s">
        <v>664</v>
      </c>
      <c r="D12" s="130" t="s">
        <v>45</v>
      </c>
      <c r="E12" s="130" t="s">
        <v>668</v>
      </c>
      <c r="F12" s="131" t="s">
        <v>684</v>
      </c>
      <c r="G12" s="132">
        <v>44249.922824074078</v>
      </c>
      <c r="H12" s="130" t="s">
        <v>48</v>
      </c>
      <c r="I12" s="130">
        <v>13</v>
      </c>
      <c r="J12" s="133" t="s">
        <v>685</v>
      </c>
      <c r="K12" s="134" t="s">
        <v>52</v>
      </c>
      <c r="L12" s="135" t="s">
        <v>102</v>
      </c>
      <c r="M12" s="136"/>
      <c r="N12" s="133" t="s">
        <v>305</v>
      </c>
      <c r="O12" s="134" t="s">
        <v>305</v>
      </c>
      <c r="P12" s="137"/>
      <c r="Q12" s="136"/>
      <c r="R12" s="133" t="s">
        <v>243</v>
      </c>
      <c r="S12" s="134"/>
      <c r="T12" s="145"/>
    </row>
    <row r="13" spans="1:20" ht="181" x14ac:dyDescent="0.2">
      <c r="A13" s="130" t="s">
        <v>292</v>
      </c>
      <c r="B13" s="130">
        <v>261</v>
      </c>
      <c r="C13" s="130" t="s">
        <v>664</v>
      </c>
      <c r="D13" s="130" t="s">
        <v>45</v>
      </c>
      <c r="E13" s="130" t="s">
        <v>686</v>
      </c>
      <c r="F13" s="131" t="s">
        <v>687</v>
      </c>
      <c r="G13" s="132">
        <v>44250.590370370373</v>
      </c>
      <c r="H13" s="130" t="s">
        <v>48</v>
      </c>
      <c r="I13" s="130">
        <v>13</v>
      </c>
      <c r="J13" s="133" t="s">
        <v>426</v>
      </c>
      <c r="K13" s="134" t="s">
        <v>52</v>
      </c>
      <c r="L13" s="135" t="s">
        <v>102</v>
      </c>
      <c r="M13" s="136"/>
      <c r="N13" s="133" t="s">
        <v>427</v>
      </c>
      <c r="O13" s="134" t="s">
        <v>305</v>
      </c>
      <c r="P13" s="137"/>
      <c r="Q13" s="136"/>
      <c r="R13" s="133" t="s">
        <v>53</v>
      </c>
      <c r="S13" s="134"/>
      <c r="T13" s="145"/>
    </row>
    <row r="14" spans="1:20" ht="121" x14ac:dyDescent="0.2">
      <c r="A14" s="130" t="s">
        <v>292</v>
      </c>
      <c r="B14" s="130">
        <v>261</v>
      </c>
      <c r="C14" s="130" t="s">
        <v>664</v>
      </c>
      <c r="D14" s="130" t="s">
        <v>45</v>
      </c>
      <c r="E14" s="130" t="s">
        <v>686</v>
      </c>
      <c r="F14" s="131" t="s">
        <v>688</v>
      </c>
      <c r="G14" s="132">
        <v>44250.598101851851</v>
      </c>
      <c r="H14" s="130" t="s">
        <v>48</v>
      </c>
      <c r="I14" s="130">
        <v>13</v>
      </c>
      <c r="J14" s="133" t="s">
        <v>52</v>
      </c>
      <c r="K14" s="134" t="s">
        <v>52</v>
      </c>
      <c r="L14" s="135" t="s">
        <v>102</v>
      </c>
      <c r="M14" s="136"/>
      <c r="N14" s="133" t="s">
        <v>305</v>
      </c>
      <c r="O14" s="134" t="s">
        <v>305</v>
      </c>
      <c r="P14" s="137"/>
      <c r="Q14" s="136"/>
      <c r="R14" s="133"/>
      <c r="S14" s="134"/>
      <c r="T14" s="145"/>
    </row>
    <row r="15" spans="1:20" ht="256" x14ac:dyDescent="0.2">
      <c r="A15" s="130" t="s">
        <v>292</v>
      </c>
      <c r="B15" s="130">
        <v>261</v>
      </c>
      <c r="C15" s="130" t="s">
        <v>664</v>
      </c>
      <c r="D15" s="130" t="s">
        <v>45</v>
      </c>
      <c r="E15" s="130" t="s">
        <v>689</v>
      </c>
      <c r="F15" s="131" t="s">
        <v>690</v>
      </c>
      <c r="G15" s="132">
        <v>44251.574618055558</v>
      </c>
      <c r="H15" s="130" t="s">
        <v>48</v>
      </c>
      <c r="I15" s="130">
        <v>13</v>
      </c>
      <c r="J15" s="133" t="s">
        <v>52</v>
      </c>
      <c r="K15" s="134" t="s">
        <v>52</v>
      </c>
      <c r="L15" s="135" t="s">
        <v>102</v>
      </c>
      <c r="M15" s="136"/>
      <c r="N15" s="133" t="s">
        <v>691</v>
      </c>
      <c r="O15" s="134" t="s">
        <v>305</v>
      </c>
      <c r="P15" s="137"/>
      <c r="Q15" s="136"/>
      <c r="R15" s="133"/>
      <c r="S15" s="134"/>
      <c r="T15" s="145" t="s">
        <v>692</v>
      </c>
    </row>
    <row r="16" spans="1:20" ht="211" x14ac:dyDescent="0.2">
      <c r="A16" s="130" t="s">
        <v>292</v>
      </c>
      <c r="B16" s="130">
        <v>261</v>
      </c>
      <c r="C16" s="130" t="s">
        <v>664</v>
      </c>
      <c r="D16" s="130" t="s">
        <v>45</v>
      </c>
      <c r="E16" s="130" t="s">
        <v>693</v>
      </c>
      <c r="F16" s="131" t="s">
        <v>694</v>
      </c>
      <c r="G16" s="132">
        <v>44252.412997685184</v>
      </c>
      <c r="H16" s="130" t="s">
        <v>48</v>
      </c>
      <c r="I16" s="130">
        <v>13</v>
      </c>
      <c r="J16" s="133" t="s">
        <v>52</v>
      </c>
      <c r="K16" s="134" t="s">
        <v>52</v>
      </c>
      <c r="L16" s="135" t="s">
        <v>102</v>
      </c>
      <c r="M16" s="136"/>
      <c r="N16" s="133" t="s">
        <v>427</v>
      </c>
      <c r="O16" s="134" t="s">
        <v>305</v>
      </c>
      <c r="P16" s="137"/>
      <c r="Q16" s="136"/>
      <c r="R16" s="133"/>
      <c r="S16" s="134"/>
      <c r="T16" s="145"/>
    </row>
    <row r="17" spans="1:20" ht="106" x14ac:dyDescent="0.2">
      <c r="A17" s="130" t="s">
        <v>292</v>
      </c>
      <c r="B17" s="130">
        <v>261</v>
      </c>
      <c r="C17" s="130" t="s">
        <v>664</v>
      </c>
      <c r="D17" s="130" t="s">
        <v>45</v>
      </c>
      <c r="E17" s="130" t="s">
        <v>693</v>
      </c>
      <c r="F17" s="131" t="s">
        <v>695</v>
      </c>
      <c r="G17" s="132">
        <v>44252.41542824074</v>
      </c>
      <c r="H17" s="130" t="s">
        <v>48</v>
      </c>
      <c r="I17" s="130">
        <v>13</v>
      </c>
      <c r="J17" s="133" t="s">
        <v>52</v>
      </c>
      <c r="K17" s="134" t="s">
        <v>52</v>
      </c>
      <c r="L17" s="135" t="s">
        <v>312</v>
      </c>
      <c r="M17" s="136" t="s">
        <v>312</v>
      </c>
      <c r="N17" s="133" t="s">
        <v>427</v>
      </c>
      <c r="O17" s="134" t="s">
        <v>305</v>
      </c>
      <c r="P17" s="137"/>
      <c r="Q17" s="136"/>
      <c r="R17" s="133"/>
      <c r="S17" s="134"/>
      <c r="T17" s="145"/>
    </row>
    <row r="18" spans="1:20" ht="136" x14ac:dyDescent="0.2">
      <c r="A18" s="130" t="s">
        <v>43</v>
      </c>
      <c r="B18" s="130">
        <v>261</v>
      </c>
      <c r="C18" s="130" t="s">
        <v>664</v>
      </c>
      <c r="D18" s="130" t="s">
        <v>45</v>
      </c>
      <c r="E18" s="130" t="s">
        <v>696</v>
      </c>
      <c r="F18" s="131" t="s">
        <v>697</v>
      </c>
      <c r="G18" s="132">
        <v>44242.418263888889</v>
      </c>
      <c r="H18" s="130" t="s">
        <v>48</v>
      </c>
      <c r="I18" s="130">
        <v>13</v>
      </c>
      <c r="J18" s="146" t="s">
        <v>52</v>
      </c>
      <c r="K18" s="147" t="s">
        <v>52</v>
      </c>
      <c r="L18" s="148"/>
      <c r="M18" s="149"/>
      <c r="N18" s="146"/>
      <c r="O18" s="147"/>
      <c r="P18" s="148"/>
      <c r="Q18" s="149"/>
      <c r="R18" s="147"/>
      <c r="S18" s="147"/>
      <c r="T18" s="150"/>
    </row>
    <row r="19" spans="1:20" ht="151" x14ac:dyDescent="0.2">
      <c r="A19" s="130" t="s">
        <v>43</v>
      </c>
      <c r="B19" s="130">
        <v>261</v>
      </c>
      <c r="C19" s="130" t="s">
        <v>664</v>
      </c>
      <c r="D19" s="130" t="s">
        <v>45</v>
      </c>
      <c r="E19" s="130" t="s">
        <v>696</v>
      </c>
      <c r="F19" s="131" t="s">
        <v>698</v>
      </c>
      <c r="G19" s="132">
        <v>44242.420335648145</v>
      </c>
      <c r="H19" s="130" t="s">
        <v>48</v>
      </c>
      <c r="I19" s="130">
        <v>13</v>
      </c>
      <c r="J19" s="151" t="s">
        <v>52</v>
      </c>
      <c r="K19" s="152" t="s">
        <v>52</v>
      </c>
      <c r="L19" s="153"/>
      <c r="N19" s="151"/>
      <c r="P19" s="153"/>
      <c r="T19" s="150"/>
    </row>
    <row r="20" spans="1:20" ht="76" x14ac:dyDescent="0.2">
      <c r="A20" s="130" t="s">
        <v>43</v>
      </c>
      <c r="B20" s="130">
        <v>261</v>
      </c>
      <c r="C20" s="130" t="s">
        <v>664</v>
      </c>
      <c r="D20" s="130" t="s">
        <v>45</v>
      </c>
      <c r="E20" s="130" t="s">
        <v>699</v>
      </c>
      <c r="F20" s="131" t="s">
        <v>700</v>
      </c>
      <c r="G20" s="132">
        <v>44242.888935185183</v>
      </c>
      <c r="H20" s="130" t="s">
        <v>48</v>
      </c>
      <c r="I20" s="130">
        <v>13</v>
      </c>
      <c r="J20" s="151" t="s">
        <v>52</v>
      </c>
      <c r="K20" s="152" t="s">
        <v>52</v>
      </c>
      <c r="L20" s="153"/>
      <c r="N20" s="151"/>
      <c r="P20" s="153"/>
      <c r="T20" s="150"/>
    </row>
    <row r="21" spans="1:20" ht="76" x14ac:dyDescent="0.2">
      <c r="A21" s="130" t="s">
        <v>43</v>
      </c>
      <c r="B21" s="130">
        <v>261</v>
      </c>
      <c r="C21" s="130" t="s">
        <v>664</v>
      </c>
      <c r="D21" s="130" t="s">
        <v>45</v>
      </c>
      <c r="E21" s="130" t="s">
        <v>699</v>
      </c>
      <c r="F21" s="131" t="s">
        <v>701</v>
      </c>
      <c r="G21" s="132">
        <v>44242.891435185185</v>
      </c>
      <c r="H21" s="130" t="s">
        <v>48</v>
      </c>
      <c r="I21" s="130">
        <v>13</v>
      </c>
      <c r="J21" s="151" t="s">
        <v>52</v>
      </c>
      <c r="K21" s="152" t="s">
        <v>52</v>
      </c>
      <c r="L21" s="153"/>
      <c r="N21" s="151"/>
      <c r="P21" s="153"/>
      <c r="T21" s="150"/>
    </row>
    <row r="22" spans="1:20" ht="196" x14ac:dyDescent="0.2">
      <c r="A22" s="130" t="s">
        <v>43</v>
      </c>
      <c r="B22" s="130">
        <v>261</v>
      </c>
      <c r="C22" s="130" t="s">
        <v>664</v>
      </c>
      <c r="D22" s="130" t="s">
        <v>45</v>
      </c>
      <c r="E22" s="130" t="s">
        <v>702</v>
      </c>
      <c r="F22" s="131" t="s">
        <v>703</v>
      </c>
      <c r="G22" s="132">
        <v>44243.488333333335</v>
      </c>
      <c r="H22" s="130" t="s">
        <v>48</v>
      </c>
      <c r="I22" s="130">
        <v>13</v>
      </c>
      <c r="J22" s="151" t="s">
        <v>52</v>
      </c>
      <c r="K22" s="152" t="s">
        <v>52</v>
      </c>
      <c r="L22" s="153"/>
      <c r="N22" s="151"/>
      <c r="P22" s="153"/>
      <c r="T22" s="150"/>
    </row>
    <row r="23" spans="1:20" ht="106" x14ac:dyDescent="0.2">
      <c r="A23" s="130" t="s">
        <v>43</v>
      </c>
      <c r="B23" s="130">
        <v>261</v>
      </c>
      <c r="C23" s="130" t="s">
        <v>664</v>
      </c>
      <c r="D23" s="130" t="s">
        <v>45</v>
      </c>
      <c r="E23" s="130" t="s">
        <v>702</v>
      </c>
      <c r="F23" s="131" t="s">
        <v>704</v>
      </c>
      <c r="G23" s="132">
        <v>44243.491782407407</v>
      </c>
      <c r="H23" s="130" t="s">
        <v>48</v>
      </c>
      <c r="I23" s="130">
        <v>13</v>
      </c>
      <c r="J23" s="151" t="s">
        <v>52</v>
      </c>
      <c r="K23" s="152" t="s">
        <v>52</v>
      </c>
      <c r="L23" s="153"/>
      <c r="N23" s="151"/>
      <c r="P23" s="153"/>
      <c r="T23" s="150"/>
    </row>
    <row r="24" spans="1:20" ht="121" x14ac:dyDescent="0.2">
      <c r="A24" s="130" t="s">
        <v>43</v>
      </c>
      <c r="B24" s="130">
        <v>261</v>
      </c>
      <c r="C24" s="130" t="s">
        <v>664</v>
      </c>
      <c r="D24" s="130" t="s">
        <v>45</v>
      </c>
      <c r="E24" s="130" t="s">
        <v>702</v>
      </c>
      <c r="F24" s="131" t="s">
        <v>705</v>
      </c>
      <c r="G24" s="132">
        <v>44243.494039351855</v>
      </c>
      <c r="H24" s="130" t="s">
        <v>48</v>
      </c>
      <c r="I24" s="130">
        <v>13</v>
      </c>
      <c r="J24" s="151" t="s">
        <v>52</v>
      </c>
      <c r="K24" s="152" t="s">
        <v>52</v>
      </c>
      <c r="L24" s="153"/>
      <c r="N24" s="151"/>
      <c r="P24" s="153"/>
      <c r="T24" s="150"/>
    </row>
    <row r="25" spans="1:20" ht="91" x14ac:dyDescent="0.2">
      <c r="A25" s="130" t="s">
        <v>43</v>
      </c>
      <c r="B25" s="130">
        <v>261</v>
      </c>
      <c r="C25" s="130" t="s">
        <v>664</v>
      </c>
      <c r="D25" s="130" t="s">
        <v>45</v>
      </c>
      <c r="E25" s="130" t="s">
        <v>706</v>
      </c>
      <c r="F25" s="131" t="s">
        <v>707</v>
      </c>
      <c r="G25" s="132">
        <v>44243.631458333337</v>
      </c>
      <c r="H25" s="130" t="s">
        <v>48</v>
      </c>
      <c r="I25" s="130">
        <v>13</v>
      </c>
      <c r="J25" s="151" t="s">
        <v>52</v>
      </c>
      <c r="K25" s="152" t="s">
        <v>52</v>
      </c>
      <c r="L25" s="153"/>
      <c r="N25" s="151"/>
      <c r="P25" s="153"/>
      <c r="T25" s="150"/>
    </row>
    <row r="26" spans="1:20" ht="91" x14ac:dyDescent="0.2">
      <c r="A26" s="130" t="s">
        <v>43</v>
      </c>
      <c r="B26" s="130">
        <v>261</v>
      </c>
      <c r="C26" s="130" t="s">
        <v>664</v>
      </c>
      <c r="D26" s="130" t="s">
        <v>45</v>
      </c>
      <c r="E26" s="130" t="s">
        <v>706</v>
      </c>
      <c r="F26" s="131" t="s">
        <v>708</v>
      </c>
      <c r="G26" s="132">
        <v>44243.633356481485</v>
      </c>
      <c r="H26" s="130" t="s">
        <v>48</v>
      </c>
      <c r="I26" s="130">
        <v>13</v>
      </c>
      <c r="J26" s="151" t="s">
        <v>52</v>
      </c>
      <c r="K26" s="152" t="s">
        <v>52</v>
      </c>
      <c r="L26" s="153"/>
      <c r="N26" s="151"/>
      <c r="P26" s="153"/>
      <c r="T26" s="150"/>
    </row>
    <row r="27" spans="1:20" ht="76" x14ac:dyDescent="0.2">
      <c r="A27" s="130" t="s">
        <v>43</v>
      </c>
      <c r="B27" s="130">
        <v>261</v>
      </c>
      <c r="C27" s="130" t="s">
        <v>664</v>
      </c>
      <c r="D27" s="130" t="s">
        <v>45</v>
      </c>
      <c r="E27" s="130" t="s">
        <v>706</v>
      </c>
      <c r="F27" s="131" t="s">
        <v>709</v>
      </c>
      <c r="G27" s="132">
        <v>44243.643136574072</v>
      </c>
      <c r="H27" s="130" t="s">
        <v>48</v>
      </c>
      <c r="I27" s="130">
        <v>13</v>
      </c>
      <c r="J27" s="151" t="s">
        <v>52</v>
      </c>
      <c r="K27" s="152" t="s">
        <v>52</v>
      </c>
      <c r="L27" s="155" t="s">
        <v>295</v>
      </c>
      <c r="M27" s="154" t="s">
        <v>295</v>
      </c>
      <c r="N27" s="151" t="s">
        <v>710</v>
      </c>
      <c r="O27" s="152" t="s">
        <v>710</v>
      </c>
      <c r="P27" s="153"/>
      <c r="T27" s="150"/>
    </row>
    <row r="28" spans="1:20" ht="91" x14ac:dyDescent="0.2">
      <c r="A28" s="130" t="s">
        <v>43</v>
      </c>
      <c r="B28" s="130">
        <v>261</v>
      </c>
      <c r="C28" s="130" t="s">
        <v>664</v>
      </c>
      <c r="D28" s="130" t="s">
        <v>45</v>
      </c>
      <c r="E28" s="130" t="s">
        <v>696</v>
      </c>
      <c r="F28" s="131" t="s">
        <v>711</v>
      </c>
      <c r="G28" s="132">
        <v>44243.856354166666</v>
      </c>
      <c r="H28" s="130" t="s">
        <v>48</v>
      </c>
      <c r="I28" s="130">
        <v>13</v>
      </c>
      <c r="J28" s="151" t="s">
        <v>426</v>
      </c>
      <c r="K28" s="152" t="s">
        <v>52</v>
      </c>
      <c r="L28" s="155"/>
      <c r="N28" s="151" t="s">
        <v>427</v>
      </c>
      <c r="O28" s="152" t="s">
        <v>427</v>
      </c>
      <c r="P28" s="153"/>
      <c r="R28" s="156" t="s">
        <v>243</v>
      </c>
      <c r="T28" s="150"/>
    </row>
    <row r="29" spans="1:20" ht="106" x14ac:dyDescent="0.2">
      <c r="A29" s="130" t="s">
        <v>43</v>
      </c>
      <c r="B29" s="130">
        <v>261</v>
      </c>
      <c r="C29" s="130" t="s">
        <v>664</v>
      </c>
      <c r="D29" s="130" t="s">
        <v>45</v>
      </c>
      <c r="E29" s="130" t="s">
        <v>702</v>
      </c>
      <c r="F29" s="131" t="s">
        <v>712</v>
      </c>
      <c r="G29" s="132">
        <v>44244.394120370373</v>
      </c>
      <c r="H29" s="130" t="s">
        <v>48</v>
      </c>
      <c r="I29" s="130">
        <v>13</v>
      </c>
      <c r="J29" s="151" t="s">
        <v>52</v>
      </c>
      <c r="K29" s="152" t="s">
        <v>52</v>
      </c>
      <c r="L29" s="155" t="s">
        <v>312</v>
      </c>
      <c r="M29" s="154" t="s">
        <v>312</v>
      </c>
      <c r="N29" s="151" t="s">
        <v>305</v>
      </c>
      <c r="O29" s="152" t="s">
        <v>305</v>
      </c>
      <c r="P29" s="153"/>
      <c r="R29" s="156"/>
      <c r="T29" s="150"/>
    </row>
    <row r="30" spans="1:20" ht="121" x14ac:dyDescent="0.2">
      <c r="A30" s="130" t="s">
        <v>43</v>
      </c>
      <c r="B30" s="130">
        <v>261</v>
      </c>
      <c r="C30" s="130" t="s">
        <v>664</v>
      </c>
      <c r="D30" s="130" t="s">
        <v>45</v>
      </c>
      <c r="E30" s="130" t="s">
        <v>713</v>
      </c>
      <c r="F30" s="131" t="s">
        <v>714</v>
      </c>
      <c r="G30" s="132">
        <v>44244.712395833332</v>
      </c>
      <c r="H30" s="130" t="s">
        <v>48</v>
      </c>
      <c r="I30" s="130">
        <v>13</v>
      </c>
      <c r="J30" s="151" t="s">
        <v>52</v>
      </c>
      <c r="K30" s="152" t="s">
        <v>52</v>
      </c>
      <c r="L30" s="153"/>
      <c r="N30" s="151"/>
      <c r="P30" s="153"/>
      <c r="T30" s="150"/>
    </row>
    <row r="31" spans="1:20" ht="76" x14ac:dyDescent="0.2">
      <c r="A31" s="130" t="s">
        <v>43</v>
      </c>
      <c r="B31" s="130">
        <v>261</v>
      </c>
      <c r="C31" s="130" t="s">
        <v>664</v>
      </c>
      <c r="D31" s="130" t="s">
        <v>45</v>
      </c>
      <c r="E31" s="130" t="s">
        <v>713</v>
      </c>
      <c r="F31" s="131" t="s">
        <v>715</v>
      </c>
      <c r="G31" s="132">
        <v>44244.715578703705</v>
      </c>
      <c r="H31" s="130" t="s">
        <v>48</v>
      </c>
      <c r="I31" s="130">
        <v>13</v>
      </c>
      <c r="J31" s="151" t="s">
        <v>426</v>
      </c>
      <c r="K31" s="152" t="s">
        <v>52</v>
      </c>
      <c r="L31" s="153"/>
      <c r="N31" s="151" t="s">
        <v>331</v>
      </c>
      <c r="O31" s="152" t="s">
        <v>331</v>
      </c>
      <c r="P31" s="153" t="s">
        <v>120</v>
      </c>
      <c r="Q31" s="154" t="s">
        <v>120</v>
      </c>
      <c r="R31" s="156" t="s">
        <v>674</v>
      </c>
      <c r="T31" s="150"/>
    </row>
    <row r="32" spans="1:20" ht="151" x14ac:dyDescent="0.2">
      <c r="A32" s="130" t="s">
        <v>43</v>
      </c>
      <c r="B32" s="130">
        <v>261</v>
      </c>
      <c r="C32" s="130" t="s">
        <v>664</v>
      </c>
      <c r="D32" s="130" t="s">
        <v>45</v>
      </c>
      <c r="E32" s="130" t="s">
        <v>716</v>
      </c>
      <c r="F32" s="131" t="s">
        <v>717</v>
      </c>
      <c r="G32" s="132">
        <v>44245.54314814815</v>
      </c>
      <c r="H32" s="130" t="s">
        <v>48</v>
      </c>
      <c r="I32" s="130">
        <v>13</v>
      </c>
      <c r="J32" s="151" t="s">
        <v>52</v>
      </c>
      <c r="K32" s="152" t="s">
        <v>52</v>
      </c>
      <c r="L32" s="153"/>
      <c r="N32" s="151"/>
      <c r="P32" s="153"/>
      <c r="T32" s="150"/>
    </row>
    <row r="33" spans="1:20" ht="136" x14ac:dyDescent="0.2">
      <c r="A33" s="130" t="s">
        <v>43</v>
      </c>
      <c r="B33" s="130">
        <v>261</v>
      </c>
      <c r="C33" s="130" t="s">
        <v>664</v>
      </c>
      <c r="D33" s="130" t="s">
        <v>45</v>
      </c>
      <c r="E33" s="130" t="s">
        <v>716</v>
      </c>
      <c r="F33" s="131" t="s">
        <v>718</v>
      </c>
      <c r="G33" s="132">
        <v>44245.547407407408</v>
      </c>
      <c r="H33" s="130" t="s">
        <v>48</v>
      </c>
      <c r="I33" s="130">
        <v>13</v>
      </c>
      <c r="J33" s="151" t="s">
        <v>52</v>
      </c>
      <c r="K33" s="152" t="s">
        <v>52</v>
      </c>
      <c r="L33" s="153"/>
      <c r="N33" s="151"/>
      <c r="P33" s="153"/>
      <c r="T33" s="150"/>
    </row>
    <row r="34" spans="1:20" ht="121" x14ac:dyDescent="0.2">
      <c r="A34" s="130" t="s">
        <v>43</v>
      </c>
      <c r="B34" s="130">
        <v>261</v>
      </c>
      <c r="C34" s="130" t="s">
        <v>664</v>
      </c>
      <c r="D34" s="130" t="s">
        <v>45</v>
      </c>
      <c r="E34" s="130" t="s">
        <v>702</v>
      </c>
      <c r="F34" s="131" t="s">
        <v>719</v>
      </c>
      <c r="G34" s="132">
        <v>44246.532094907408</v>
      </c>
      <c r="H34" s="130" t="s">
        <v>48</v>
      </c>
      <c r="I34" s="130">
        <v>13</v>
      </c>
      <c r="J34" s="151" t="s">
        <v>426</v>
      </c>
      <c r="K34" s="152" t="s">
        <v>52</v>
      </c>
      <c r="L34" s="153"/>
      <c r="N34" s="151" t="s">
        <v>427</v>
      </c>
      <c r="O34" s="152" t="s">
        <v>427</v>
      </c>
      <c r="P34" s="153"/>
      <c r="R34" s="156" t="s">
        <v>674</v>
      </c>
      <c r="T34" s="150"/>
    </row>
    <row r="35" spans="1:20" ht="76" x14ac:dyDescent="0.2">
      <c r="A35" s="130" t="s">
        <v>43</v>
      </c>
      <c r="B35" s="130">
        <v>261</v>
      </c>
      <c r="C35" s="130" t="s">
        <v>664</v>
      </c>
      <c r="D35" s="130" t="s">
        <v>45</v>
      </c>
      <c r="E35" s="130" t="s">
        <v>720</v>
      </c>
      <c r="F35" s="131" t="s">
        <v>721</v>
      </c>
      <c r="G35" s="132">
        <v>44247.687905092593</v>
      </c>
      <c r="H35" s="130" t="s">
        <v>48</v>
      </c>
      <c r="I35" s="130">
        <v>13</v>
      </c>
      <c r="J35" s="151" t="s">
        <v>52</v>
      </c>
      <c r="K35" s="152" t="s">
        <v>52</v>
      </c>
      <c r="L35" s="153"/>
      <c r="N35" s="151"/>
      <c r="P35" s="153"/>
      <c r="T35" s="150"/>
    </row>
    <row r="36" spans="1:20" ht="76" x14ac:dyDescent="0.2">
      <c r="A36" s="130" t="s">
        <v>43</v>
      </c>
      <c r="B36" s="130">
        <v>261</v>
      </c>
      <c r="C36" s="130" t="s">
        <v>664</v>
      </c>
      <c r="D36" s="130" t="s">
        <v>45</v>
      </c>
      <c r="E36" s="130" t="s">
        <v>720</v>
      </c>
      <c r="F36" s="131" t="s">
        <v>722</v>
      </c>
      <c r="G36" s="132">
        <v>44247.689293981479</v>
      </c>
      <c r="H36" s="130" t="s">
        <v>48</v>
      </c>
      <c r="I36" s="130">
        <v>13</v>
      </c>
      <c r="J36" s="151" t="s">
        <v>52</v>
      </c>
      <c r="K36" s="152" t="s">
        <v>52</v>
      </c>
      <c r="L36" s="153"/>
      <c r="N36" s="151"/>
      <c r="P36" s="153"/>
      <c r="T36" s="150"/>
    </row>
    <row r="37" spans="1:20" ht="76" x14ac:dyDescent="0.2">
      <c r="A37" s="130" t="s">
        <v>43</v>
      </c>
      <c r="B37" s="130">
        <v>261</v>
      </c>
      <c r="C37" s="130" t="s">
        <v>664</v>
      </c>
      <c r="D37" s="130" t="s">
        <v>45</v>
      </c>
      <c r="E37" s="130" t="s">
        <v>723</v>
      </c>
      <c r="F37" s="131" t="s">
        <v>724</v>
      </c>
      <c r="G37" s="132">
        <v>44248.498182870368</v>
      </c>
      <c r="H37" s="130" t="s">
        <v>48</v>
      </c>
      <c r="I37" s="130">
        <v>13</v>
      </c>
      <c r="J37" s="151" t="s">
        <v>52</v>
      </c>
      <c r="K37" s="152" t="s">
        <v>52</v>
      </c>
      <c r="L37" s="153"/>
      <c r="N37" s="151"/>
      <c r="P37" s="153"/>
      <c r="T37" s="150"/>
    </row>
    <row r="38" spans="1:20" ht="76" x14ac:dyDescent="0.2">
      <c r="A38" s="130" t="s">
        <v>43</v>
      </c>
      <c r="B38" s="130">
        <v>261</v>
      </c>
      <c r="C38" s="130" t="s">
        <v>664</v>
      </c>
      <c r="D38" s="130" t="s">
        <v>45</v>
      </c>
      <c r="E38" s="130" t="s">
        <v>723</v>
      </c>
      <c r="F38" s="131" t="s">
        <v>725</v>
      </c>
      <c r="G38" s="132">
        <v>44248.499039351853</v>
      </c>
      <c r="H38" s="130" t="s">
        <v>48</v>
      </c>
      <c r="I38" s="130">
        <v>13</v>
      </c>
      <c r="J38" s="151" t="s">
        <v>52</v>
      </c>
      <c r="K38" s="152" t="s">
        <v>52</v>
      </c>
      <c r="L38" s="153"/>
      <c r="N38" s="151"/>
      <c r="P38" s="153"/>
      <c r="T38" s="150"/>
    </row>
    <row r="39" spans="1:20" ht="76" x14ac:dyDescent="0.2">
      <c r="A39" s="130" t="s">
        <v>43</v>
      </c>
      <c r="B39" s="130">
        <v>261</v>
      </c>
      <c r="C39" s="130" t="s">
        <v>664</v>
      </c>
      <c r="D39" s="130" t="s">
        <v>45</v>
      </c>
      <c r="E39" s="130" t="s">
        <v>699</v>
      </c>
      <c r="F39" s="131" t="s">
        <v>726</v>
      </c>
      <c r="G39" s="132">
        <v>44250.394097222219</v>
      </c>
      <c r="H39" s="130" t="s">
        <v>48</v>
      </c>
      <c r="I39" s="130">
        <v>13</v>
      </c>
      <c r="J39" s="151" t="s">
        <v>52</v>
      </c>
      <c r="K39" s="152" t="s">
        <v>52</v>
      </c>
      <c r="L39" s="153"/>
      <c r="N39" s="151"/>
      <c r="O39" s="152" t="s">
        <v>305</v>
      </c>
      <c r="P39" s="153"/>
      <c r="T39" s="150"/>
    </row>
    <row r="40" spans="1:20" ht="106" x14ac:dyDescent="0.2">
      <c r="A40" s="130" t="s">
        <v>43</v>
      </c>
      <c r="B40" s="130">
        <v>261</v>
      </c>
      <c r="C40" s="130" t="s">
        <v>664</v>
      </c>
      <c r="D40" s="130" t="s">
        <v>45</v>
      </c>
      <c r="E40" s="130" t="s">
        <v>727</v>
      </c>
      <c r="F40" s="131" t="s">
        <v>728</v>
      </c>
      <c r="G40" s="132">
        <v>44250.578229166669</v>
      </c>
      <c r="H40" s="130" t="s">
        <v>48</v>
      </c>
      <c r="I40" s="130">
        <v>13</v>
      </c>
      <c r="J40" s="151" t="s">
        <v>52</v>
      </c>
      <c r="K40" s="152" t="s">
        <v>52</v>
      </c>
      <c r="L40" s="153"/>
      <c r="N40" s="151"/>
      <c r="P40" s="153" t="s">
        <v>120</v>
      </c>
      <c r="Q40" s="154" t="s">
        <v>120</v>
      </c>
      <c r="T40" s="150"/>
    </row>
    <row r="41" spans="1:20" ht="151" x14ac:dyDescent="0.2">
      <c r="A41" s="130" t="s">
        <v>43</v>
      </c>
      <c r="B41" s="130">
        <v>261</v>
      </c>
      <c r="C41" s="130" t="s">
        <v>664</v>
      </c>
      <c r="D41" s="130" t="s">
        <v>45</v>
      </c>
      <c r="E41" s="130" t="s">
        <v>727</v>
      </c>
      <c r="F41" s="131" t="s">
        <v>729</v>
      </c>
      <c r="G41" s="132">
        <v>44250.606828703705</v>
      </c>
      <c r="H41" s="130" t="s">
        <v>48</v>
      </c>
      <c r="I41" s="130">
        <v>13</v>
      </c>
      <c r="J41" s="151" t="s">
        <v>52</v>
      </c>
      <c r="K41" s="152" t="s">
        <v>52</v>
      </c>
      <c r="L41" s="153"/>
      <c r="N41" s="151"/>
      <c r="P41" s="153"/>
      <c r="T41" s="150"/>
    </row>
    <row r="42" spans="1:20" ht="121" x14ac:dyDescent="0.2">
      <c r="A42" s="130" t="s">
        <v>43</v>
      </c>
      <c r="B42" s="130">
        <v>261</v>
      </c>
      <c r="C42" s="130" t="s">
        <v>664</v>
      </c>
      <c r="D42" s="130" t="s">
        <v>45</v>
      </c>
      <c r="E42" s="130" t="s">
        <v>727</v>
      </c>
      <c r="F42" s="131" t="s">
        <v>730</v>
      </c>
      <c r="G42" s="132">
        <v>44250.609849537039</v>
      </c>
      <c r="H42" s="130" t="s">
        <v>48</v>
      </c>
      <c r="I42" s="130">
        <v>13</v>
      </c>
      <c r="J42" s="151" t="s">
        <v>52</v>
      </c>
      <c r="K42" s="152" t="s">
        <v>52</v>
      </c>
      <c r="L42" s="153"/>
      <c r="N42" s="151" t="s">
        <v>58</v>
      </c>
      <c r="O42" s="152" t="s">
        <v>58</v>
      </c>
      <c r="P42" s="153"/>
      <c r="T42" s="150"/>
    </row>
    <row r="43" spans="1:20" ht="46" x14ac:dyDescent="0.2">
      <c r="A43" s="130" t="s">
        <v>43</v>
      </c>
      <c r="B43" s="130">
        <v>261</v>
      </c>
      <c r="C43" s="130" t="s">
        <v>664</v>
      </c>
      <c r="D43" s="130" t="s">
        <v>45</v>
      </c>
      <c r="E43" s="130" t="s">
        <v>696</v>
      </c>
      <c r="F43" s="131" t="s">
        <v>731</v>
      </c>
      <c r="G43" s="132">
        <v>44251.342233796298</v>
      </c>
      <c r="H43" s="130" t="s">
        <v>48</v>
      </c>
      <c r="I43" s="130">
        <v>13</v>
      </c>
      <c r="J43" s="151" t="s">
        <v>52</v>
      </c>
      <c r="K43" s="152" t="s">
        <v>52</v>
      </c>
      <c r="L43" s="155" t="s">
        <v>295</v>
      </c>
      <c r="M43" s="154" t="s">
        <v>295</v>
      </c>
      <c r="N43" s="151"/>
      <c r="P43" s="153" t="s">
        <v>112</v>
      </c>
      <c r="Q43" s="154" t="s">
        <v>112</v>
      </c>
      <c r="T43" s="150"/>
    </row>
    <row r="44" spans="1:20" ht="91" x14ac:dyDescent="0.2">
      <c r="A44" s="130" t="s">
        <v>43</v>
      </c>
      <c r="B44" s="130">
        <v>261</v>
      </c>
      <c r="C44" s="130" t="s">
        <v>664</v>
      </c>
      <c r="D44" s="130" t="s">
        <v>45</v>
      </c>
      <c r="E44" s="130" t="s">
        <v>713</v>
      </c>
      <c r="F44" s="131" t="s">
        <v>732</v>
      </c>
      <c r="G44" s="132">
        <v>44251.60664351852</v>
      </c>
      <c r="H44" s="130" t="s">
        <v>48</v>
      </c>
      <c r="I44" s="130">
        <v>13</v>
      </c>
      <c r="J44" s="151" t="s">
        <v>52</v>
      </c>
      <c r="K44" s="152" t="s">
        <v>52</v>
      </c>
      <c r="L44" s="155"/>
      <c r="N44" s="151"/>
      <c r="P44" s="153"/>
      <c r="T44" s="150"/>
    </row>
    <row r="45" spans="1:20" ht="31" x14ac:dyDescent="0.2">
      <c r="A45" s="130" t="s">
        <v>43</v>
      </c>
      <c r="B45" s="130">
        <v>261</v>
      </c>
      <c r="C45" s="130" t="s">
        <v>664</v>
      </c>
      <c r="D45" s="130" t="s">
        <v>45</v>
      </c>
      <c r="E45" s="130" t="s">
        <v>733</v>
      </c>
      <c r="F45" s="131" t="s">
        <v>734</v>
      </c>
      <c r="G45" s="132">
        <v>44252.604664351849</v>
      </c>
      <c r="H45" s="130" t="s">
        <v>48</v>
      </c>
      <c r="I45" s="130">
        <v>13</v>
      </c>
      <c r="J45" s="151" t="s">
        <v>52</v>
      </c>
      <c r="K45" s="152" t="s">
        <v>52</v>
      </c>
      <c r="L45" s="155"/>
      <c r="M45" s="154" t="s">
        <v>312</v>
      </c>
      <c r="N45" s="151"/>
      <c r="P45" s="153"/>
      <c r="T45" s="150"/>
    </row>
    <row r="46" spans="1:20" ht="61" x14ac:dyDescent="0.2">
      <c r="A46" s="130" t="s">
        <v>43</v>
      </c>
      <c r="B46" s="130">
        <v>261</v>
      </c>
      <c r="C46" s="130" t="s">
        <v>664</v>
      </c>
      <c r="D46" s="130" t="s">
        <v>45</v>
      </c>
      <c r="E46" s="130" t="s">
        <v>733</v>
      </c>
      <c r="F46" s="131" t="s">
        <v>735</v>
      </c>
      <c r="G46" s="132">
        <v>44252.606516203705</v>
      </c>
      <c r="H46" s="130" t="s">
        <v>48</v>
      </c>
      <c r="I46" s="130">
        <v>13</v>
      </c>
      <c r="J46" s="151" t="s">
        <v>52</v>
      </c>
      <c r="K46" s="152" t="s">
        <v>52</v>
      </c>
      <c r="L46" s="155" t="s">
        <v>312</v>
      </c>
      <c r="N46" s="151"/>
      <c r="P46" s="153"/>
      <c r="T46" s="150"/>
    </row>
    <row r="47" spans="1:20" ht="76" x14ac:dyDescent="0.2">
      <c r="A47" s="130" t="s">
        <v>43</v>
      </c>
      <c r="B47" s="130">
        <v>261</v>
      </c>
      <c r="C47" s="130" t="s">
        <v>664</v>
      </c>
      <c r="D47" s="130" t="s">
        <v>45</v>
      </c>
      <c r="E47" s="130" t="s">
        <v>733</v>
      </c>
      <c r="F47" s="131" t="s">
        <v>736</v>
      </c>
      <c r="G47" s="132">
        <v>44252.607685185183</v>
      </c>
      <c r="H47" s="130" t="s">
        <v>48</v>
      </c>
      <c r="I47" s="130">
        <v>13</v>
      </c>
      <c r="J47" s="151" t="s">
        <v>52</v>
      </c>
      <c r="K47" s="152" t="s">
        <v>52</v>
      </c>
      <c r="L47" s="153"/>
      <c r="N47" s="151" t="s">
        <v>58</v>
      </c>
      <c r="O47" s="152" t="s">
        <v>58</v>
      </c>
      <c r="P47" s="153"/>
      <c r="T47" s="150"/>
    </row>
    <row r="48" spans="1:20" ht="31" hidden="1" x14ac:dyDescent="0.2">
      <c r="A48" s="130" t="s">
        <v>737</v>
      </c>
      <c r="B48" s="130">
        <v>274</v>
      </c>
      <c r="C48" s="130" t="s">
        <v>738</v>
      </c>
      <c r="D48" s="130" t="s">
        <v>45</v>
      </c>
      <c r="E48" s="130" t="s">
        <v>739</v>
      </c>
      <c r="F48" s="131" t="s">
        <v>740</v>
      </c>
      <c r="G48" s="132">
        <v>44242.779988425929</v>
      </c>
      <c r="H48" s="130" t="s">
        <v>48</v>
      </c>
      <c r="I48" s="130">
        <v>34</v>
      </c>
      <c r="J48" s="157"/>
      <c r="K48" s="130"/>
      <c r="L48" s="157"/>
      <c r="M48" s="130"/>
      <c r="N48" s="157"/>
      <c r="O48" s="130"/>
      <c r="P48" s="157"/>
      <c r="Q48" s="130"/>
      <c r="R48" s="130"/>
      <c r="S48" s="130"/>
      <c r="T48" s="150"/>
    </row>
    <row r="49" spans="1:20" ht="121" hidden="1" x14ac:dyDescent="0.2">
      <c r="A49" s="130" t="s">
        <v>737</v>
      </c>
      <c r="B49" s="130">
        <v>274</v>
      </c>
      <c r="C49" s="130" t="s">
        <v>738</v>
      </c>
      <c r="D49" s="130" t="s">
        <v>45</v>
      </c>
      <c r="E49" s="130" t="s">
        <v>739</v>
      </c>
      <c r="F49" s="131" t="s">
        <v>741</v>
      </c>
      <c r="G49" s="132">
        <v>44242.784953703704</v>
      </c>
      <c r="H49" s="130" t="s">
        <v>48</v>
      </c>
      <c r="I49" s="130">
        <v>34</v>
      </c>
      <c r="J49" s="157"/>
      <c r="K49" s="130"/>
      <c r="L49" s="157"/>
      <c r="M49" s="130"/>
      <c r="N49" s="157"/>
      <c r="O49" s="130"/>
      <c r="P49" s="157"/>
      <c r="Q49" s="130"/>
      <c r="R49" s="130"/>
      <c r="S49" s="130"/>
      <c r="T49" s="150"/>
    </row>
    <row r="50" spans="1:20" ht="91" hidden="1" x14ac:dyDescent="0.2">
      <c r="A50" s="130" t="s">
        <v>737</v>
      </c>
      <c r="B50" s="130">
        <v>274</v>
      </c>
      <c r="C50" s="130" t="s">
        <v>738</v>
      </c>
      <c r="D50" s="130" t="s">
        <v>45</v>
      </c>
      <c r="E50" s="130" t="s">
        <v>739</v>
      </c>
      <c r="F50" s="131" t="s">
        <v>742</v>
      </c>
      <c r="G50" s="132">
        <v>44242.787129629629</v>
      </c>
      <c r="H50" s="130" t="s">
        <v>48</v>
      </c>
      <c r="I50" s="130">
        <v>34</v>
      </c>
      <c r="J50" s="157"/>
      <c r="K50" s="130"/>
      <c r="L50" s="157"/>
      <c r="M50" s="130"/>
      <c r="N50" s="157"/>
      <c r="O50" s="130"/>
      <c r="P50" s="157"/>
      <c r="Q50" s="130"/>
      <c r="R50" s="130"/>
      <c r="S50" s="130"/>
      <c r="T50" s="150"/>
    </row>
    <row r="51" spans="1:20" ht="46" hidden="1" x14ac:dyDescent="0.2">
      <c r="A51" s="130" t="s">
        <v>737</v>
      </c>
      <c r="B51" s="130">
        <v>274</v>
      </c>
      <c r="C51" s="130" t="s">
        <v>738</v>
      </c>
      <c r="D51" s="130" t="s">
        <v>45</v>
      </c>
      <c r="E51" s="130" t="s">
        <v>743</v>
      </c>
      <c r="F51" s="131" t="s">
        <v>744</v>
      </c>
      <c r="G51" s="132">
        <v>44244.81554398148</v>
      </c>
      <c r="H51" s="130" t="s">
        <v>48</v>
      </c>
      <c r="I51" s="130">
        <v>34</v>
      </c>
      <c r="J51" s="157"/>
      <c r="K51" s="130"/>
      <c r="L51" s="157"/>
      <c r="M51" s="130"/>
      <c r="N51" s="157"/>
      <c r="O51" s="130"/>
      <c r="P51" s="157"/>
      <c r="Q51" s="130"/>
      <c r="R51" s="130"/>
      <c r="S51" s="130"/>
      <c r="T51" s="150"/>
    </row>
    <row r="52" spans="1:20" ht="31" hidden="1" x14ac:dyDescent="0.2">
      <c r="A52" s="130" t="s">
        <v>737</v>
      </c>
      <c r="B52" s="130">
        <v>274</v>
      </c>
      <c r="C52" s="130" t="s">
        <v>738</v>
      </c>
      <c r="D52" s="130" t="s">
        <v>45</v>
      </c>
      <c r="E52" s="130" t="s">
        <v>743</v>
      </c>
      <c r="F52" s="131" t="s">
        <v>745</v>
      </c>
      <c r="G52" s="132">
        <v>44244.816562499997</v>
      </c>
      <c r="H52" s="130" t="s">
        <v>48</v>
      </c>
      <c r="I52" s="130">
        <v>34</v>
      </c>
      <c r="J52" s="157"/>
      <c r="K52" s="130"/>
      <c r="L52" s="157"/>
      <c r="M52" s="130"/>
      <c r="N52" s="157"/>
      <c r="O52" s="130"/>
      <c r="P52" s="157"/>
      <c r="Q52" s="130"/>
      <c r="R52" s="130"/>
      <c r="S52" s="130"/>
      <c r="T52" s="150"/>
    </row>
    <row r="53" spans="1:20" ht="61" hidden="1" x14ac:dyDescent="0.2">
      <c r="A53" s="130" t="s">
        <v>737</v>
      </c>
      <c r="B53" s="130">
        <v>274</v>
      </c>
      <c r="C53" s="130" t="s">
        <v>738</v>
      </c>
      <c r="D53" s="130" t="s">
        <v>45</v>
      </c>
      <c r="E53" s="130" t="s">
        <v>743</v>
      </c>
      <c r="F53" s="131" t="s">
        <v>746</v>
      </c>
      <c r="G53" s="132">
        <v>44244.817314814813</v>
      </c>
      <c r="H53" s="130" t="s">
        <v>48</v>
      </c>
      <c r="I53" s="130">
        <v>34</v>
      </c>
      <c r="J53" s="157"/>
      <c r="K53" s="130"/>
      <c r="L53" s="157"/>
      <c r="M53" s="130"/>
      <c r="N53" s="157"/>
      <c r="O53" s="130"/>
      <c r="P53" s="157"/>
      <c r="Q53" s="130"/>
      <c r="R53" s="130"/>
      <c r="S53" s="130"/>
      <c r="T53" s="150"/>
    </row>
    <row r="54" spans="1:20" ht="121" hidden="1" x14ac:dyDescent="0.2">
      <c r="A54" s="130" t="s">
        <v>737</v>
      </c>
      <c r="B54" s="130">
        <v>274</v>
      </c>
      <c r="C54" s="130" t="s">
        <v>738</v>
      </c>
      <c r="D54" s="130" t="s">
        <v>45</v>
      </c>
      <c r="E54" s="130" t="s">
        <v>743</v>
      </c>
      <c r="F54" s="131" t="s">
        <v>747</v>
      </c>
      <c r="G54" s="132">
        <v>44244.81890046296</v>
      </c>
      <c r="H54" s="130" t="s">
        <v>48</v>
      </c>
      <c r="I54" s="130">
        <v>34</v>
      </c>
      <c r="J54" s="157"/>
      <c r="K54" s="130"/>
      <c r="L54" s="157"/>
      <c r="M54" s="130"/>
      <c r="N54" s="157"/>
      <c r="O54" s="130"/>
      <c r="P54" s="157"/>
      <c r="Q54" s="130"/>
      <c r="R54" s="130"/>
      <c r="S54" s="130"/>
      <c r="T54" s="150"/>
    </row>
    <row r="55" spans="1:20" ht="31" hidden="1" x14ac:dyDescent="0.2">
      <c r="A55" s="130" t="s">
        <v>737</v>
      </c>
      <c r="B55" s="130">
        <v>274</v>
      </c>
      <c r="C55" s="130" t="s">
        <v>738</v>
      </c>
      <c r="D55" s="130" t="s">
        <v>45</v>
      </c>
      <c r="E55" s="130" t="s">
        <v>748</v>
      </c>
      <c r="F55" s="131" t="s">
        <v>749</v>
      </c>
      <c r="G55" s="132">
        <v>44251.655902777777</v>
      </c>
      <c r="H55" s="130" t="s">
        <v>48</v>
      </c>
      <c r="I55" s="130">
        <v>34</v>
      </c>
      <c r="J55" s="130"/>
      <c r="K55" s="130"/>
      <c r="L55" s="130"/>
      <c r="M55" s="130"/>
      <c r="N55" s="157"/>
      <c r="O55" s="130"/>
      <c r="P55" s="157"/>
      <c r="Q55" s="130"/>
      <c r="R55" s="130"/>
      <c r="S55" s="130"/>
      <c r="T55" s="150"/>
    </row>
    <row r="56" spans="1:20" ht="61" hidden="1" x14ac:dyDescent="0.2">
      <c r="A56" s="130" t="s">
        <v>737</v>
      </c>
      <c r="B56" s="130">
        <v>274</v>
      </c>
      <c r="C56" s="130" t="s">
        <v>738</v>
      </c>
      <c r="D56" s="130" t="s">
        <v>45</v>
      </c>
      <c r="E56" s="130" t="s">
        <v>748</v>
      </c>
      <c r="F56" s="131" t="s">
        <v>750</v>
      </c>
      <c r="G56" s="132">
        <v>44251.656574074077</v>
      </c>
      <c r="H56" s="130" t="s">
        <v>48</v>
      </c>
      <c r="I56" s="130">
        <v>34</v>
      </c>
      <c r="J56" s="130"/>
      <c r="K56" s="130"/>
      <c r="L56" s="130"/>
      <c r="M56" s="130"/>
      <c r="N56" s="157"/>
      <c r="O56" s="130"/>
      <c r="P56" s="157"/>
      <c r="Q56" s="130"/>
      <c r="R56" s="130"/>
      <c r="S56" s="130"/>
      <c r="T56" s="150"/>
    </row>
    <row r="57" spans="1:20" ht="46" hidden="1" x14ac:dyDescent="0.2">
      <c r="A57" s="130" t="s">
        <v>737</v>
      </c>
      <c r="B57" s="130">
        <v>274</v>
      </c>
      <c r="C57" s="130" t="s">
        <v>738</v>
      </c>
      <c r="D57" s="130" t="s">
        <v>45</v>
      </c>
      <c r="E57" s="130" t="s">
        <v>748</v>
      </c>
      <c r="F57" s="131" t="s">
        <v>751</v>
      </c>
      <c r="G57" s="132">
        <v>44251.657557870371</v>
      </c>
      <c r="H57" s="130" t="s">
        <v>48</v>
      </c>
      <c r="I57" s="130">
        <v>34</v>
      </c>
      <c r="J57" s="130"/>
      <c r="K57" s="130"/>
      <c r="L57" s="130"/>
      <c r="M57" s="130"/>
      <c r="N57" s="157"/>
      <c r="O57" s="130"/>
      <c r="P57" s="157"/>
      <c r="Q57" s="130"/>
      <c r="R57" s="130"/>
      <c r="S57" s="130"/>
      <c r="T57" s="150"/>
    </row>
    <row r="58" spans="1:20" ht="256" hidden="1" x14ac:dyDescent="0.2">
      <c r="A58" s="130" t="s">
        <v>752</v>
      </c>
      <c r="B58" s="130">
        <v>276</v>
      </c>
      <c r="C58" s="130" t="s">
        <v>753</v>
      </c>
      <c r="D58" s="130" t="s">
        <v>45</v>
      </c>
      <c r="E58" s="130" t="s">
        <v>754</v>
      </c>
      <c r="F58" s="131" t="s">
        <v>755</v>
      </c>
      <c r="G58" s="132">
        <v>44240.692974537036</v>
      </c>
      <c r="H58" s="130" t="s">
        <v>48</v>
      </c>
      <c r="J58" s="130"/>
      <c r="K58" s="130"/>
      <c r="L58" s="130"/>
      <c r="M58" s="130"/>
      <c r="N58" s="157"/>
      <c r="O58" s="130"/>
      <c r="P58" s="157"/>
      <c r="Q58" s="130"/>
      <c r="R58" s="130"/>
      <c r="S58" s="130"/>
      <c r="T58" s="150"/>
    </row>
    <row r="59" spans="1:20" ht="46" hidden="1" x14ac:dyDescent="0.2">
      <c r="A59" s="130" t="s">
        <v>752</v>
      </c>
      <c r="B59" s="130">
        <v>276</v>
      </c>
      <c r="C59" s="130" t="s">
        <v>753</v>
      </c>
      <c r="D59" s="130" t="s">
        <v>45</v>
      </c>
      <c r="E59" s="130" t="s">
        <v>756</v>
      </c>
      <c r="F59" s="131" t="s">
        <v>757</v>
      </c>
      <c r="G59" s="132">
        <v>44241.924293981479</v>
      </c>
      <c r="H59" s="130" t="s">
        <v>48</v>
      </c>
      <c r="J59" s="130"/>
      <c r="K59" s="130"/>
      <c r="L59" s="130"/>
      <c r="M59" s="130"/>
      <c r="N59" s="157"/>
      <c r="O59" s="130"/>
      <c r="P59" s="157"/>
      <c r="Q59" s="130"/>
      <c r="R59" s="130"/>
      <c r="S59" s="130"/>
      <c r="T59" s="150"/>
    </row>
    <row r="60" spans="1:20" ht="16" hidden="1" x14ac:dyDescent="0.2">
      <c r="A60" s="130" t="s">
        <v>752</v>
      </c>
      <c r="B60" s="130">
        <v>276</v>
      </c>
      <c r="C60" s="130" t="s">
        <v>753</v>
      </c>
      <c r="D60" s="130" t="s">
        <v>45</v>
      </c>
      <c r="E60" s="130" t="s">
        <v>756</v>
      </c>
      <c r="F60" s="131" t="s">
        <v>758</v>
      </c>
      <c r="G60" s="132">
        <v>44241.924884259257</v>
      </c>
      <c r="H60" s="130" t="s">
        <v>48</v>
      </c>
      <c r="J60" s="130"/>
      <c r="K60" s="130"/>
      <c r="L60" s="130"/>
      <c r="M60" s="130"/>
      <c r="N60" s="157"/>
      <c r="O60" s="130"/>
      <c r="P60" s="157"/>
      <c r="Q60" s="130"/>
      <c r="R60" s="130"/>
      <c r="S60" s="130"/>
      <c r="T60" s="150"/>
    </row>
    <row r="61" spans="1:20" ht="211" hidden="1" x14ac:dyDescent="0.2">
      <c r="A61" s="130" t="s">
        <v>752</v>
      </c>
      <c r="B61" s="130">
        <v>276</v>
      </c>
      <c r="C61" s="130" t="s">
        <v>753</v>
      </c>
      <c r="D61" s="130" t="s">
        <v>45</v>
      </c>
      <c r="E61" s="130" t="s">
        <v>756</v>
      </c>
      <c r="F61" s="131" t="s">
        <v>759</v>
      </c>
      <c r="G61" s="132">
        <v>44241.934930555559</v>
      </c>
      <c r="H61" s="130" t="s">
        <v>48</v>
      </c>
      <c r="J61" s="130"/>
      <c r="K61" s="130"/>
      <c r="L61" s="130"/>
      <c r="M61" s="130"/>
      <c r="N61" s="157"/>
      <c r="O61" s="130"/>
      <c r="P61" s="157"/>
      <c r="Q61" s="130"/>
      <c r="R61" s="130"/>
      <c r="S61" s="130"/>
      <c r="T61" s="150"/>
    </row>
    <row r="62" spans="1:20" ht="16" hidden="1" x14ac:dyDescent="0.2">
      <c r="A62" s="130" t="s">
        <v>752</v>
      </c>
      <c r="B62" s="130">
        <v>276</v>
      </c>
      <c r="C62" s="130" t="s">
        <v>753</v>
      </c>
      <c r="D62" s="130" t="s">
        <v>45</v>
      </c>
      <c r="E62" s="130" t="s">
        <v>756</v>
      </c>
      <c r="F62" s="131" t="s">
        <v>760</v>
      </c>
      <c r="G62" s="132">
        <v>44242.75203703704</v>
      </c>
      <c r="H62" s="130" t="s">
        <v>48</v>
      </c>
      <c r="J62" s="130"/>
      <c r="K62" s="130"/>
      <c r="L62" s="130"/>
      <c r="M62" s="130"/>
      <c r="N62" s="157"/>
      <c r="O62" s="130"/>
      <c r="P62" s="157"/>
      <c r="Q62" s="130"/>
      <c r="R62" s="130"/>
      <c r="S62" s="130"/>
      <c r="T62" s="150"/>
    </row>
    <row r="63" spans="1:20" ht="16" hidden="1" x14ac:dyDescent="0.2">
      <c r="A63" s="130" t="s">
        <v>752</v>
      </c>
      <c r="B63" s="130">
        <v>276</v>
      </c>
      <c r="C63" s="130" t="s">
        <v>753</v>
      </c>
      <c r="D63" s="130" t="s">
        <v>45</v>
      </c>
      <c r="E63" s="130" t="s">
        <v>761</v>
      </c>
      <c r="F63" s="131" t="s">
        <v>762</v>
      </c>
      <c r="G63" s="132">
        <v>44242.756481481483</v>
      </c>
      <c r="H63" s="130" t="s">
        <v>48</v>
      </c>
      <c r="J63" s="130"/>
      <c r="K63" s="130"/>
      <c r="L63" s="130"/>
      <c r="M63" s="130"/>
      <c r="N63" s="157"/>
      <c r="O63" s="130"/>
      <c r="P63" s="157"/>
      <c r="Q63" s="130"/>
      <c r="R63" s="130"/>
      <c r="S63" s="130"/>
      <c r="T63" s="150"/>
    </row>
    <row r="64" spans="1:20" ht="16" hidden="1" x14ac:dyDescent="0.2">
      <c r="A64" s="130" t="s">
        <v>752</v>
      </c>
      <c r="B64" s="130">
        <v>276</v>
      </c>
      <c r="C64" s="130" t="s">
        <v>753</v>
      </c>
      <c r="D64" s="130" t="s">
        <v>45</v>
      </c>
      <c r="E64" s="130" t="s">
        <v>763</v>
      </c>
      <c r="F64" s="131" t="s">
        <v>764</v>
      </c>
      <c r="G64" s="132">
        <v>44242.756608796299</v>
      </c>
      <c r="H64" s="130" t="s">
        <v>48</v>
      </c>
      <c r="J64" s="130"/>
      <c r="K64" s="130"/>
      <c r="L64" s="130"/>
      <c r="M64" s="130"/>
      <c r="N64" s="157"/>
      <c r="O64" s="130"/>
      <c r="P64" s="157"/>
      <c r="Q64" s="130"/>
      <c r="R64" s="130"/>
      <c r="S64" s="130"/>
      <c r="T64" s="150"/>
    </row>
    <row r="65" spans="1:20" ht="16" hidden="1" x14ac:dyDescent="0.2">
      <c r="A65" s="130" t="s">
        <v>752</v>
      </c>
      <c r="B65" s="130">
        <v>276</v>
      </c>
      <c r="C65" s="130" t="s">
        <v>753</v>
      </c>
      <c r="D65" s="130" t="s">
        <v>45</v>
      </c>
      <c r="E65" s="130" t="s">
        <v>756</v>
      </c>
      <c r="F65" s="131" t="s">
        <v>765</v>
      </c>
      <c r="G65" s="132">
        <v>44242.757245370369</v>
      </c>
      <c r="H65" s="130" t="s">
        <v>48</v>
      </c>
      <c r="J65" s="130"/>
      <c r="K65" s="130"/>
      <c r="L65" s="130"/>
      <c r="M65" s="130"/>
      <c r="N65" s="130"/>
      <c r="O65" s="130"/>
      <c r="P65" s="157"/>
      <c r="Q65" s="130"/>
      <c r="R65" s="130"/>
      <c r="S65" s="130"/>
      <c r="T65" s="150"/>
    </row>
    <row r="66" spans="1:20" ht="16" hidden="1" x14ac:dyDescent="0.2">
      <c r="A66" s="130" t="s">
        <v>752</v>
      </c>
      <c r="B66" s="130">
        <v>276</v>
      </c>
      <c r="C66" s="130" t="s">
        <v>753</v>
      </c>
      <c r="D66" s="130" t="s">
        <v>45</v>
      </c>
      <c r="E66" s="130" t="s">
        <v>756</v>
      </c>
      <c r="F66" s="131" t="s">
        <v>766</v>
      </c>
      <c r="G66" s="132">
        <v>44242.757326388892</v>
      </c>
      <c r="H66" s="130" t="s">
        <v>48</v>
      </c>
      <c r="J66" s="130"/>
      <c r="K66" s="130"/>
      <c r="L66" s="130"/>
      <c r="M66" s="130"/>
      <c r="N66" s="130"/>
      <c r="O66" s="130"/>
      <c r="P66" s="157"/>
      <c r="Q66" s="130"/>
      <c r="R66" s="130"/>
      <c r="S66" s="130"/>
      <c r="T66" s="150"/>
    </row>
    <row r="67" spans="1:20" ht="31" hidden="1" x14ac:dyDescent="0.2">
      <c r="A67" s="130" t="s">
        <v>752</v>
      </c>
      <c r="B67" s="130">
        <v>276</v>
      </c>
      <c r="C67" s="130" t="s">
        <v>753</v>
      </c>
      <c r="D67" s="130" t="s">
        <v>45</v>
      </c>
      <c r="E67" s="130" t="s">
        <v>761</v>
      </c>
      <c r="F67" s="131" t="s">
        <v>767</v>
      </c>
      <c r="G67" s="132">
        <v>44242.757349537038</v>
      </c>
      <c r="H67" s="130" t="s">
        <v>48</v>
      </c>
      <c r="J67" s="130"/>
      <c r="K67" s="130"/>
      <c r="L67" s="130"/>
      <c r="M67" s="130"/>
      <c r="N67" s="130"/>
      <c r="O67" s="130"/>
      <c r="P67" s="157"/>
      <c r="Q67" s="130"/>
      <c r="R67" s="130"/>
      <c r="S67" s="130"/>
      <c r="T67" s="150"/>
    </row>
    <row r="68" spans="1:20" ht="16" hidden="1" x14ac:dyDescent="0.2">
      <c r="A68" s="130" t="s">
        <v>752</v>
      </c>
      <c r="B68" s="130">
        <v>276</v>
      </c>
      <c r="C68" s="130" t="s">
        <v>753</v>
      </c>
      <c r="D68" s="130" t="s">
        <v>45</v>
      </c>
      <c r="E68" s="130" t="s">
        <v>756</v>
      </c>
      <c r="F68" s="131" t="s">
        <v>768</v>
      </c>
      <c r="G68" s="132">
        <v>44242.757754629631</v>
      </c>
      <c r="H68" s="130" t="s">
        <v>48</v>
      </c>
      <c r="J68" s="130"/>
      <c r="K68" s="130"/>
      <c r="L68" s="130"/>
      <c r="M68" s="130"/>
      <c r="N68" s="130"/>
      <c r="O68" s="130"/>
      <c r="P68" s="157"/>
      <c r="Q68" s="130"/>
      <c r="R68" s="130"/>
      <c r="S68" s="130"/>
      <c r="T68" s="150"/>
    </row>
    <row r="69" spans="1:20" ht="16" hidden="1" x14ac:dyDescent="0.2">
      <c r="A69" s="130" t="s">
        <v>752</v>
      </c>
      <c r="B69" s="130">
        <v>276</v>
      </c>
      <c r="C69" s="130" t="s">
        <v>753</v>
      </c>
      <c r="D69" s="130" t="s">
        <v>45</v>
      </c>
      <c r="E69" s="130" t="s">
        <v>769</v>
      </c>
      <c r="F69" s="131" t="s">
        <v>770</v>
      </c>
      <c r="G69" s="132">
        <v>44242.760324074072</v>
      </c>
      <c r="H69" s="130" t="s">
        <v>48</v>
      </c>
      <c r="J69" s="130"/>
      <c r="K69" s="130"/>
      <c r="L69" s="130"/>
      <c r="M69" s="130"/>
      <c r="N69" s="130"/>
      <c r="O69" s="130"/>
      <c r="P69" s="157"/>
      <c r="Q69" s="130"/>
      <c r="R69" s="130"/>
      <c r="S69" s="130"/>
      <c r="T69" s="150"/>
    </row>
    <row r="70" spans="1:20" ht="16" hidden="1" x14ac:dyDescent="0.2">
      <c r="A70" s="130" t="s">
        <v>752</v>
      </c>
      <c r="B70" s="130">
        <v>276</v>
      </c>
      <c r="C70" s="130" t="s">
        <v>753</v>
      </c>
      <c r="D70" s="130" t="s">
        <v>45</v>
      </c>
      <c r="E70" s="130" t="s">
        <v>756</v>
      </c>
      <c r="F70" s="131" t="s">
        <v>771</v>
      </c>
      <c r="G70" s="132">
        <v>44242.76053240741</v>
      </c>
      <c r="H70" s="130" t="s">
        <v>48</v>
      </c>
      <c r="J70" s="130"/>
      <c r="K70" s="130"/>
      <c r="L70" s="130"/>
      <c r="M70" s="130"/>
      <c r="N70" s="130"/>
      <c r="O70" s="130"/>
      <c r="P70" s="157"/>
      <c r="Q70" s="130"/>
      <c r="R70" s="130"/>
      <c r="S70" s="130"/>
      <c r="T70" s="150"/>
    </row>
    <row r="71" spans="1:20" ht="16" hidden="1" x14ac:dyDescent="0.2">
      <c r="A71" s="130" t="s">
        <v>752</v>
      </c>
      <c r="B71" s="130">
        <v>276</v>
      </c>
      <c r="C71" s="130" t="s">
        <v>753</v>
      </c>
      <c r="D71" s="130" t="s">
        <v>45</v>
      </c>
      <c r="E71" s="130" t="s">
        <v>761</v>
      </c>
      <c r="F71" s="131" t="s">
        <v>771</v>
      </c>
      <c r="G71" s="132">
        <v>44242.760659722226</v>
      </c>
      <c r="H71" s="130" t="s">
        <v>48</v>
      </c>
      <c r="J71" s="130"/>
      <c r="K71" s="130"/>
      <c r="L71" s="130"/>
      <c r="M71" s="130"/>
      <c r="N71" s="130"/>
      <c r="O71" s="130"/>
      <c r="P71" s="130"/>
      <c r="Q71" s="130"/>
      <c r="R71" s="130"/>
      <c r="S71" s="130"/>
      <c r="T71" s="150"/>
    </row>
    <row r="72" spans="1:20" ht="16" hidden="1" x14ac:dyDescent="0.2">
      <c r="A72" s="130" t="s">
        <v>752</v>
      </c>
      <c r="B72" s="130">
        <v>276</v>
      </c>
      <c r="C72" s="130" t="s">
        <v>753</v>
      </c>
      <c r="D72" s="130" t="s">
        <v>45</v>
      </c>
      <c r="E72" s="130" t="s">
        <v>763</v>
      </c>
      <c r="F72" s="131" t="s">
        <v>772</v>
      </c>
      <c r="G72" s="132">
        <v>44242.760671296295</v>
      </c>
      <c r="H72" s="130" t="s">
        <v>48</v>
      </c>
      <c r="J72" s="130"/>
      <c r="K72" s="130"/>
      <c r="L72" s="130"/>
      <c r="M72" s="130"/>
      <c r="N72" s="130"/>
      <c r="O72" s="130"/>
      <c r="P72" s="130"/>
      <c r="Q72" s="130"/>
      <c r="R72" s="130"/>
      <c r="S72" s="130"/>
      <c r="T72" s="150"/>
    </row>
    <row r="73" spans="1:20" ht="31" hidden="1" x14ac:dyDescent="0.2">
      <c r="A73" s="130" t="s">
        <v>752</v>
      </c>
      <c r="B73" s="130">
        <v>276</v>
      </c>
      <c r="C73" s="130" t="s">
        <v>753</v>
      </c>
      <c r="D73" s="130" t="s">
        <v>45</v>
      </c>
      <c r="E73" s="130" t="s">
        <v>769</v>
      </c>
      <c r="F73" s="131" t="s">
        <v>773</v>
      </c>
      <c r="G73" s="132">
        <v>44242.761076388888</v>
      </c>
      <c r="H73" s="130" t="s">
        <v>48</v>
      </c>
      <c r="J73" s="130"/>
      <c r="K73" s="130"/>
      <c r="L73" s="130"/>
      <c r="M73" s="130"/>
      <c r="N73" s="130"/>
      <c r="O73" s="130"/>
      <c r="P73" s="130"/>
      <c r="Q73" s="130"/>
      <c r="R73" s="130"/>
      <c r="S73" s="130"/>
      <c r="T73" s="150"/>
    </row>
    <row r="74" spans="1:20" ht="16" hidden="1" x14ac:dyDescent="0.2">
      <c r="A74" s="130" t="s">
        <v>752</v>
      </c>
      <c r="B74" s="130">
        <v>276</v>
      </c>
      <c r="C74" s="130" t="s">
        <v>753</v>
      </c>
      <c r="D74" s="130" t="s">
        <v>45</v>
      </c>
      <c r="E74" s="130" t="s">
        <v>756</v>
      </c>
      <c r="F74" s="131" t="s">
        <v>774</v>
      </c>
      <c r="G74" s="132">
        <v>44242.761331018519</v>
      </c>
      <c r="H74" s="130" t="s">
        <v>48</v>
      </c>
      <c r="J74" s="130"/>
      <c r="K74" s="130"/>
      <c r="L74" s="130"/>
      <c r="M74" s="130"/>
      <c r="N74" s="130"/>
      <c r="O74" s="130"/>
      <c r="P74" s="130"/>
      <c r="Q74" s="130"/>
      <c r="R74" s="130"/>
      <c r="S74" s="130"/>
      <c r="T74" s="150"/>
    </row>
    <row r="75" spans="1:20" ht="31" hidden="1" x14ac:dyDescent="0.2">
      <c r="A75" s="130" t="s">
        <v>752</v>
      </c>
      <c r="B75" s="130">
        <v>276</v>
      </c>
      <c r="C75" s="130" t="s">
        <v>753</v>
      </c>
      <c r="D75" s="130" t="s">
        <v>45</v>
      </c>
      <c r="E75" s="130" t="s">
        <v>763</v>
      </c>
      <c r="F75" s="131" t="s">
        <v>775</v>
      </c>
      <c r="G75" s="132">
        <v>44242.761643518519</v>
      </c>
      <c r="H75" s="130" t="s">
        <v>48</v>
      </c>
      <c r="J75" s="130"/>
      <c r="K75" s="130"/>
      <c r="L75" s="130"/>
      <c r="M75" s="130"/>
      <c r="N75" s="130"/>
      <c r="O75" s="130"/>
      <c r="P75" s="130"/>
      <c r="Q75" s="130"/>
      <c r="R75" s="130"/>
      <c r="S75" s="130"/>
      <c r="T75" s="150"/>
    </row>
    <row r="76" spans="1:20" ht="46" hidden="1" x14ac:dyDescent="0.2">
      <c r="A76" s="130" t="s">
        <v>752</v>
      </c>
      <c r="B76" s="130">
        <v>276</v>
      </c>
      <c r="C76" s="130" t="s">
        <v>753</v>
      </c>
      <c r="D76" s="130" t="s">
        <v>45</v>
      </c>
      <c r="E76" s="130" t="s">
        <v>769</v>
      </c>
      <c r="F76" s="131" t="s">
        <v>776</v>
      </c>
      <c r="G76" s="132">
        <v>44242.761793981481</v>
      </c>
      <c r="H76" s="130" t="s">
        <v>48</v>
      </c>
      <c r="J76" s="130"/>
      <c r="K76" s="130"/>
      <c r="L76" s="130"/>
      <c r="M76" s="130"/>
      <c r="N76" s="130"/>
      <c r="O76" s="130"/>
      <c r="P76" s="130"/>
      <c r="Q76" s="130"/>
      <c r="R76" s="130"/>
      <c r="S76" s="130"/>
      <c r="T76" s="150"/>
    </row>
    <row r="77" spans="1:20" ht="16" hidden="1" x14ac:dyDescent="0.2">
      <c r="A77" s="130" t="s">
        <v>752</v>
      </c>
      <c r="B77" s="130">
        <v>276</v>
      </c>
      <c r="C77" s="130" t="s">
        <v>753</v>
      </c>
      <c r="D77" s="130" t="s">
        <v>45</v>
      </c>
      <c r="E77" s="130" t="s">
        <v>763</v>
      </c>
      <c r="F77" s="131" t="s">
        <v>777</v>
      </c>
      <c r="G77" s="132">
        <v>44242.763518518521</v>
      </c>
      <c r="H77" s="130" t="s">
        <v>48</v>
      </c>
      <c r="J77" s="130"/>
      <c r="K77" s="130"/>
      <c r="L77" s="130"/>
      <c r="M77" s="130"/>
      <c r="N77" s="130"/>
      <c r="O77" s="130"/>
      <c r="P77" s="130"/>
      <c r="Q77" s="130"/>
      <c r="R77" s="130"/>
      <c r="S77" s="130"/>
      <c r="T77" s="150"/>
    </row>
    <row r="78" spans="1:20" ht="46" hidden="1" x14ac:dyDescent="0.2">
      <c r="A78" s="130" t="s">
        <v>752</v>
      </c>
      <c r="B78" s="130">
        <v>276</v>
      </c>
      <c r="C78" s="130" t="s">
        <v>753</v>
      </c>
      <c r="D78" s="130" t="s">
        <v>45</v>
      </c>
      <c r="E78" s="130" t="s">
        <v>769</v>
      </c>
      <c r="F78" s="131" t="s">
        <v>778</v>
      </c>
      <c r="G78" s="132">
        <v>44242.764768518522</v>
      </c>
      <c r="H78" s="130" t="s">
        <v>48</v>
      </c>
      <c r="J78" s="130"/>
      <c r="K78" s="130"/>
      <c r="L78" s="130"/>
      <c r="M78" s="130"/>
      <c r="N78" s="130"/>
      <c r="O78" s="130"/>
      <c r="P78" s="130"/>
      <c r="Q78" s="130"/>
      <c r="R78" s="130"/>
      <c r="S78" s="130"/>
      <c r="T78" s="150"/>
    </row>
    <row r="79" spans="1:20" ht="46" hidden="1" x14ac:dyDescent="0.2">
      <c r="A79" s="130" t="s">
        <v>752</v>
      </c>
      <c r="B79" s="130">
        <v>276</v>
      </c>
      <c r="C79" s="130" t="s">
        <v>753</v>
      </c>
      <c r="D79" s="130" t="s">
        <v>45</v>
      </c>
      <c r="E79" s="130" t="s">
        <v>769</v>
      </c>
      <c r="F79" s="131" t="s">
        <v>779</v>
      </c>
      <c r="G79" s="132">
        <v>44242.767210648148</v>
      </c>
      <c r="H79" s="130" t="s">
        <v>48</v>
      </c>
      <c r="J79" s="130"/>
      <c r="K79" s="130"/>
      <c r="L79" s="130"/>
      <c r="M79" s="130"/>
      <c r="N79" s="130"/>
      <c r="O79" s="130"/>
      <c r="P79" s="130"/>
      <c r="Q79" s="130"/>
      <c r="R79" s="130"/>
      <c r="S79" s="130"/>
      <c r="T79" s="150"/>
    </row>
    <row r="80" spans="1:20" ht="46" hidden="1" x14ac:dyDescent="0.2">
      <c r="A80" s="130" t="s">
        <v>752</v>
      </c>
      <c r="B80" s="130">
        <v>276</v>
      </c>
      <c r="C80" s="130" t="s">
        <v>753</v>
      </c>
      <c r="D80" s="130" t="s">
        <v>45</v>
      </c>
      <c r="E80" s="130" t="s">
        <v>756</v>
      </c>
      <c r="F80" s="131" t="s">
        <v>780</v>
      </c>
      <c r="G80" s="132">
        <v>44242.768136574072</v>
      </c>
      <c r="H80" s="130" t="s">
        <v>48</v>
      </c>
      <c r="J80" s="130"/>
      <c r="K80" s="130"/>
      <c r="L80" s="130"/>
      <c r="M80" s="130"/>
      <c r="N80" s="130"/>
      <c r="O80" s="130"/>
      <c r="P80" s="130"/>
      <c r="Q80" s="130"/>
      <c r="R80" s="130"/>
      <c r="S80" s="130"/>
      <c r="T80" s="150"/>
    </row>
    <row r="81" spans="1:20" ht="46" hidden="1" x14ac:dyDescent="0.2">
      <c r="A81" s="130" t="s">
        <v>752</v>
      </c>
      <c r="B81" s="130">
        <v>276</v>
      </c>
      <c r="C81" s="130" t="s">
        <v>753</v>
      </c>
      <c r="D81" s="130" t="s">
        <v>45</v>
      </c>
      <c r="E81" s="130" t="s">
        <v>769</v>
      </c>
      <c r="F81" s="131" t="s">
        <v>781</v>
      </c>
      <c r="G81" s="132">
        <v>44242.770995370367</v>
      </c>
      <c r="H81" s="130" t="s">
        <v>48</v>
      </c>
      <c r="J81" s="130"/>
      <c r="K81" s="130"/>
      <c r="L81" s="130"/>
      <c r="M81" s="130"/>
      <c r="N81" s="130"/>
      <c r="O81" s="130"/>
      <c r="P81" s="130"/>
      <c r="Q81" s="130"/>
      <c r="R81" s="130"/>
      <c r="S81" s="130"/>
      <c r="T81" s="150"/>
    </row>
    <row r="82" spans="1:20" ht="31" hidden="1" x14ac:dyDescent="0.2">
      <c r="A82" s="130" t="s">
        <v>752</v>
      </c>
      <c r="B82" s="130">
        <v>276</v>
      </c>
      <c r="C82" s="130" t="s">
        <v>753</v>
      </c>
      <c r="D82" s="130" t="s">
        <v>45</v>
      </c>
      <c r="E82" s="130" t="s">
        <v>756</v>
      </c>
      <c r="F82" s="131" t="s">
        <v>782</v>
      </c>
      <c r="G82" s="132">
        <v>44242.771747685183</v>
      </c>
      <c r="H82" s="130" t="s">
        <v>48</v>
      </c>
      <c r="J82" s="130"/>
      <c r="K82" s="130"/>
      <c r="L82" s="130"/>
      <c r="M82" s="130"/>
      <c r="N82" s="130"/>
      <c r="O82" s="130"/>
      <c r="P82" s="130"/>
      <c r="Q82" s="130"/>
      <c r="R82" s="130"/>
      <c r="S82" s="130"/>
      <c r="T82" s="150"/>
    </row>
    <row r="83" spans="1:20" ht="31" hidden="1" x14ac:dyDescent="0.2">
      <c r="A83" s="130" t="s">
        <v>752</v>
      </c>
      <c r="B83" s="130">
        <v>276</v>
      </c>
      <c r="C83" s="130" t="s">
        <v>753</v>
      </c>
      <c r="D83" s="130" t="s">
        <v>45</v>
      </c>
      <c r="E83" s="130" t="s">
        <v>756</v>
      </c>
      <c r="F83" s="131" t="s">
        <v>783</v>
      </c>
      <c r="G83" s="132">
        <v>44242.790451388886</v>
      </c>
      <c r="H83" s="130" t="s">
        <v>48</v>
      </c>
      <c r="J83" s="130"/>
      <c r="K83" s="130"/>
      <c r="L83" s="130"/>
      <c r="M83" s="130"/>
      <c r="N83" s="130"/>
      <c r="O83" s="130"/>
      <c r="P83" s="130"/>
      <c r="Q83" s="130"/>
      <c r="R83" s="130"/>
      <c r="S83" s="130"/>
      <c r="T83" s="150"/>
    </row>
    <row r="84" spans="1:20" ht="136" hidden="1" x14ac:dyDescent="0.2">
      <c r="A84" s="130" t="s">
        <v>752</v>
      </c>
      <c r="B84" s="130">
        <v>276</v>
      </c>
      <c r="C84" s="130" t="s">
        <v>753</v>
      </c>
      <c r="D84" s="130" t="s">
        <v>45</v>
      </c>
      <c r="E84" s="130" t="s">
        <v>769</v>
      </c>
      <c r="F84" s="131" t="s">
        <v>784</v>
      </c>
      <c r="G84" s="132">
        <v>44242.790891203702</v>
      </c>
      <c r="H84" s="130" t="s">
        <v>48</v>
      </c>
      <c r="J84" s="130"/>
      <c r="K84" s="130"/>
      <c r="L84" s="130"/>
      <c r="M84" s="130"/>
      <c r="N84" s="130"/>
      <c r="O84" s="130"/>
      <c r="P84" s="130"/>
      <c r="Q84" s="130"/>
      <c r="R84" s="130"/>
      <c r="S84" s="130"/>
      <c r="T84" s="150"/>
    </row>
    <row r="85" spans="1:20" ht="16" hidden="1" x14ac:dyDescent="0.2">
      <c r="A85" s="130" t="s">
        <v>752</v>
      </c>
      <c r="B85" s="130">
        <v>276</v>
      </c>
      <c r="C85" s="130" t="s">
        <v>753</v>
      </c>
      <c r="D85" s="130" t="s">
        <v>45</v>
      </c>
      <c r="E85" s="130" t="s">
        <v>761</v>
      </c>
      <c r="F85" s="131" t="s">
        <v>785</v>
      </c>
      <c r="G85" s="132">
        <v>44242.791041666664</v>
      </c>
      <c r="H85" s="130" t="s">
        <v>48</v>
      </c>
      <c r="J85" s="130"/>
      <c r="K85" s="130"/>
      <c r="L85" s="130"/>
      <c r="M85" s="130"/>
      <c r="N85" s="130"/>
      <c r="O85" s="130"/>
      <c r="P85" s="130"/>
      <c r="Q85" s="130"/>
      <c r="R85" s="130"/>
      <c r="S85" s="130"/>
      <c r="T85" s="150"/>
    </row>
    <row r="86" spans="1:20" ht="31" hidden="1" x14ac:dyDescent="0.2">
      <c r="A86" s="130" t="s">
        <v>752</v>
      </c>
      <c r="B86" s="130">
        <v>276</v>
      </c>
      <c r="C86" s="130" t="s">
        <v>753</v>
      </c>
      <c r="D86" s="130" t="s">
        <v>45</v>
      </c>
      <c r="E86" s="130" t="s">
        <v>756</v>
      </c>
      <c r="F86" s="131" t="s">
        <v>786</v>
      </c>
      <c r="G86" s="132">
        <v>44242.796354166669</v>
      </c>
      <c r="H86" s="130" t="s">
        <v>48</v>
      </c>
      <c r="J86" s="130"/>
      <c r="K86" s="130"/>
      <c r="L86" s="130"/>
      <c r="M86" s="130"/>
      <c r="N86" s="130"/>
      <c r="O86" s="130"/>
      <c r="P86" s="130"/>
      <c r="Q86" s="130"/>
      <c r="R86" s="130"/>
      <c r="S86" s="130"/>
      <c r="T86" s="150"/>
    </row>
    <row r="87" spans="1:20" ht="61" hidden="1" x14ac:dyDescent="0.2">
      <c r="A87" s="130" t="s">
        <v>752</v>
      </c>
      <c r="B87" s="130">
        <v>276</v>
      </c>
      <c r="C87" s="130" t="s">
        <v>753</v>
      </c>
      <c r="D87" s="130" t="s">
        <v>45</v>
      </c>
      <c r="E87" s="130" t="s">
        <v>769</v>
      </c>
      <c r="F87" s="131" t="s">
        <v>787</v>
      </c>
      <c r="G87" s="132">
        <v>44242.797349537039</v>
      </c>
      <c r="H87" s="130" t="s">
        <v>48</v>
      </c>
      <c r="J87" s="130"/>
      <c r="K87" s="130"/>
      <c r="L87" s="130"/>
      <c r="M87" s="130"/>
      <c r="N87" s="130"/>
      <c r="O87" s="130"/>
      <c r="P87" s="130"/>
      <c r="Q87" s="130"/>
      <c r="R87" s="130"/>
      <c r="S87" s="130"/>
      <c r="T87" s="150"/>
    </row>
    <row r="88" spans="1:20" ht="31" hidden="1" x14ac:dyDescent="0.2">
      <c r="A88" s="130" t="s">
        <v>752</v>
      </c>
      <c r="B88" s="130">
        <v>276</v>
      </c>
      <c r="C88" s="130" t="s">
        <v>753</v>
      </c>
      <c r="D88" s="130" t="s">
        <v>45</v>
      </c>
      <c r="E88" s="130" t="s">
        <v>756</v>
      </c>
      <c r="F88" s="131" t="s">
        <v>788</v>
      </c>
      <c r="G88" s="132">
        <v>44242.798078703701</v>
      </c>
      <c r="H88" s="130" t="s">
        <v>48</v>
      </c>
      <c r="J88" s="130"/>
      <c r="K88" s="130"/>
      <c r="L88" s="130"/>
      <c r="M88" s="130"/>
      <c r="N88" s="130"/>
      <c r="O88" s="130"/>
      <c r="P88" s="130"/>
      <c r="Q88" s="130"/>
      <c r="R88" s="130"/>
      <c r="S88" s="130"/>
      <c r="T88" s="150"/>
    </row>
    <row r="89" spans="1:20" ht="46" hidden="1" x14ac:dyDescent="0.2">
      <c r="A89" s="130" t="s">
        <v>752</v>
      </c>
      <c r="B89" s="130">
        <v>276</v>
      </c>
      <c r="C89" s="130" t="s">
        <v>753</v>
      </c>
      <c r="D89" s="130" t="s">
        <v>45</v>
      </c>
      <c r="E89" s="130" t="s">
        <v>769</v>
      </c>
      <c r="F89" s="131" t="s">
        <v>789</v>
      </c>
      <c r="G89" s="132">
        <v>44242.798379629632</v>
      </c>
      <c r="H89" s="130" t="s">
        <v>48</v>
      </c>
      <c r="J89" s="130"/>
      <c r="K89" s="130"/>
      <c r="L89" s="130"/>
      <c r="M89" s="130"/>
      <c r="N89" s="130"/>
      <c r="O89" s="130"/>
      <c r="P89" s="130"/>
      <c r="Q89" s="130"/>
      <c r="R89" s="130"/>
      <c r="S89" s="130"/>
      <c r="T89" s="150"/>
    </row>
    <row r="90" spans="1:20" ht="31" hidden="1" x14ac:dyDescent="0.2">
      <c r="A90" s="130" t="s">
        <v>752</v>
      </c>
      <c r="B90" s="130">
        <v>276</v>
      </c>
      <c r="C90" s="130" t="s">
        <v>753</v>
      </c>
      <c r="D90" s="130" t="s">
        <v>45</v>
      </c>
      <c r="E90" s="130" t="s">
        <v>756</v>
      </c>
      <c r="F90" s="131" t="s">
        <v>790</v>
      </c>
      <c r="G90" s="132">
        <v>44242.798993055556</v>
      </c>
      <c r="H90" s="130" t="s">
        <v>48</v>
      </c>
      <c r="J90" s="130"/>
      <c r="K90" s="130"/>
      <c r="L90" s="130"/>
      <c r="M90" s="130"/>
      <c r="N90" s="130"/>
      <c r="O90" s="130"/>
      <c r="P90" s="130"/>
      <c r="Q90" s="130"/>
      <c r="R90" s="130"/>
      <c r="S90" s="130"/>
      <c r="T90" s="150"/>
    </row>
    <row r="91" spans="1:20" ht="343" hidden="1" x14ac:dyDescent="0.2">
      <c r="A91" s="130" t="s">
        <v>752</v>
      </c>
      <c r="B91" s="130">
        <v>276</v>
      </c>
      <c r="C91" s="130" t="s">
        <v>753</v>
      </c>
      <c r="D91" s="130" t="s">
        <v>45</v>
      </c>
      <c r="E91" s="130" t="s">
        <v>763</v>
      </c>
      <c r="F91" s="131" t="s">
        <v>791</v>
      </c>
      <c r="G91" s="132"/>
      <c r="H91" s="130" t="s">
        <v>48</v>
      </c>
      <c r="J91" s="130"/>
      <c r="K91" s="130"/>
      <c r="L91" s="130"/>
      <c r="M91" s="130"/>
      <c r="N91" s="130"/>
      <c r="O91" s="130"/>
      <c r="P91" s="130"/>
      <c r="Q91" s="130"/>
      <c r="R91" s="130"/>
      <c r="S91" s="130"/>
      <c r="T91" s="150"/>
    </row>
  </sheetData>
  <autoFilter ref="A1:I91" xr:uid="{9CB4B411-79D5-416E-B430-880D51207FAF}">
    <filterColumn colId="0">
      <filters>
        <filter val="PIM P1"/>
      </filters>
    </filterColumn>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09410-9194-4DB9-A2AA-55D8E1AE500D}">
  <sheetPr codeName="Sheet5"/>
  <dimension ref="A1:U238"/>
  <sheetViews>
    <sheetView workbookViewId="0">
      <pane ySplit="1" topLeftCell="A104" activePane="bottomLeft" state="frozen"/>
      <selection activeCell="F1" sqref="F1"/>
      <selection pane="bottomLeft" activeCell="J113" sqref="J113"/>
    </sheetView>
  </sheetViews>
  <sheetFormatPr baseColWidth="10" defaultColWidth="8.5" defaultRowHeight="14" x14ac:dyDescent="0.15"/>
  <cols>
    <col min="1" max="1" width="15.5" style="15" customWidth="1"/>
    <col min="2" max="2" width="9.1640625" style="15" customWidth="1"/>
    <col min="3" max="5" width="20.5" style="15" customWidth="1"/>
    <col min="6" max="6" width="50.5" style="16" customWidth="1"/>
    <col min="7" max="7" width="20.5" style="15" customWidth="1"/>
    <col min="8" max="9" width="9.1640625" style="15" customWidth="1"/>
    <col min="10" max="10" width="18" style="15" customWidth="1"/>
    <col min="11" max="11" width="23.5" style="8" customWidth="1"/>
    <col min="12" max="12" width="17.83203125" style="8" customWidth="1"/>
    <col min="13" max="13" width="15.1640625" style="34" customWidth="1"/>
    <col min="14" max="14" width="15.5" style="10" customWidth="1"/>
    <col min="15" max="16" width="10.5" style="8" customWidth="1"/>
    <col min="17" max="18" width="14.5" style="10" bestFit="1" customWidth="1"/>
    <col min="19" max="19" width="12.5" style="54" customWidth="1"/>
    <col min="20" max="20" width="8.5" style="13"/>
    <col min="21" max="21" width="13.1640625" style="15" customWidth="1"/>
    <col min="22" max="16384" width="8.5" style="15"/>
  </cols>
  <sheetData>
    <row r="1" spans="1:21" ht="18" thickBot="1" x14ac:dyDescent="0.25">
      <c r="A1" s="4" t="s">
        <v>21</v>
      </c>
      <c r="B1" s="4" t="s">
        <v>22</v>
      </c>
      <c r="C1" s="4" t="s">
        <v>23</v>
      </c>
      <c r="D1" s="4" t="s">
        <v>24</v>
      </c>
      <c r="E1" s="256" t="s">
        <v>25</v>
      </c>
      <c r="F1" s="5" t="s">
        <v>26</v>
      </c>
      <c r="G1" s="4" t="s">
        <v>27</v>
      </c>
      <c r="H1" s="4" t="s">
        <v>28</v>
      </c>
      <c r="I1" s="4" t="s">
        <v>29</v>
      </c>
      <c r="J1" s="6" t="s">
        <v>30</v>
      </c>
      <c r="K1" s="7" t="s">
        <v>31</v>
      </c>
      <c r="L1" s="8" t="s">
        <v>32</v>
      </c>
      <c r="M1" s="9" t="s">
        <v>33</v>
      </c>
      <c r="N1" s="10" t="s">
        <v>34</v>
      </c>
      <c r="O1" s="11" t="s">
        <v>35</v>
      </c>
      <c r="P1" s="8" t="s">
        <v>36</v>
      </c>
      <c r="Q1" s="9" t="s">
        <v>37</v>
      </c>
      <c r="R1" s="10" t="s">
        <v>38</v>
      </c>
      <c r="S1" s="12" t="s">
        <v>39</v>
      </c>
      <c r="T1" s="13" t="s">
        <v>40</v>
      </c>
      <c r="U1" s="14" t="s">
        <v>663</v>
      </c>
    </row>
    <row r="2" spans="1:21" ht="76" x14ac:dyDescent="0.2">
      <c r="A2" s="15" t="s">
        <v>292</v>
      </c>
      <c r="B2" s="15">
        <v>260</v>
      </c>
      <c r="C2" s="15" t="s">
        <v>44</v>
      </c>
      <c r="D2" s="15" t="s">
        <v>45</v>
      </c>
      <c r="E2" s="15" t="s">
        <v>293</v>
      </c>
      <c r="F2" s="16" t="s">
        <v>294</v>
      </c>
      <c r="G2" s="17">
        <v>44244.478344907409</v>
      </c>
      <c r="H2" s="15" t="s">
        <v>48</v>
      </c>
      <c r="I2" s="15">
        <v>10</v>
      </c>
      <c r="J2" s="100">
        <v>1.1000000000000001</v>
      </c>
      <c r="K2" s="18" t="s">
        <v>52</v>
      </c>
      <c r="L2" s="8" t="s">
        <v>52</v>
      </c>
      <c r="M2" s="19">
        <v>1</v>
      </c>
      <c r="N2" s="10">
        <v>1</v>
      </c>
      <c r="O2" s="20"/>
      <c r="Q2" s="21"/>
      <c r="S2" s="18"/>
      <c r="U2" s="22"/>
    </row>
    <row r="3" spans="1:21" ht="61" x14ac:dyDescent="0.2">
      <c r="A3" s="15" t="s">
        <v>292</v>
      </c>
      <c r="B3" s="15">
        <v>260</v>
      </c>
      <c r="C3" s="15" t="s">
        <v>44</v>
      </c>
      <c r="D3" s="15" t="s">
        <v>45</v>
      </c>
      <c r="E3" s="15" t="s">
        <v>293</v>
      </c>
      <c r="F3" s="16" t="s">
        <v>296</v>
      </c>
      <c r="G3" s="17">
        <v>44244.479386574072</v>
      </c>
      <c r="H3" s="15" t="s">
        <v>48</v>
      </c>
      <c r="I3" s="15">
        <v>10</v>
      </c>
      <c r="J3" s="100">
        <v>1.1000000000000001</v>
      </c>
      <c r="K3" s="18" t="s">
        <v>52</v>
      </c>
      <c r="L3" s="8" t="s">
        <v>52</v>
      </c>
      <c r="M3" s="19">
        <v>1</v>
      </c>
      <c r="N3" s="10">
        <v>1</v>
      </c>
      <c r="O3" s="20"/>
      <c r="Q3" s="21"/>
      <c r="S3" s="18"/>
      <c r="U3" s="22"/>
    </row>
    <row r="4" spans="1:21" ht="61" x14ac:dyDescent="0.2">
      <c r="A4" s="15" t="s">
        <v>292</v>
      </c>
      <c r="B4" s="15">
        <v>260</v>
      </c>
      <c r="C4" s="15" t="s">
        <v>44</v>
      </c>
      <c r="D4" s="15" t="s">
        <v>45</v>
      </c>
      <c r="E4" s="15" t="s">
        <v>297</v>
      </c>
      <c r="F4" s="16" t="s">
        <v>298</v>
      </c>
      <c r="G4" s="17">
        <v>44244.703599537039</v>
      </c>
      <c r="H4" s="15" t="s">
        <v>48</v>
      </c>
      <c r="I4" s="15">
        <v>10</v>
      </c>
      <c r="J4" s="100">
        <v>1.1000000000000001</v>
      </c>
      <c r="K4" s="18" t="s">
        <v>52</v>
      </c>
      <c r="L4" s="8" t="s">
        <v>52</v>
      </c>
      <c r="M4" s="19">
        <v>1</v>
      </c>
      <c r="N4" s="10">
        <v>1</v>
      </c>
      <c r="O4" s="20"/>
      <c r="Q4" s="21"/>
      <c r="S4" s="18"/>
      <c r="U4" s="22"/>
    </row>
    <row r="5" spans="1:21" ht="61" x14ac:dyDescent="0.2">
      <c r="A5" s="15" t="s">
        <v>292</v>
      </c>
      <c r="B5" s="15">
        <v>260</v>
      </c>
      <c r="C5" s="15" t="s">
        <v>44</v>
      </c>
      <c r="D5" s="15" t="s">
        <v>45</v>
      </c>
      <c r="E5" s="15" t="s">
        <v>297</v>
      </c>
      <c r="F5" s="16" t="s">
        <v>299</v>
      </c>
      <c r="G5" s="17">
        <v>44244.704594907409</v>
      </c>
      <c r="H5" s="15" t="s">
        <v>48</v>
      </c>
      <c r="I5" s="15">
        <v>10</v>
      </c>
      <c r="J5" s="100">
        <v>1.1000000000000001</v>
      </c>
      <c r="K5" s="18" t="s">
        <v>52</v>
      </c>
      <c r="L5" s="8" t="s">
        <v>52</v>
      </c>
      <c r="M5" s="19">
        <v>1</v>
      </c>
      <c r="N5" s="10">
        <v>1</v>
      </c>
      <c r="O5" s="20"/>
      <c r="P5" s="8" t="s">
        <v>58</v>
      </c>
      <c r="Q5" s="21"/>
      <c r="S5" s="18"/>
      <c r="U5" s="22"/>
    </row>
    <row r="6" spans="1:21" ht="46" x14ac:dyDescent="0.2">
      <c r="A6" s="15" t="s">
        <v>292</v>
      </c>
      <c r="B6" s="15">
        <v>260</v>
      </c>
      <c r="C6" s="15" t="s">
        <v>44</v>
      </c>
      <c r="D6" s="15" t="s">
        <v>45</v>
      </c>
      <c r="E6" s="15" t="s">
        <v>300</v>
      </c>
      <c r="F6" s="16" t="s">
        <v>301</v>
      </c>
      <c r="G6" s="17">
        <v>44248.426134259258</v>
      </c>
      <c r="H6" s="15" t="s">
        <v>48</v>
      </c>
      <c r="I6" s="15">
        <v>9</v>
      </c>
      <c r="J6" s="100">
        <v>1.1000000000000001</v>
      </c>
      <c r="K6" s="18" t="s">
        <v>52</v>
      </c>
      <c r="L6" s="8" t="s">
        <v>52</v>
      </c>
      <c r="M6" s="19">
        <v>1</v>
      </c>
      <c r="N6" s="10">
        <v>1</v>
      </c>
      <c r="O6" s="20" t="s">
        <v>302</v>
      </c>
      <c r="P6" s="8" t="s">
        <v>302</v>
      </c>
      <c r="Q6" s="21"/>
      <c r="S6" s="18"/>
      <c r="U6" s="22"/>
    </row>
    <row r="7" spans="1:21" ht="31" x14ac:dyDescent="0.2">
      <c r="A7" s="15" t="s">
        <v>292</v>
      </c>
      <c r="B7" s="15">
        <v>260</v>
      </c>
      <c r="C7" s="15" t="s">
        <v>44</v>
      </c>
      <c r="D7" s="15" t="s">
        <v>45</v>
      </c>
      <c r="E7" s="15" t="s">
        <v>300</v>
      </c>
      <c r="F7" s="16" t="s">
        <v>303</v>
      </c>
      <c r="G7" s="17">
        <v>44248.427268518521</v>
      </c>
      <c r="H7" s="15" t="s">
        <v>48</v>
      </c>
      <c r="I7" s="15">
        <v>9</v>
      </c>
      <c r="J7" s="100">
        <v>1.1000000000000001</v>
      </c>
      <c r="K7" s="18" t="s">
        <v>52</v>
      </c>
      <c r="L7" s="8" t="s">
        <v>52</v>
      </c>
      <c r="M7" s="19">
        <v>1</v>
      </c>
      <c r="N7" s="10">
        <v>1</v>
      </c>
      <c r="O7" s="20" t="s">
        <v>58</v>
      </c>
      <c r="P7" s="8" t="s">
        <v>58</v>
      </c>
      <c r="Q7" s="21"/>
      <c r="S7" s="18"/>
      <c r="U7" s="22"/>
    </row>
    <row r="8" spans="1:21" ht="76" x14ac:dyDescent="0.2">
      <c r="A8" s="15" t="s">
        <v>292</v>
      </c>
      <c r="B8" s="15">
        <v>260</v>
      </c>
      <c r="C8" s="15" t="s">
        <v>44</v>
      </c>
      <c r="D8" s="15" t="s">
        <v>45</v>
      </c>
      <c r="E8" s="15" t="s">
        <v>293</v>
      </c>
      <c r="F8" s="16" t="s">
        <v>304</v>
      </c>
      <c r="G8" s="17">
        <v>44249.264398148145</v>
      </c>
      <c r="H8" s="15" t="s">
        <v>48</v>
      </c>
      <c r="I8" s="15">
        <v>10</v>
      </c>
      <c r="J8" s="100">
        <v>1.1000000000000001</v>
      </c>
      <c r="K8" s="18" t="s">
        <v>52</v>
      </c>
      <c r="L8" s="8" t="s">
        <v>52</v>
      </c>
      <c r="M8" s="19">
        <v>1</v>
      </c>
      <c r="N8" s="10">
        <v>1</v>
      </c>
      <c r="O8" s="20" t="s">
        <v>305</v>
      </c>
      <c r="P8" s="8" t="s">
        <v>305</v>
      </c>
      <c r="Q8" s="21"/>
      <c r="S8" s="18"/>
      <c r="U8" s="22"/>
    </row>
    <row r="9" spans="1:21" ht="46" x14ac:dyDescent="0.2">
      <c r="A9" s="15" t="s">
        <v>292</v>
      </c>
      <c r="B9" s="15">
        <v>260</v>
      </c>
      <c r="C9" s="15" t="s">
        <v>44</v>
      </c>
      <c r="D9" s="15" t="s">
        <v>45</v>
      </c>
      <c r="E9" s="15" t="s">
        <v>300</v>
      </c>
      <c r="F9" s="16" t="s">
        <v>306</v>
      </c>
      <c r="G9" s="17">
        <v>44250.314074074071</v>
      </c>
      <c r="H9" s="15" t="s">
        <v>48</v>
      </c>
      <c r="I9" s="15">
        <v>10</v>
      </c>
      <c r="J9" s="100">
        <v>1.1000000000000001</v>
      </c>
      <c r="K9" s="18" t="s">
        <v>52</v>
      </c>
      <c r="L9" s="8" t="s">
        <v>52</v>
      </c>
      <c r="M9" s="19">
        <v>1</v>
      </c>
      <c r="N9" s="10">
        <v>1</v>
      </c>
      <c r="O9" s="20" t="s">
        <v>58</v>
      </c>
      <c r="P9" s="8" t="s">
        <v>58</v>
      </c>
      <c r="Q9" s="21"/>
      <c r="S9" s="18"/>
      <c r="U9" s="22"/>
    </row>
    <row r="10" spans="1:21" ht="61" x14ac:dyDescent="0.2">
      <c r="A10" s="15" t="s">
        <v>292</v>
      </c>
      <c r="B10" s="15">
        <v>260</v>
      </c>
      <c r="C10" s="15" t="s">
        <v>44</v>
      </c>
      <c r="D10" s="15" t="s">
        <v>45</v>
      </c>
      <c r="E10" s="15" t="s">
        <v>297</v>
      </c>
      <c r="F10" s="16" t="s">
        <v>307</v>
      </c>
      <c r="G10" s="17">
        <v>44250.738530092596</v>
      </c>
      <c r="H10" s="15" t="s">
        <v>48</v>
      </c>
      <c r="I10" s="15">
        <v>10</v>
      </c>
      <c r="J10" s="100">
        <v>1.1000000000000001</v>
      </c>
      <c r="K10" s="18" t="s">
        <v>108</v>
      </c>
      <c r="L10" s="8" t="s">
        <v>308</v>
      </c>
      <c r="M10" s="19">
        <v>1</v>
      </c>
      <c r="N10" s="10">
        <v>1</v>
      </c>
      <c r="O10" s="20"/>
      <c r="Q10" s="21" t="s">
        <v>309</v>
      </c>
      <c r="R10" s="10" t="s">
        <v>310</v>
      </c>
      <c r="S10" s="18" t="s">
        <v>109</v>
      </c>
      <c r="T10" s="13" t="s">
        <v>109</v>
      </c>
      <c r="U10" s="22"/>
    </row>
    <row r="11" spans="1:21" ht="46" x14ac:dyDescent="0.2">
      <c r="A11" s="15" t="s">
        <v>292</v>
      </c>
      <c r="B11" s="15">
        <v>260</v>
      </c>
      <c r="C11" s="15" t="s">
        <v>44</v>
      </c>
      <c r="D11" s="15" t="s">
        <v>45</v>
      </c>
      <c r="E11" s="15" t="s">
        <v>300</v>
      </c>
      <c r="F11" s="16" t="s">
        <v>311</v>
      </c>
      <c r="G11" s="17">
        <v>44251.462025462963</v>
      </c>
      <c r="H11" s="15" t="s">
        <v>48</v>
      </c>
      <c r="I11" s="15">
        <v>10</v>
      </c>
      <c r="J11" s="100">
        <v>1.1000000000000001</v>
      </c>
      <c r="K11" s="18" t="s">
        <v>108</v>
      </c>
      <c r="L11" s="8" t="s">
        <v>108</v>
      </c>
      <c r="M11" s="19">
        <v>1</v>
      </c>
      <c r="N11" s="10">
        <v>1</v>
      </c>
      <c r="O11" s="20"/>
      <c r="Q11" s="21" t="s">
        <v>310</v>
      </c>
      <c r="R11" s="10" t="s">
        <v>310</v>
      </c>
      <c r="S11" s="18"/>
      <c r="U11" s="22"/>
    </row>
    <row r="12" spans="1:21" ht="46" x14ac:dyDescent="0.2">
      <c r="A12" s="15" t="s">
        <v>292</v>
      </c>
      <c r="B12" s="15">
        <v>260</v>
      </c>
      <c r="C12" s="15" t="s">
        <v>44</v>
      </c>
      <c r="D12" s="15" t="s">
        <v>45</v>
      </c>
      <c r="E12" s="15" t="s">
        <v>300</v>
      </c>
      <c r="F12" s="16" t="s">
        <v>313</v>
      </c>
      <c r="G12" s="17">
        <v>44252.736898148149</v>
      </c>
      <c r="H12" s="15" t="s">
        <v>48</v>
      </c>
      <c r="I12" s="15">
        <v>10</v>
      </c>
      <c r="J12" s="100">
        <v>1.1000000000000001</v>
      </c>
      <c r="K12" s="18" t="s">
        <v>108</v>
      </c>
      <c r="L12" s="8" t="s">
        <v>108</v>
      </c>
      <c r="M12" s="19">
        <v>2</v>
      </c>
      <c r="N12" s="10">
        <v>2</v>
      </c>
      <c r="O12" s="20"/>
      <c r="Q12" s="21" t="s">
        <v>310</v>
      </c>
      <c r="R12" s="10" t="s">
        <v>310</v>
      </c>
      <c r="S12" s="18"/>
      <c r="U12" s="22"/>
    </row>
    <row r="13" spans="1:21" ht="16" x14ac:dyDescent="0.2">
      <c r="A13" s="15" t="s">
        <v>292</v>
      </c>
      <c r="B13" s="15">
        <v>260</v>
      </c>
      <c r="C13" s="15" t="s">
        <v>44</v>
      </c>
      <c r="D13" s="15" t="s">
        <v>45</v>
      </c>
      <c r="E13" s="15" t="s">
        <v>297</v>
      </c>
      <c r="F13" s="16" t="s">
        <v>314</v>
      </c>
      <c r="G13" s="17">
        <v>44252.740798611114</v>
      </c>
      <c r="H13" s="15" t="s">
        <v>48</v>
      </c>
      <c r="I13" s="15">
        <v>10</v>
      </c>
      <c r="J13" s="100">
        <v>1.1000000000000001</v>
      </c>
      <c r="K13" s="18" t="s">
        <v>108</v>
      </c>
      <c r="L13" s="8" t="s">
        <v>108</v>
      </c>
      <c r="M13" s="19">
        <v>2</v>
      </c>
      <c r="N13" s="10">
        <v>2</v>
      </c>
      <c r="O13" s="20"/>
      <c r="Q13" s="21"/>
      <c r="S13" s="18"/>
      <c r="U13" s="22"/>
    </row>
    <row r="14" spans="1:21" ht="61" x14ac:dyDescent="0.2">
      <c r="A14" s="15" t="s">
        <v>292</v>
      </c>
      <c r="B14" s="15">
        <v>260</v>
      </c>
      <c r="C14" s="15" t="s">
        <v>44</v>
      </c>
      <c r="D14" s="15" t="s">
        <v>45</v>
      </c>
      <c r="E14" s="15" t="s">
        <v>297</v>
      </c>
      <c r="F14" s="16" t="s">
        <v>316</v>
      </c>
      <c r="G14" s="17">
        <v>44252.741342592592</v>
      </c>
      <c r="H14" s="15" t="s">
        <v>48</v>
      </c>
      <c r="I14" s="15">
        <v>10</v>
      </c>
      <c r="J14" s="100">
        <v>1.1000000000000001</v>
      </c>
      <c r="K14" s="18" t="s">
        <v>108</v>
      </c>
      <c r="L14" s="8" t="s">
        <v>108</v>
      </c>
      <c r="M14" s="19">
        <v>2</v>
      </c>
      <c r="N14" s="10">
        <v>2</v>
      </c>
      <c r="O14" s="20"/>
      <c r="Q14" s="21"/>
      <c r="S14" s="18"/>
      <c r="U14" s="22"/>
    </row>
    <row r="15" spans="1:21" ht="16" x14ac:dyDescent="0.2">
      <c r="A15" s="15" t="s">
        <v>292</v>
      </c>
      <c r="B15" s="15">
        <v>260</v>
      </c>
      <c r="C15" s="15" t="s">
        <v>44</v>
      </c>
      <c r="D15" s="15" t="s">
        <v>45</v>
      </c>
      <c r="E15" s="15" t="s">
        <v>297</v>
      </c>
      <c r="F15" s="16" t="s">
        <v>317</v>
      </c>
      <c r="G15" s="17">
        <v>44252.741562499999</v>
      </c>
      <c r="H15" s="15" t="s">
        <v>48</v>
      </c>
      <c r="I15" s="15">
        <v>10</v>
      </c>
      <c r="J15" s="100">
        <v>1.1000000000000001</v>
      </c>
      <c r="K15" s="18" t="s">
        <v>108</v>
      </c>
      <c r="L15" s="8" t="s">
        <v>108</v>
      </c>
      <c r="M15" s="19">
        <v>2</v>
      </c>
      <c r="N15" s="10">
        <v>2</v>
      </c>
      <c r="O15" s="20"/>
      <c r="Q15" s="21"/>
      <c r="S15" s="18"/>
      <c r="U15" s="22"/>
    </row>
    <row r="16" spans="1:21" ht="32" x14ac:dyDescent="0.2">
      <c r="A16" s="15" t="s">
        <v>292</v>
      </c>
      <c r="B16" s="15">
        <v>260</v>
      </c>
      <c r="C16" s="15" t="s">
        <v>44</v>
      </c>
      <c r="D16" s="15" t="s">
        <v>45</v>
      </c>
      <c r="E16" s="15" t="s">
        <v>300</v>
      </c>
      <c r="F16" s="16" t="s">
        <v>318</v>
      </c>
      <c r="G16" s="17">
        <v>44252.741724537038</v>
      </c>
      <c r="H16" s="15" t="s">
        <v>48</v>
      </c>
      <c r="I16" s="15">
        <v>10</v>
      </c>
      <c r="J16" s="100">
        <v>1.1000000000000001</v>
      </c>
      <c r="K16" s="18" t="s">
        <v>49</v>
      </c>
      <c r="L16" s="8" t="s">
        <v>108</v>
      </c>
      <c r="M16" s="19">
        <v>2</v>
      </c>
      <c r="N16" s="10">
        <v>2</v>
      </c>
      <c r="O16" s="20"/>
      <c r="Q16" s="21"/>
      <c r="S16" s="18" t="s">
        <v>123</v>
      </c>
      <c r="U16" s="22"/>
    </row>
    <row r="17" spans="1:21" ht="32" x14ac:dyDescent="0.2">
      <c r="A17" s="15" t="s">
        <v>292</v>
      </c>
      <c r="B17" s="15">
        <v>260</v>
      </c>
      <c r="C17" s="15" t="s">
        <v>44</v>
      </c>
      <c r="D17" s="15" t="s">
        <v>45</v>
      </c>
      <c r="E17" s="15" t="s">
        <v>297</v>
      </c>
      <c r="F17" s="16" t="s">
        <v>319</v>
      </c>
      <c r="G17" s="17">
        <v>44252.746504629627</v>
      </c>
      <c r="H17" s="15" t="s">
        <v>48</v>
      </c>
      <c r="I17" s="15">
        <v>10</v>
      </c>
      <c r="J17" s="100">
        <v>1.1000000000000001</v>
      </c>
      <c r="K17" s="18" t="s">
        <v>108</v>
      </c>
      <c r="L17" s="8" t="s">
        <v>108</v>
      </c>
      <c r="M17" s="19">
        <v>2</v>
      </c>
      <c r="N17" s="10">
        <v>2</v>
      </c>
      <c r="O17" s="20"/>
      <c r="Q17" s="21"/>
      <c r="S17" s="18" t="s">
        <v>216</v>
      </c>
      <c r="U17" s="22"/>
    </row>
    <row r="18" spans="1:21" ht="16" x14ac:dyDescent="0.2">
      <c r="A18" s="15" t="s">
        <v>292</v>
      </c>
      <c r="B18" s="15">
        <v>260</v>
      </c>
      <c r="C18" s="15" t="s">
        <v>44</v>
      </c>
      <c r="D18" s="15" t="s">
        <v>45</v>
      </c>
      <c r="E18" s="15" t="s">
        <v>297</v>
      </c>
      <c r="F18" s="16" t="s">
        <v>320</v>
      </c>
      <c r="G18" s="17">
        <v>44252.747627314813</v>
      </c>
      <c r="H18" s="15" t="s">
        <v>48</v>
      </c>
      <c r="I18" s="15">
        <v>10</v>
      </c>
      <c r="J18" s="100">
        <v>1.1000000000000001</v>
      </c>
      <c r="K18" s="18" t="s">
        <v>108</v>
      </c>
      <c r="L18" s="8" t="s">
        <v>108</v>
      </c>
      <c r="M18" s="19">
        <v>2</v>
      </c>
      <c r="N18" s="10">
        <v>2</v>
      </c>
      <c r="O18" s="20"/>
      <c r="Q18" s="21" t="s">
        <v>112</v>
      </c>
      <c r="R18" s="10" t="s">
        <v>112</v>
      </c>
      <c r="S18" s="18"/>
      <c r="U18" s="22"/>
    </row>
    <row r="19" spans="1:21" ht="16" x14ac:dyDescent="0.2">
      <c r="A19" s="15" t="s">
        <v>292</v>
      </c>
      <c r="B19" s="15">
        <v>260</v>
      </c>
      <c r="C19" s="15" t="s">
        <v>44</v>
      </c>
      <c r="D19" s="15" t="s">
        <v>45</v>
      </c>
      <c r="E19" s="15" t="s">
        <v>300</v>
      </c>
      <c r="F19" s="16" t="s">
        <v>321</v>
      </c>
      <c r="G19" s="17">
        <v>44252.750069444446</v>
      </c>
      <c r="H19" s="15" t="s">
        <v>48</v>
      </c>
      <c r="I19" s="15">
        <v>10</v>
      </c>
      <c r="J19" s="100">
        <v>1.1000000000000001</v>
      </c>
      <c r="K19" s="18" t="s">
        <v>108</v>
      </c>
      <c r="L19" s="8" t="s">
        <v>108</v>
      </c>
      <c r="M19" s="19">
        <v>2</v>
      </c>
      <c r="N19" s="10">
        <v>2</v>
      </c>
      <c r="O19" s="20"/>
      <c r="Q19" s="21"/>
      <c r="S19" s="18"/>
      <c r="U19" s="22"/>
    </row>
    <row r="20" spans="1:21" ht="16" x14ac:dyDescent="0.2">
      <c r="A20" s="15" t="s">
        <v>292</v>
      </c>
      <c r="B20" s="15">
        <v>260</v>
      </c>
      <c r="C20" s="15" t="s">
        <v>44</v>
      </c>
      <c r="D20" s="15" t="s">
        <v>70</v>
      </c>
      <c r="E20" s="15" t="s">
        <v>322</v>
      </c>
      <c r="F20" s="16" t="s">
        <v>323</v>
      </c>
      <c r="G20" s="17">
        <v>44246.76121527778</v>
      </c>
      <c r="H20" s="15" t="s">
        <v>48</v>
      </c>
      <c r="I20" s="15">
        <v>9</v>
      </c>
      <c r="J20" s="100">
        <v>1.2</v>
      </c>
      <c r="K20" s="292" t="s">
        <v>52</v>
      </c>
      <c r="L20" s="8" t="s">
        <v>52</v>
      </c>
      <c r="M20" s="19">
        <v>3</v>
      </c>
      <c r="N20" s="10">
        <v>3</v>
      </c>
      <c r="O20" s="20"/>
      <c r="Q20" s="21"/>
      <c r="S20" s="18"/>
      <c r="U20" s="22"/>
    </row>
    <row r="21" spans="1:21" ht="46" x14ac:dyDescent="0.2">
      <c r="A21" s="15" t="s">
        <v>292</v>
      </c>
      <c r="B21" s="15">
        <v>260</v>
      </c>
      <c r="C21" s="15" t="s">
        <v>44</v>
      </c>
      <c r="D21" s="15" t="s">
        <v>70</v>
      </c>
      <c r="E21" s="15" t="s">
        <v>324</v>
      </c>
      <c r="F21" s="16" t="s">
        <v>325</v>
      </c>
      <c r="G21" s="17">
        <v>44246.761388888888</v>
      </c>
      <c r="H21" s="15" t="s">
        <v>48</v>
      </c>
      <c r="I21" s="15">
        <v>9</v>
      </c>
      <c r="J21" s="100">
        <v>1.2</v>
      </c>
      <c r="K21" s="292" t="s">
        <v>52</v>
      </c>
      <c r="L21" s="8" t="s">
        <v>52</v>
      </c>
      <c r="M21" s="19">
        <v>3</v>
      </c>
      <c r="N21" s="10">
        <v>3</v>
      </c>
      <c r="O21" s="20"/>
      <c r="P21" s="8" t="s">
        <v>58</v>
      </c>
      <c r="Q21" s="21"/>
      <c r="S21" s="18"/>
      <c r="U21" s="22"/>
    </row>
    <row r="22" spans="1:21" ht="16" x14ac:dyDescent="0.2">
      <c r="A22" s="15" t="s">
        <v>292</v>
      </c>
      <c r="B22" s="15">
        <v>260</v>
      </c>
      <c r="C22" s="15" t="s">
        <v>44</v>
      </c>
      <c r="D22" s="15" t="s">
        <v>70</v>
      </c>
      <c r="E22" s="15" t="s">
        <v>322</v>
      </c>
      <c r="F22" s="16" t="s">
        <v>326</v>
      </c>
      <c r="G22" s="17">
        <v>44246.761817129627</v>
      </c>
      <c r="H22" s="15" t="s">
        <v>48</v>
      </c>
      <c r="I22" s="15">
        <v>9</v>
      </c>
      <c r="J22" s="100">
        <v>1.2</v>
      </c>
      <c r="K22" s="292" t="s">
        <v>52</v>
      </c>
      <c r="L22" s="8" t="s">
        <v>52</v>
      </c>
      <c r="M22" s="19">
        <v>3</v>
      </c>
      <c r="N22" s="10">
        <v>3</v>
      </c>
      <c r="O22" s="20"/>
      <c r="P22" s="8" t="s">
        <v>58</v>
      </c>
      <c r="Q22" s="21"/>
      <c r="S22" s="18"/>
      <c r="U22" s="22"/>
    </row>
    <row r="23" spans="1:21" ht="31" x14ac:dyDescent="0.2">
      <c r="A23" s="15" t="s">
        <v>292</v>
      </c>
      <c r="B23" s="15">
        <v>260</v>
      </c>
      <c r="C23" s="15" t="s">
        <v>44</v>
      </c>
      <c r="D23" s="15" t="s">
        <v>70</v>
      </c>
      <c r="E23" s="15" t="s">
        <v>324</v>
      </c>
      <c r="F23" s="16" t="s">
        <v>327</v>
      </c>
      <c r="G23" s="17">
        <v>44246.76222222222</v>
      </c>
      <c r="H23" s="15" t="s">
        <v>48</v>
      </c>
      <c r="I23" s="15">
        <v>9</v>
      </c>
      <c r="J23" s="100">
        <v>1.2</v>
      </c>
      <c r="K23" s="292" t="s">
        <v>52</v>
      </c>
      <c r="L23" s="8" t="s">
        <v>52</v>
      </c>
      <c r="M23" s="19">
        <v>3</v>
      </c>
      <c r="N23" s="10">
        <v>3</v>
      </c>
      <c r="O23" s="20"/>
      <c r="P23" s="8" t="s">
        <v>58</v>
      </c>
      <c r="Q23" s="21"/>
      <c r="S23" s="18"/>
      <c r="U23" s="22"/>
    </row>
    <row r="24" spans="1:21" ht="16" x14ac:dyDescent="0.2">
      <c r="A24" s="15" t="s">
        <v>292</v>
      </c>
      <c r="B24" s="15">
        <v>260</v>
      </c>
      <c r="C24" s="15" t="s">
        <v>44</v>
      </c>
      <c r="D24" s="15" t="s">
        <v>70</v>
      </c>
      <c r="E24" s="15" t="s">
        <v>328</v>
      </c>
      <c r="F24" s="16" t="s">
        <v>329</v>
      </c>
      <c r="G24" s="17">
        <v>44246.762395833335</v>
      </c>
      <c r="H24" s="15" t="s">
        <v>48</v>
      </c>
      <c r="I24" s="15">
        <v>9</v>
      </c>
      <c r="J24" s="100">
        <v>1.2</v>
      </c>
      <c r="K24" s="292" t="s">
        <v>52</v>
      </c>
      <c r="L24" s="8" t="s">
        <v>52</v>
      </c>
      <c r="M24" s="19">
        <v>3</v>
      </c>
      <c r="N24" s="10">
        <v>3</v>
      </c>
      <c r="O24" s="20" t="s">
        <v>58</v>
      </c>
      <c r="P24" s="8" t="s">
        <v>58</v>
      </c>
      <c r="Q24" s="21"/>
      <c r="S24" s="18"/>
      <c r="U24" s="22"/>
    </row>
    <row r="25" spans="1:21" ht="31" x14ac:dyDescent="0.2">
      <c r="A25" s="15" t="s">
        <v>292</v>
      </c>
      <c r="B25" s="15">
        <v>260</v>
      </c>
      <c r="C25" s="15" t="s">
        <v>44</v>
      </c>
      <c r="D25" s="15" t="s">
        <v>70</v>
      </c>
      <c r="E25" s="15" t="s">
        <v>322</v>
      </c>
      <c r="F25" s="16" t="s">
        <v>330</v>
      </c>
      <c r="G25" s="17">
        <v>44246.762418981481</v>
      </c>
      <c r="H25" s="15" t="s">
        <v>48</v>
      </c>
      <c r="I25" s="15">
        <v>9</v>
      </c>
      <c r="J25" s="100">
        <v>1.2</v>
      </c>
      <c r="K25" s="292" t="s">
        <v>52</v>
      </c>
      <c r="L25" s="8" t="s">
        <v>52</v>
      </c>
      <c r="M25" s="19">
        <v>3</v>
      </c>
      <c r="N25" s="10">
        <v>3</v>
      </c>
      <c r="O25" s="20"/>
      <c r="P25" s="8" t="s">
        <v>331</v>
      </c>
      <c r="Q25" s="21" t="s">
        <v>74</v>
      </c>
      <c r="R25" s="10" t="s">
        <v>74</v>
      </c>
      <c r="S25" s="18"/>
      <c r="U25" s="22"/>
    </row>
    <row r="26" spans="1:21" ht="16" x14ac:dyDescent="0.2">
      <c r="A26" s="15" t="s">
        <v>292</v>
      </c>
      <c r="B26" s="15">
        <v>260</v>
      </c>
      <c r="C26" s="15" t="s">
        <v>44</v>
      </c>
      <c r="D26" s="15" t="s">
        <v>70</v>
      </c>
      <c r="E26" s="15" t="s">
        <v>322</v>
      </c>
      <c r="F26" s="16" t="s">
        <v>332</v>
      </c>
      <c r="G26" s="17">
        <v>44246.764467592591</v>
      </c>
      <c r="H26" s="15" t="s">
        <v>48</v>
      </c>
      <c r="I26" s="15">
        <v>9</v>
      </c>
      <c r="J26" s="100">
        <v>1.2</v>
      </c>
      <c r="K26" s="18" t="s">
        <v>52</v>
      </c>
      <c r="L26" s="8" t="s">
        <v>52</v>
      </c>
      <c r="M26" s="19">
        <v>3</v>
      </c>
      <c r="N26" s="10">
        <v>3</v>
      </c>
      <c r="O26" s="20"/>
      <c r="Q26" s="21"/>
      <c r="S26" s="18"/>
      <c r="U26" s="22"/>
    </row>
    <row r="27" spans="1:21" ht="16" x14ac:dyDescent="0.2">
      <c r="A27" s="15" t="s">
        <v>292</v>
      </c>
      <c r="B27" s="15">
        <v>260</v>
      </c>
      <c r="C27" s="15" t="s">
        <v>44</v>
      </c>
      <c r="D27" s="15" t="s">
        <v>153</v>
      </c>
      <c r="E27" s="15" t="s">
        <v>333</v>
      </c>
      <c r="F27" s="16" t="s">
        <v>334</v>
      </c>
      <c r="G27" s="17">
        <v>44241.899699074071</v>
      </c>
      <c r="H27" s="15" t="s">
        <v>48</v>
      </c>
      <c r="I27" s="15">
        <v>10</v>
      </c>
      <c r="J27" s="100">
        <v>1.3</v>
      </c>
      <c r="K27" s="18" t="s">
        <v>52</v>
      </c>
      <c r="L27" s="8" t="s">
        <v>52</v>
      </c>
      <c r="M27" s="19">
        <v>4</v>
      </c>
      <c r="N27" s="10">
        <v>4</v>
      </c>
      <c r="O27" s="20"/>
      <c r="Q27" s="21"/>
      <c r="S27" s="18"/>
      <c r="U27" s="22"/>
    </row>
    <row r="28" spans="1:21" ht="76" x14ac:dyDescent="0.2">
      <c r="A28" s="15" t="s">
        <v>292</v>
      </c>
      <c r="B28" s="15">
        <v>260</v>
      </c>
      <c r="C28" s="15" t="s">
        <v>44</v>
      </c>
      <c r="D28" s="15" t="s">
        <v>153</v>
      </c>
      <c r="E28" s="15" t="s">
        <v>335</v>
      </c>
      <c r="F28" s="16" t="s">
        <v>336</v>
      </c>
      <c r="G28" s="17">
        <v>44244.880277777775</v>
      </c>
      <c r="H28" s="15" t="s">
        <v>48</v>
      </c>
      <c r="I28" s="15">
        <v>8</v>
      </c>
      <c r="J28" s="100">
        <v>1.3</v>
      </c>
      <c r="K28" s="18" t="s">
        <v>52</v>
      </c>
      <c r="L28" s="8" t="s">
        <v>52</v>
      </c>
      <c r="M28" s="19">
        <v>4</v>
      </c>
      <c r="N28" s="10">
        <v>4</v>
      </c>
      <c r="O28" s="20"/>
      <c r="P28" s="8" t="s">
        <v>302</v>
      </c>
      <c r="Q28" s="21"/>
      <c r="S28" s="18"/>
      <c r="U28" s="22"/>
    </row>
    <row r="29" spans="1:21" ht="106" x14ac:dyDescent="0.2">
      <c r="A29" s="15" t="s">
        <v>292</v>
      </c>
      <c r="B29" s="15">
        <v>260</v>
      </c>
      <c r="C29" s="15" t="s">
        <v>44</v>
      </c>
      <c r="D29" s="15" t="s">
        <v>153</v>
      </c>
      <c r="E29" s="15" t="s">
        <v>337</v>
      </c>
      <c r="F29" s="16" t="s">
        <v>338</v>
      </c>
      <c r="G29" s="17">
        <v>44249.509768518517</v>
      </c>
      <c r="H29" s="15" t="s">
        <v>48</v>
      </c>
      <c r="I29" s="15">
        <v>10</v>
      </c>
      <c r="J29" s="100">
        <v>1.3</v>
      </c>
      <c r="K29" s="18" t="s">
        <v>52</v>
      </c>
      <c r="L29" s="8" t="s">
        <v>52</v>
      </c>
      <c r="M29" s="19">
        <v>4</v>
      </c>
      <c r="N29" s="10">
        <v>4</v>
      </c>
      <c r="O29" s="20"/>
      <c r="P29" s="8" t="s">
        <v>305</v>
      </c>
      <c r="Q29" s="21"/>
      <c r="S29" s="18"/>
      <c r="U29" s="22"/>
    </row>
    <row r="30" spans="1:21" ht="61" x14ac:dyDescent="0.2">
      <c r="A30" s="15" t="s">
        <v>292</v>
      </c>
      <c r="B30" s="15">
        <v>260</v>
      </c>
      <c r="C30" s="15" t="s">
        <v>44</v>
      </c>
      <c r="D30" s="15" t="s">
        <v>153</v>
      </c>
      <c r="E30" s="15" t="s">
        <v>333</v>
      </c>
      <c r="F30" s="16" t="s">
        <v>339</v>
      </c>
      <c r="G30" s="17">
        <v>44249.595960648148</v>
      </c>
      <c r="H30" s="15" t="s">
        <v>48</v>
      </c>
      <c r="I30" s="15">
        <v>10</v>
      </c>
      <c r="J30" s="100">
        <v>1.3</v>
      </c>
      <c r="K30" s="18" t="s">
        <v>52</v>
      </c>
      <c r="L30" s="8" t="s">
        <v>52</v>
      </c>
      <c r="M30" s="19">
        <v>4</v>
      </c>
      <c r="N30" s="10">
        <v>4</v>
      </c>
      <c r="O30" s="20" t="s">
        <v>340</v>
      </c>
      <c r="P30" s="8" t="s">
        <v>58</v>
      </c>
      <c r="Q30" s="21"/>
      <c r="S30" s="18"/>
      <c r="U30" s="22"/>
    </row>
    <row r="31" spans="1:21" ht="91" x14ac:dyDescent="0.2">
      <c r="A31" s="15" t="s">
        <v>292</v>
      </c>
      <c r="B31" s="15">
        <v>260</v>
      </c>
      <c r="C31" s="15" t="s">
        <v>44</v>
      </c>
      <c r="D31" s="15" t="s">
        <v>153</v>
      </c>
      <c r="E31" s="15" t="s">
        <v>333</v>
      </c>
      <c r="F31" s="16" t="s">
        <v>341</v>
      </c>
      <c r="G31" s="17">
        <v>44249.596203703702</v>
      </c>
      <c r="H31" s="15" t="s">
        <v>48</v>
      </c>
      <c r="J31" s="100">
        <v>1.3</v>
      </c>
      <c r="K31" s="18" t="s">
        <v>52</v>
      </c>
      <c r="L31" s="8" t="s">
        <v>52</v>
      </c>
      <c r="M31" s="19">
        <v>4</v>
      </c>
      <c r="N31" s="10">
        <v>4</v>
      </c>
      <c r="O31" s="20"/>
      <c r="Q31" s="21"/>
      <c r="S31" s="18"/>
      <c r="U31" s="22"/>
    </row>
    <row r="32" spans="1:21" ht="46" x14ac:dyDescent="0.2">
      <c r="A32" s="15" t="s">
        <v>292</v>
      </c>
      <c r="B32" s="15">
        <v>260</v>
      </c>
      <c r="C32" s="15" t="s">
        <v>44</v>
      </c>
      <c r="D32" s="15" t="s">
        <v>153</v>
      </c>
      <c r="E32" s="15" t="s">
        <v>335</v>
      </c>
      <c r="F32" s="16" t="s">
        <v>342</v>
      </c>
      <c r="G32" s="17">
        <v>44249.765393518515</v>
      </c>
      <c r="H32" s="15" t="s">
        <v>48</v>
      </c>
      <c r="I32" s="15">
        <v>10</v>
      </c>
      <c r="J32" s="100">
        <v>1.3</v>
      </c>
      <c r="K32" s="18"/>
      <c r="L32" s="8" t="s">
        <v>52</v>
      </c>
      <c r="M32" s="19">
        <v>4</v>
      </c>
      <c r="N32" s="10">
        <v>4</v>
      </c>
      <c r="O32" s="20"/>
      <c r="Q32" s="21"/>
      <c r="S32" s="18"/>
      <c r="U32" s="22"/>
    </row>
    <row r="33" spans="1:21" ht="16" x14ac:dyDescent="0.2">
      <c r="A33" s="15" t="s">
        <v>292</v>
      </c>
      <c r="B33" s="15">
        <v>260</v>
      </c>
      <c r="C33" s="15" t="s">
        <v>44</v>
      </c>
      <c r="D33" s="15" t="s">
        <v>153</v>
      </c>
      <c r="E33" s="15" t="s">
        <v>337</v>
      </c>
      <c r="F33" s="16" t="s">
        <v>343</v>
      </c>
      <c r="G33" s="17">
        <v>44250.49150462963</v>
      </c>
      <c r="H33" s="15" t="s">
        <v>48</v>
      </c>
      <c r="I33" s="15">
        <v>10</v>
      </c>
      <c r="J33" s="100">
        <v>1.3</v>
      </c>
      <c r="K33" s="18" t="s">
        <v>52</v>
      </c>
      <c r="L33" s="8" t="s">
        <v>52</v>
      </c>
      <c r="M33" s="19">
        <v>4</v>
      </c>
      <c r="N33" s="10">
        <v>4</v>
      </c>
      <c r="O33" s="20"/>
      <c r="Q33" s="21"/>
      <c r="S33" s="18"/>
      <c r="U33" s="22"/>
    </row>
    <row r="34" spans="1:21" ht="32" x14ac:dyDescent="0.2">
      <c r="A34" s="15" t="s">
        <v>292</v>
      </c>
      <c r="B34" s="15">
        <v>260</v>
      </c>
      <c r="C34" s="15" t="s">
        <v>44</v>
      </c>
      <c r="D34" s="15" t="s">
        <v>153</v>
      </c>
      <c r="E34" s="15" t="s">
        <v>337</v>
      </c>
      <c r="F34" s="16" t="s">
        <v>344</v>
      </c>
      <c r="G34" s="17">
        <v>44250.491875</v>
      </c>
      <c r="H34" s="15" t="s">
        <v>48</v>
      </c>
      <c r="I34" s="15">
        <v>10</v>
      </c>
      <c r="J34" s="100">
        <v>1.3</v>
      </c>
      <c r="K34" s="18" t="s">
        <v>308</v>
      </c>
      <c r="L34" s="8" t="s">
        <v>308</v>
      </c>
      <c r="M34" s="19">
        <v>4</v>
      </c>
      <c r="N34" s="10">
        <v>4</v>
      </c>
      <c r="O34" s="20" t="s">
        <v>58</v>
      </c>
      <c r="P34" s="8" t="s">
        <v>58</v>
      </c>
      <c r="Q34" s="21" t="s">
        <v>112</v>
      </c>
      <c r="R34" s="10" t="s">
        <v>112</v>
      </c>
      <c r="S34" s="18" t="s">
        <v>109</v>
      </c>
      <c r="U34" s="22"/>
    </row>
    <row r="35" spans="1:21" ht="61" x14ac:dyDescent="0.2">
      <c r="A35" s="15" t="s">
        <v>292</v>
      </c>
      <c r="B35" s="15">
        <v>260</v>
      </c>
      <c r="C35" s="15" t="s">
        <v>44</v>
      </c>
      <c r="D35" s="15" t="s">
        <v>153</v>
      </c>
      <c r="E35" s="15" t="s">
        <v>333</v>
      </c>
      <c r="F35" s="16" t="s">
        <v>345</v>
      </c>
      <c r="G35" s="17">
        <v>44250.731736111113</v>
      </c>
      <c r="H35" s="15" t="s">
        <v>48</v>
      </c>
      <c r="I35" s="15">
        <v>10</v>
      </c>
      <c r="J35" s="100">
        <v>1.3</v>
      </c>
      <c r="K35" s="18" t="s">
        <v>346</v>
      </c>
      <c r="L35" s="8" t="s">
        <v>52</v>
      </c>
      <c r="M35" s="19">
        <v>4</v>
      </c>
      <c r="N35" s="10">
        <v>4</v>
      </c>
      <c r="O35" s="20" t="s">
        <v>305</v>
      </c>
      <c r="Q35" s="21"/>
      <c r="S35" s="18" t="s">
        <v>219</v>
      </c>
      <c r="U35" s="22"/>
    </row>
    <row r="36" spans="1:21" ht="32" x14ac:dyDescent="0.2">
      <c r="A36" s="15" t="s">
        <v>292</v>
      </c>
      <c r="B36" s="15">
        <v>260</v>
      </c>
      <c r="C36" s="15" t="s">
        <v>44</v>
      </c>
      <c r="D36" s="15" t="s">
        <v>153</v>
      </c>
      <c r="E36" s="15" t="s">
        <v>337</v>
      </c>
      <c r="F36" s="16" t="s">
        <v>347</v>
      </c>
      <c r="G36" s="17">
        <v>44250.736759259256</v>
      </c>
      <c r="H36" s="15" t="s">
        <v>48</v>
      </c>
      <c r="I36" s="15">
        <v>10</v>
      </c>
      <c r="J36" s="100">
        <v>1.3</v>
      </c>
      <c r="K36" s="18" t="s">
        <v>52</v>
      </c>
      <c r="L36" s="8" t="s">
        <v>52</v>
      </c>
      <c r="M36" s="19">
        <v>4</v>
      </c>
      <c r="N36" s="10">
        <v>4</v>
      </c>
      <c r="O36" s="20" t="s">
        <v>348</v>
      </c>
      <c r="P36" s="8" t="s">
        <v>58</v>
      </c>
      <c r="Q36" s="21" t="s">
        <v>74</v>
      </c>
      <c r="R36" s="10" t="s">
        <v>74</v>
      </c>
      <c r="S36" s="18"/>
      <c r="U36" s="22"/>
    </row>
    <row r="37" spans="1:21" ht="31" x14ac:dyDescent="0.2">
      <c r="A37" s="15" t="s">
        <v>292</v>
      </c>
      <c r="B37" s="15">
        <v>260</v>
      </c>
      <c r="C37" s="15" t="s">
        <v>44</v>
      </c>
      <c r="D37" s="15" t="s">
        <v>153</v>
      </c>
      <c r="E37" s="15" t="s">
        <v>335</v>
      </c>
      <c r="F37" s="16" t="s">
        <v>349</v>
      </c>
      <c r="G37" s="17">
        <v>44250.881504629629</v>
      </c>
      <c r="H37" s="15" t="s">
        <v>48</v>
      </c>
      <c r="I37" s="15">
        <v>10</v>
      </c>
      <c r="J37" s="100">
        <v>1.3</v>
      </c>
      <c r="K37" s="18" t="s">
        <v>52</v>
      </c>
      <c r="L37" s="8" t="s">
        <v>52</v>
      </c>
      <c r="M37" s="19">
        <v>4</v>
      </c>
      <c r="N37" s="10">
        <v>4</v>
      </c>
      <c r="O37" s="20" t="s">
        <v>58</v>
      </c>
      <c r="Q37" s="21"/>
      <c r="S37" s="18"/>
      <c r="U37" s="22"/>
    </row>
    <row r="38" spans="1:21" ht="61" x14ac:dyDescent="0.2">
      <c r="A38" s="15" t="s">
        <v>292</v>
      </c>
      <c r="B38" s="15">
        <v>260</v>
      </c>
      <c r="C38" s="15" t="s">
        <v>44</v>
      </c>
      <c r="D38" s="15" t="s">
        <v>153</v>
      </c>
      <c r="E38" s="15" t="s">
        <v>337</v>
      </c>
      <c r="F38" s="16" t="s">
        <v>350</v>
      </c>
      <c r="G38" s="17">
        <v>44252.434814814813</v>
      </c>
      <c r="H38" s="15" t="s">
        <v>48</v>
      </c>
      <c r="I38" s="15">
        <v>10</v>
      </c>
      <c r="J38" s="100">
        <v>1.3</v>
      </c>
      <c r="K38" s="18" t="s">
        <v>68</v>
      </c>
      <c r="L38" s="8" t="s">
        <v>108</v>
      </c>
      <c r="M38" s="23"/>
      <c r="O38" s="20"/>
      <c r="Q38" s="21" t="s">
        <v>112</v>
      </c>
      <c r="R38" s="10" t="s">
        <v>261</v>
      </c>
      <c r="S38" s="18" t="s">
        <v>66</v>
      </c>
      <c r="T38" s="13" t="s">
        <v>109</v>
      </c>
      <c r="U38" s="22"/>
    </row>
    <row r="39" spans="1:21" ht="16" x14ac:dyDescent="0.2">
      <c r="A39" s="15" t="s">
        <v>43</v>
      </c>
      <c r="B39" s="15">
        <v>260</v>
      </c>
      <c r="C39" s="15" t="s">
        <v>44</v>
      </c>
      <c r="D39" s="15" t="s">
        <v>45</v>
      </c>
      <c r="E39" s="15" t="s">
        <v>351</v>
      </c>
      <c r="F39" s="16" t="s">
        <v>352</v>
      </c>
      <c r="G39" s="17">
        <v>44244.825254629628</v>
      </c>
      <c r="H39" s="15" t="s">
        <v>48</v>
      </c>
      <c r="I39" s="15">
        <v>8</v>
      </c>
      <c r="J39" s="100">
        <v>2.1</v>
      </c>
      <c r="K39" s="292" t="s">
        <v>108</v>
      </c>
      <c r="L39" s="8" t="s">
        <v>108</v>
      </c>
      <c r="M39" s="19">
        <v>1</v>
      </c>
      <c r="N39" s="10">
        <v>1</v>
      </c>
      <c r="O39" s="20"/>
      <c r="Q39" s="21"/>
      <c r="S39" s="18"/>
      <c r="U39" s="22"/>
    </row>
    <row r="40" spans="1:21" ht="16" x14ac:dyDescent="0.2">
      <c r="A40" s="15" t="s">
        <v>43</v>
      </c>
      <c r="B40" s="15">
        <v>260</v>
      </c>
      <c r="C40" s="15" t="s">
        <v>44</v>
      </c>
      <c r="D40" s="15" t="s">
        <v>45</v>
      </c>
      <c r="E40" s="15" t="s">
        <v>353</v>
      </c>
      <c r="F40" s="16" t="s">
        <v>354</v>
      </c>
      <c r="G40" s="17">
        <v>44244.825462962966</v>
      </c>
      <c r="H40" s="15" t="s">
        <v>48</v>
      </c>
      <c r="I40" s="15">
        <v>9</v>
      </c>
      <c r="J40" s="100">
        <v>2.1</v>
      </c>
      <c r="K40" s="292" t="s">
        <v>108</v>
      </c>
      <c r="L40" s="8" t="s">
        <v>108</v>
      </c>
      <c r="M40" s="19">
        <v>1</v>
      </c>
      <c r="N40" s="10">
        <v>1</v>
      </c>
      <c r="O40" s="20"/>
      <c r="Q40" s="21" t="s">
        <v>112</v>
      </c>
      <c r="R40" s="10" t="s">
        <v>112</v>
      </c>
      <c r="S40" s="18"/>
      <c r="U40" s="22"/>
    </row>
    <row r="41" spans="1:21" ht="32" x14ac:dyDescent="0.2">
      <c r="A41" s="15" t="s">
        <v>43</v>
      </c>
      <c r="B41" s="15">
        <v>260</v>
      </c>
      <c r="C41" s="15" t="s">
        <v>44</v>
      </c>
      <c r="D41" s="15" t="s">
        <v>45</v>
      </c>
      <c r="E41" s="15" t="s">
        <v>353</v>
      </c>
      <c r="F41" s="16" t="s">
        <v>355</v>
      </c>
      <c r="G41" s="17">
        <v>44244.826296296298</v>
      </c>
      <c r="H41" s="15" t="s">
        <v>48</v>
      </c>
      <c r="I41" s="15">
        <v>9</v>
      </c>
      <c r="J41" s="100">
        <v>2.1</v>
      </c>
      <c r="K41" s="292" t="s">
        <v>68</v>
      </c>
      <c r="L41" s="8" t="s">
        <v>108</v>
      </c>
      <c r="M41" s="19">
        <v>1</v>
      </c>
      <c r="N41" s="10">
        <v>1</v>
      </c>
      <c r="O41" s="20"/>
      <c r="Q41" s="21"/>
      <c r="S41" s="18" t="s">
        <v>356</v>
      </c>
      <c r="U41" s="22"/>
    </row>
    <row r="42" spans="1:21" ht="32" x14ac:dyDescent="0.2">
      <c r="A42" s="15" t="s">
        <v>43</v>
      </c>
      <c r="B42" s="15">
        <v>260</v>
      </c>
      <c r="C42" s="15" t="s">
        <v>44</v>
      </c>
      <c r="D42" s="15" t="s">
        <v>45</v>
      </c>
      <c r="E42" s="15" t="s">
        <v>351</v>
      </c>
      <c r="F42" s="16" t="s">
        <v>357</v>
      </c>
      <c r="G42" s="17">
        <v>44244.826319444444</v>
      </c>
      <c r="H42" s="15" t="s">
        <v>48</v>
      </c>
      <c r="I42" s="15">
        <v>8</v>
      </c>
      <c r="J42" s="100">
        <v>2.1</v>
      </c>
      <c r="K42" s="292" t="s">
        <v>108</v>
      </c>
      <c r="L42" s="8" t="s">
        <v>108</v>
      </c>
      <c r="M42" s="19">
        <v>1</v>
      </c>
      <c r="N42" s="10">
        <v>1</v>
      </c>
      <c r="O42" s="20" t="s">
        <v>58</v>
      </c>
      <c r="P42" s="8" t="s">
        <v>58</v>
      </c>
      <c r="Q42" s="21" t="s">
        <v>261</v>
      </c>
      <c r="R42" s="10" t="s">
        <v>74</v>
      </c>
      <c r="S42" s="18" t="s">
        <v>358</v>
      </c>
      <c r="U42" s="22"/>
    </row>
    <row r="43" spans="1:21" ht="32" x14ac:dyDescent="0.2">
      <c r="A43" s="15" t="s">
        <v>43</v>
      </c>
      <c r="B43" s="15">
        <v>260</v>
      </c>
      <c r="C43" s="15" t="s">
        <v>44</v>
      </c>
      <c r="D43" s="15" t="s">
        <v>45</v>
      </c>
      <c r="E43" s="15" t="s">
        <v>351</v>
      </c>
      <c r="F43" s="16" t="s">
        <v>359</v>
      </c>
      <c r="G43" s="17">
        <v>44244.827175925922</v>
      </c>
      <c r="H43" s="15" t="s">
        <v>48</v>
      </c>
      <c r="I43" s="15">
        <v>8</v>
      </c>
      <c r="J43" s="100">
        <v>2.1</v>
      </c>
      <c r="K43" s="292" t="s">
        <v>49</v>
      </c>
      <c r="L43" s="8" t="s">
        <v>108</v>
      </c>
      <c r="M43" s="19">
        <v>1</v>
      </c>
      <c r="N43" s="10">
        <v>1</v>
      </c>
      <c r="O43" s="20"/>
      <c r="Q43" s="21"/>
      <c r="S43" s="18" t="s">
        <v>123</v>
      </c>
      <c r="U43" s="22"/>
    </row>
    <row r="44" spans="1:21" ht="32" x14ac:dyDescent="0.2">
      <c r="A44" s="15" t="s">
        <v>43</v>
      </c>
      <c r="B44" s="15">
        <v>260</v>
      </c>
      <c r="C44" s="15" t="s">
        <v>44</v>
      </c>
      <c r="D44" s="15" t="s">
        <v>45</v>
      </c>
      <c r="E44" s="15" t="s">
        <v>360</v>
      </c>
      <c r="F44" s="16" t="s">
        <v>361</v>
      </c>
      <c r="G44" s="17">
        <v>44244.827523148146</v>
      </c>
      <c r="H44" s="15" t="s">
        <v>48</v>
      </c>
      <c r="I44" s="15">
        <v>8</v>
      </c>
      <c r="J44" s="100">
        <v>2.1</v>
      </c>
      <c r="K44" s="292" t="s">
        <v>68</v>
      </c>
      <c r="L44" s="8" t="s">
        <v>108</v>
      </c>
      <c r="M44" s="19">
        <v>1</v>
      </c>
      <c r="N44" s="10">
        <v>1</v>
      </c>
      <c r="O44" s="20"/>
      <c r="Q44" s="21"/>
      <c r="S44" s="18" t="s">
        <v>126</v>
      </c>
      <c r="U44" s="22"/>
    </row>
    <row r="45" spans="1:21" ht="32" x14ac:dyDescent="0.2">
      <c r="A45" s="15" t="s">
        <v>43</v>
      </c>
      <c r="B45" s="15">
        <v>260</v>
      </c>
      <c r="C45" s="15" t="s">
        <v>44</v>
      </c>
      <c r="D45" s="15" t="s">
        <v>45</v>
      </c>
      <c r="E45" s="15" t="s">
        <v>353</v>
      </c>
      <c r="F45" s="16" t="s">
        <v>362</v>
      </c>
      <c r="G45" s="17">
        <v>44244.828009259261</v>
      </c>
      <c r="H45" s="15" t="s">
        <v>48</v>
      </c>
      <c r="I45" s="15">
        <v>10</v>
      </c>
      <c r="J45" s="100">
        <v>2.1</v>
      </c>
      <c r="K45" s="292" t="s">
        <v>49</v>
      </c>
      <c r="L45" s="8" t="s">
        <v>363</v>
      </c>
      <c r="M45" s="19">
        <v>1</v>
      </c>
      <c r="N45" s="10">
        <v>1</v>
      </c>
      <c r="O45" s="20"/>
      <c r="Q45" s="21"/>
      <c r="S45" s="18" t="s">
        <v>214</v>
      </c>
      <c r="U45" s="22"/>
    </row>
    <row r="46" spans="1:21" ht="32" x14ac:dyDescent="0.2">
      <c r="A46" s="15" t="s">
        <v>43</v>
      </c>
      <c r="B46" s="15">
        <v>260</v>
      </c>
      <c r="C46" s="15" t="s">
        <v>44</v>
      </c>
      <c r="D46" s="15" t="s">
        <v>45</v>
      </c>
      <c r="E46" s="15" t="s">
        <v>360</v>
      </c>
      <c r="F46" s="16" t="s">
        <v>364</v>
      </c>
      <c r="G46" s="17">
        <v>44244.828101851854</v>
      </c>
      <c r="H46" s="15" t="s">
        <v>48</v>
      </c>
      <c r="I46" s="15">
        <v>8</v>
      </c>
      <c r="J46" s="100">
        <v>2.1</v>
      </c>
      <c r="K46" s="292" t="s">
        <v>108</v>
      </c>
      <c r="L46" s="8" t="s">
        <v>108</v>
      </c>
      <c r="M46" s="19">
        <v>1</v>
      </c>
      <c r="N46" s="10">
        <v>1</v>
      </c>
      <c r="O46" s="20"/>
      <c r="Q46" s="21"/>
      <c r="S46" s="18" t="s">
        <v>216</v>
      </c>
      <c r="U46" s="22"/>
    </row>
    <row r="47" spans="1:21" ht="16" x14ac:dyDescent="0.2">
      <c r="A47" s="15" t="s">
        <v>43</v>
      </c>
      <c r="B47" s="15">
        <v>260</v>
      </c>
      <c r="C47" s="15" t="s">
        <v>44</v>
      </c>
      <c r="D47" s="15" t="s">
        <v>45</v>
      </c>
      <c r="E47" s="15" t="s">
        <v>351</v>
      </c>
      <c r="F47" s="16" t="s">
        <v>365</v>
      </c>
      <c r="G47" s="17">
        <v>44244.828275462962</v>
      </c>
      <c r="H47" s="15" t="s">
        <v>48</v>
      </c>
      <c r="I47" s="15">
        <v>8</v>
      </c>
      <c r="J47" s="100">
        <v>2.1</v>
      </c>
      <c r="K47" s="292" t="s">
        <v>108</v>
      </c>
      <c r="L47" s="8" t="s">
        <v>108</v>
      </c>
      <c r="M47" s="19">
        <v>1</v>
      </c>
      <c r="N47" s="10">
        <v>1</v>
      </c>
      <c r="O47" s="20" t="s">
        <v>58</v>
      </c>
      <c r="Q47" s="21" t="s">
        <v>261</v>
      </c>
      <c r="R47" s="10" t="s">
        <v>261</v>
      </c>
      <c r="S47" s="18"/>
      <c r="U47" s="22"/>
    </row>
    <row r="48" spans="1:21" ht="16" x14ac:dyDescent="0.2">
      <c r="A48" s="15" t="s">
        <v>43</v>
      </c>
      <c r="B48" s="15">
        <v>260</v>
      </c>
      <c r="C48" s="15" t="s">
        <v>44</v>
      </c>
      <c r="D48" s="15" t="s">
        <v>45</v>
      </c>
      <c r="E48" s="15" t="s">
        <v>360</v>
      </c>
      <c r="F48" s="16" t="s">
        <v>366</v>
      </c>
      <c r="G48" s="17">
        <v>44244.828368055554</v>
      </c>
      <c r="H48" s="15" t="s">
        <v>48</v>
      </c>
      <c r="I48" s="15">
        <v>8</v>
      </c>
      <c r="J48" s="100">
        <v>2.1</v>
      </c>
      <c r="K48" s="292" t="s">
        <v>108</v>
      </c>
      <c r="L48" s="8" t="s">
        <v>108</v>
      </c>
      <c r="M48" s="19">
        <v>1</v>
      </c>
      <c r="N48" s="10">
        <v>1</v>
      </c>
      <c r="O48" s="20"/>
      <c r="Q48" s="21"/>
      <c r="S48" s="18"/>
      <c r="U48" s="22"/>
    </row>
    <row r="49" spans="1:21" ht="16" x14ac:dyDescent="0.2">
      <c r="A49" s="15" t="s">
        <v>43</v>
      </c>
      <c r="B49" s="15">
        <v>260</v>
      </c>
      <c r="C49" s="15" t="s">
        <v>44</v>
      </c>
      <c r="D49" s="15" t="s">
        <v>45</v>
      </c>
      <c r="E49" s="15" t="s">
        <v>353</v>
      </c>
      <c r="F49" s="16" t="s">
        <v>367</v>
      </c>
      <c r="G49" s="17">
        <v>44244.828784722224</v>
      </c>
      <c r="H49" s="15" t="s">
        <v>48</v>
      </c>
      <c r="I49" s="15">
        <v>10</v>
      </c>
      <c r="J49" s="100">
        <v>2.1</v>
      </c>
      <c r="K49" s="292" t="s">
        <v>108</v>
      </c>
      <c r="L49" s="8" t="s">
        <v>108</v>
      </c>
      <c r="M49" s="19">
        <v>1</v>
      </c>
      <c r="N49" s="10">
        <v>1</v>
      </c>
      <c r="O49" s="20"/>
      <c r="Q49" s="21" t="s">
        <v>112</v>
      </c>
      <c r="R49" s="10" t="s">
        <v>368</v>
      </c>
      <c r="S49" s="18"/>
      <c r="U49" s="22"/>
    </row>
    <row r="50" spans="1:21" ht="16" x14ac:dyDescent="0.2">
      <c r="A50" s="15" t="s">
        <v>43</v>
      </c>
      <c r="B50" s="15">
        <v>260</v>
      </c>
      <c r="C50" s="15" t="s">
        <v>44</v>
      </c>
      <c r="D50" s="15" t="s">
        <v>45</v>
      </c>
      <c r="E50" s="15" t="s">
        <v>360</v>
      </c>
      <c r="F50" s="16" t="s">
        <v>369</v>
      </c>
      <c r="G50" s="17">
        <v>44244.829050925924</v>
      </c>
      <c r="H50" s="15" t="s">
        <v>48</v>
      </c>
      <c r="I50" s="15">
        <v>8</v>
      </c>
      <c r="J50" s="100">
        <v>2.1</v>
      </c>
      <c r="K50" s="292" t="s">
        <v>108</v>
      </c>
      <c r="L50" s="8" t="s">
        <v>108</v>
      </c>
      <c r="M50" s="19">
        <v>1</v>
      </c>
      <c r="N50" s="10">
        <v>1</v>
      </c>
      <c r="O50" s="20"/>
      <c r="Q50" s="21"/>
      <c r="S50" s="18"/>
      <c r="U50" s="22"/>
    </row>
    <row r="51" spans="1:21" ht="16" x14ac:dyDescent="0.2">
      <c r="A51" s="15" t="s">
        <v>43</v>
      </c>
      <c r="B51" s="15">
        <v>260</v>
      </c>
      <c r="C51" s="15" t="s">
        <v>44</v>
      </c>
      <c r="D51" s="15" t="s">
        <v>45</v>
      </c>
      <c r="E51" s="15" t="s">
        <v>360</v>
      </c>
      <c r="F51" s="16" t="s">
        <v>370</v>
      </c>
      <c r="G51" s="17">
        <v>44244.829351851855</v>
      </c>
      <c r="H51" s="15" t="s">
        <v>48</v>
      </c>
      <c r="I51" s="15">
        <v>8</v>
      </c>
      <c r="J51" s="100">
        <v>2.1</v>
      </c>
      <c r="K51" s="292" t="s">
        <v>108</v>
      </c>
      <c r="L51" s="8" t="s">
        <v>108</v>
      </c>
      <c r="M51" s="19">
        <v>1</v>
      </c>
      <c r="N51" s="10">
        <v>1</v>
      </c>
      <c r="O51" s="20"/>
      <c r="Q51" s="21"/>
      <c r="S51" s="18"/>
      <c r="U51" s="22"/>
    </row>
    <row r="52" spans="1:21" ht="16" x14ac:dyDescent="0.2">
      <c r="A52" s="15" t="s">
        <v>43</v>
      </c>
      <c r="B52" s="15">
        <v>260</v>
      </c>
      <c r="C52" s="15" t="s">
        <v>44</v>
      </c>
      <c r="D52" s="15" t="s">
        <v>45</v>
      </c>
      <c r="E52" s="15" t="s">
        <v>351</v>
      </c>
      <c r="F52" s="16" t="s">
        <v>371</v>
      </c>
      <c r="G52" s="17">
        <v>44244.829594907409</v>
      </c>
      <c r="H52" s="15" t="s">
        <v>48</v>
      </c>
      <c r="I52" s="15">
        <v>8</v>
      </c>
      <c r="J52" s="100">
        <v>2.1</v>
      </c>
      <c r="K52" s="292" t="s">
        <v>108</v>
      </c>
      <c r="L52" s="8" t="s">
        <v>108</v>
      </c>
      <c r="M52" s="19">
        <v>1</v>
      </c>
      <c r="N52" s="10">
        <v>1</v>
      </c>
      <c r="O52" s="20"/>
      <c r="Q52" s="21"/>
      <c r="S52" s="18"/>
      <c r="U52" s="22"/>
    </row>
    <row r="53" spans="1:21" ht="32" x14ac:dyDescent="0.2">
      <c r="A53" s="15" t="s">
        <v>43</v>
      </c>
      <c r="B53" s="15">
        <v>260</v>
      </c>
      <c r="C53" s="15" t="s">
        <v>44</v>
      </c>
      <c r="D53" s="15" t="s">
        <v>45</v>
      </c>
      <c r="E53" s="15" t="s">
        <v>360</v>
      </c>
      <c r="F53" s="16" t="s">
        <v>372</v>
      </c>
      <c r="G53" s="17">
        <v>44244.829907407409</v>
      </c>
      <c r="H53" s="15" t="s">
        <v>48</v>
      </c>
      <c r="I53" s="15">
        <v>8</v>
      </c>
      <c r="J53" s="100">
        <v>2.1</v>
      </c>
      <c r="K53" s="292" t="s">
        <v>346</v>
      </c>
      <c r="L53" s="8" t="s">
        <v>346</v>
      </c>
      <c r="M53" s="19">
        <v>1</v>
      </c>
      <c r="N53" s="10">
        <v>1</v>
      </c>
      <c r="O53" s="20"/>
      <c r="Q53" s="21"/>
      <c r="S53" s="18" t="s">
        <v>219</v>
      </c>
      <c r="U53" s="22"/>
    </row>
    <row r="54" spans="1:21" ht="16" x14ac:dyDescent="0.2">
      <c r="A54" s="15" t="s">
        <v>43</v>
      </c>
      <c r="B54" s="15">
        <v>260</v>
      </c>
      <c r="C54" s="15" t="s">
        <v>44</v>
      </c>
      <c r="D54" s="15" t="s">
        <v>45</v>
      </c>
      <c r="E54" s="15" t="s">
        <v>351</v>
      </c>
      <c r="F54" s="16" t="s">
        <v>373</v>
      </c>
      <c r="G54" s="17">
        <v>44244.830069444448</v>
      </c>
      <c r="H54" s="15" t="s">
        <v>48</v>
      </c>
      <c r="I54" s="15">
        <v>8</v>
      </c>
      <c r="J54" s="100">
        <v>2.1</v>
      </c>
      <c r="K54" s="292" t="s">
        <v>108</v>
      </c>
      <c r="L54" s="8" t="s">
        <v>108</v>
      </c>
      <c r="M54" s="19">
        <v>1</v>
      </c>
      <c r="N54" s="10">
        <v>1</v>
      </c>
      <c r="O54" s="20"/>
      <c r="Q54" s="21"/>
      <c r="S54" s="18"/>
      <c r="U54" s="22"/>
    </row>
    <row r="55" spans="1:21" ht="31" x14ac:dyDescent="0.2">
      <c r="A55" s="15" t="s">
        <v>43</v>
      </c>
      <c r="B55" s="15">
        <v>260</v>
      </c>
      <c r="C55" s="15" t="s">
        <v>44</v>
      </c>
      <c r="D55" s="15" t="s">
        <v>45</v>
      </c>
      <c r="E55" s="15" t="s">
        <v>353</v>
      </c>
      <c r="F55" s="16" t="s">
        <v>374</v>
      </c>
      <c r="G55" s="17">
        <v>44244.830358796295</v>
      </c>
      <c r="H55" s="15" t="s">
        <v>48</v>
      </c>
      <c r="I55" s="15">
        <v>10</v>
      </c>
      <c r="J55" s="100">
        <v>2.1</v>
      </c>
      <c r="K55" s="292" t="s">
        <v>52</v>
      </c>
      <c r="L55" s="8" t="s">
        <v>52</v>
      </c>
      <c r="M55" s="19">
        <v>1</v>
      </c>
      <c r="N55" s="10">
        <v>1</v>
      </c>
      <c r="O55" s="20" t="s">
        <v>302</v>
      </c>
      <c r="Q55" s="21"/>
      <c r="S55" s="18"/>
      <c r="U55" s="22"/>
    </row>
    <row r="56" spans="1:21" ht="127" x14ac:dyDescent="0.2">
      <c r="A56" s="15" t="s">
        <v>43</v>
      </c>
      <c r="B56" s="15">
        <v>260</v>
      </c>
      <c r="C56" s="15" t="s">
        <v>44</v>
      </c>
      <c r="D56" s="15" t="s">
        <v>45</v>
      </c>
      <c r="E56" s="15" t="s">
        <v>360</v>
      </c>
      <c r="F56" s="16" t="s">
        <v>375</v>
      </c>
      <c r="G56" s="17">
        <v>44244.830416666664</v>
      </c>
      <c r="H56" s="15" t="s">
        <v>48</v>
      </c>
      <c r="I56" s="15">
        <v>8</v>
      </c>
      <c r="J56" s="100">
        <v>2.1</v>
      </c>
      <c r="K56" s="292" t="s">
        <v>108</v>
      </c>
      <c r="L56" s="8" t="s">
        <v>108</v>
      </c>
      <c r="M56" s="19">
        <v>1</v>
      </c>
      <c r="N56" s="10">
        <v>1</v>
      </c>
      <c r="O56" s="20"/>
      <c r="Q56" s="21"/>
      <c r="S56" s="18" t="s">
        <v>109</v>
      </c>
      <c r="U56" s="24" t="s">
        <v>376</v>
      </c>
    </row>
    <row r="57" spans="1:21" ht="64" x14ac:dyDescent="0.2">
      <c r="A57" s="15" t="s">
        <v>43</v>
      </c>
      <c r="B57" s="15">
        <v>260</v>
      </c>
      <c r="C57" s="15" t="s">
        <v>44</v>
      </c>
      <c r="D57" s="15" t="s">
        <v>45</v>
      </c>
      <c r="E57" s="15" t="s">
        <v>360</v>
      </c>
      <c r="F57" s="16" t="s">
        <v>377</v>
      </c>
      <c r="G57" s="17">
        <v>44244.830821759257</v>
      </c>
      <c r="H57" s="15" t="s">
        <v>48</v>
      </c>
      <c r="I57" s="15">
        <v>8</v>
      </c>
      <c r="J57" s="100">
        <v>2.1</v>
      </c>
      <c r="K57" s="292" t="s">
        <v>52</v>
      </c>
      <c r="L57" s="8" t="s">
        <v>52</v>
      </c>
      <c r="M57" s="19">
        <v>1</v>
      </c>
      <c r="N57" s="10">
        <v>1</v>
      </c>
      <c r="O57" s="20" t="s">
        <v>58</v>
      </c>
      <c r="Q57" s="21"/>
      <c r="S57" s="18" t="s">
        <v>219</v>
      </c>
      <c r="U57" s="22" t="s">
        <v>378</v>
      </c>
    </row>
    <row r="58" spans="1:21" ht="32" x14ac:dyDescent="0.2">
      <c r="A58" s="15" t="s">
        <v>43</v>
      </c>
      <c r="B58" s="15">
        <v>260</v>
      </c>
      <c r="C58" s="15" t="s">
        <v>44</v>
      </c>
      <c r="D58" s="15" t="s">
        <v>45</v>
      </c>
      <c r="E58" s="15" t="s">
        <v>351</v>
      </c>
      <c r="F58" s="16" t="s">
        <v>379</v>
      </c>
      <c r="G58" s="17">
        <v>44244.831041666665</v>
      </c>
      <c r="H58" s="15" t="s">
        <v>48</v>
      </c>
      <c r="I58" s="15">
        <v>8</v>
      </c>
      <c r="J58" s="100">
        <v>2.1</v>
      </c>
      <c r="K58" s="292" t="s">
        <v>108</v>
      </c>
      <c r="L58" s="8" t="s">
        <v>108</v>
      </c>
      <c r="M58" s="19">
        <v>1</v>
      </c>
      <c r="N58" s="10">
        <v>1</v>
      </c>
      <c r="O58" s="20"/>
      <c r="Q58" s="21"/>
      <c r="S58" s="18" t="s">
        <v>109</v>
      </c>
      <c r="U58" s="22"/>
    </row>
    <row r="59" spans="1:21" ht="16" x14ac:dyDescent="0.2">
      <c r="A59" s="15" t="s">
        <v>43</v>
      </c>
      <c r="B59" s="15">
        <v>260</v>
      </c>
      <c r="C59" s="15" t="s">
        <v>44</v>
      </c>
      <c r="D59" s="15" t="s">
        <v>45</v>
      </c>
      <c r="E59" s="15" t="s">
        <v>353</v>
      </c>
      <c r="F59" s="16" t="s">
        <v>380</v>
      </c>
      <c r="G59" s="17">
        <v>44244.831400462965</v>
      </c>
      <c r="H59" s="15" t="s">
        <v>48</v>
      </c>
      <c r="I59" s="15">
        <v>10</v>
      </c>
      <c r="J59" s="100">
        <v>2.1</v>
      </c>
      <c r="K59" s="292" t="s">
        <v>108</v>
      </c>
      <c r="L59" s="8" t="s">
        <v>108</v>
      </c>
      <c r="M59" s="19">
        <v>1</v>
      </c>
      <c r="N59" s="10">
        <v>1</v>
      </c>
      <c r="O59" s="20"/>
      <c r="Q59" s="21"/>
      <c r="S59" s="18"/>
      <c r="U59" s="22"/>
    </row>
    <row r="60" spans="1:21" ht="16" x14ac:dyDescent="0.2">
      <c r="A60" s="15" t="s">
        <v>43</v>
      </c>
      <c r="B60" s="15">
        <v>260</v>
      </c>
      <c r="C60" s="15" t="s">
        <v>44</v>
      </c>
      <c r="D60" s="15" t="s">
        <v>45</v>
      </c>
      <c r="E60" s="15" t="s">
        <v>353</v>
      </c>
      <c r="F60" s="16" t="s">
        <v>381</v>
      </c>
      <c r="G60" s="17">
        <v>44244.831620370373</v>
      </c>
      <c r="H60" s="15" t="s">
        <v>48</v>
      </c>
      <c r="I60" s="15">
        <v>10</v>
      </c>
      <c r="J60" s="100">
        <v>2.1</v>
      </c>
      <c r="K60" s="292" t="s">
        <v>108</v>
      </c>
      <c r="L60" s="8" t="s">
        <v>108</v>
      </c>
      <c r="M60" s="19">
        <v>1</v>
      </c>
      <c r="N60" s="10">
        <v>1</v>
      </c>
      <c r="O60" s="20"/>
      <c r="Q60" s="21"/>
      <c r="S60" s="18"/>
      <c r="U60" s="22"/>
    </row>
    <row r="61" spans="1:21" ht="46" x14ac:dyDescent="0.2">
      <c r="A61" s="15" t="s">
        <v>43</v>
      </c>
      <c r="B61" s="15">
        <v>260</v>
      </c>
      <c r="C61" s="15" t="s">
        <v>44</v>
      </c>
      <c r="D61" s="15" t="s">
        <v>45</v>
      </c>
      <c r="E61" s="15" t="s">
        <v>360</v>
      </c>
      <c r="F61" s="16" t="s">
        <v>382</v>
      </c>
      <c r="G61" s="17">
        <v>44244.831909722219</v>
      </c>
      <c r="H61" s="15" t="s">
        <v>48</v>
      </c>
      <c r="I61" s="15">
        <v>8</v>
      </c>
      <c r="J61" s="100">
        <v>2.1</v>
      </c>
      <c r="K61" s="292" t="s">
        <v>108</v>
      </c>
      <c r="L61" s="8" t="s">
        <v>52</v>
      </c>
      <c r="M61" s="19">
        <v>1</v>
      </c>
      <c r="N61" s="10">
        <v>1</v>
      </c>
      <c r="O61" s="20"/>
      <c r="Q61" s="21"/>
      <c r="S61" s="18"/>
      <c r="T61" s="13" t="s">
        <v>219</v>
      </c>
      <c r="U61" s="22"/>
    </row>
    <row r="62" spans="1:21" ht="32" x14ac:dyDescent="0.2">
      <c r="A62" s="15" t="s">
        <v>43</v>
      </c>
      <c r="B62" s="15">
        <v>260</v>
      </c>
      <c r="C62" s="15" t="s">
        <v>44</v>
      </c>
      <c r="D62" s="15" t="s">
        <v>45</v>
      </c>
      <c r="E62" s="15" t="s">
        <v>360</v>
      </c>
      <c r="F62" s="16" t="s">
        <v>383</v>
      </c>
      <c r="G62" s="17">
        <v>44244.832245370373</v>
      </c>
      <c r="H62" s="15" t="s">
        <v>48</v>
      </c>
      <c r="I62" s="15">
        <v>8</v>
      </c>
      <c r="J62" s="100">
        <v>2.1</v>
      </c>
      <c r="K62" s="292" t="s">
        <v>52</v>
      </c>
      <c r="L62" s="8" t="s">
        <v>52</v>
      </c>
      <c r="M62" s="19">
        <v>1</v>
      </c>
      <c r="N62" s="10">
        <v>1</v>
      </c>
      <c r="O62" s="20"/>
      <c r="Q62" s="21"/>
      <c r="S62" s="18" t="s">
        <v>219</v>
      </c>
      <c r="U62" s="22"/>
    </row>
    <row r="63" spans="1:21" ht="61" x14ac:dyDescent="0.2">
      <c r="A63" s="15" t="s">
        <v>43</v>
      </c>
      <c r="B63" s="15">
        <v>260</v>
      </c>
      <c r="C63" s="15" t="s">
        <v>44</v>
      </c>
      <c r="D63" s="15" t="s">
        <v>45</v>
      </c>
      <c r="E63" s="15" t="s">
        <v>351</v>
      </c>
      <c r="F63" s="16" t="s">
        <v>384</v>
      </c>
      <c r="G63" s="17">
        <v>44244.832592592589</v>
      </c>
      <c r="H63" s="15" t="s">
        <v>48</v>
      </c>
      <c r="I63" s="15">
        <v>8</v>
      </c>
      <c r="J63" s="100">
        <v>2.1</v>
      </c>
      <c r="K63" s="292" t="s">
        <v>52</v>
      </c>
      <c r="L63" s="8" t="s">
        <v>108</v>
      </c>
      <c r="M63" s="19">
        <v>1</v>
      </c>
      <c r="N63" s="10">
        <v>1</v>
      </c>
      <c r="O63" s="20" t="s">
        <v>58</v>
      </c>
      <c r="P63" s="8" t="s">
        <v>58</v>
      </c>
      <c r="Q63" s="21"/>
      <c r="S63" s="18"/>
      <c r="T63" s="13" t="s">
        <v>109</v>
      </c>
      <c r="U63" s="22"/>
    </row>
    <row r="64" spans="1:21" ht="32" x14ac:dyDescent="0.2">
      <c r="A64" s="15" t="s">
        <v>43</v>
      </c>
      <c r="B64" s="15">
        <v>260</v>
      </c>
      <c r="C64" s="15" t="s">
        <v>44</v>
      </c>
      <c r="D64" s="15" t="s">
        <v>45</v>
      </c>
      <c r="E64" s="15" t="s">
        <v>360</v>
      </c>
      <c r="F64" s="16" t="s">
        <v>385</v>
      </c>
      <c r="G64" s="17">
        <v>44244.83289351852</v>
      </c>
      <c r="H64" s="15" t="s">
        <v>48</v>
      </c>
      <c r="I64" s="15">
        <v>8</v>
      </c>
      <c r="J64" s="100">
        <v>2.1</v>
      </c>
      <c r="K64" s="292" t="s">
        <v>108</v>
      </c>
      <c r="L64" s="8" t="s">
        <v>108</v>
      </c>
      <c r="M64" s="19">
        <v>1</v>
      </c>
      <c r="N64" s="10">
        <v>1</v>
      </c>
      <c r="O64" s="20"/>
      <c r="Q64" s="21" t="s">
        <v>112</v>
      </c>
      <c r="R64" s="10" t="s">
        <v>112</v>
      </c>
      <c r="S64" s="18" t="s">
        <v>109</v>
      </c>
      <c r="U64" s="22"/>
    </row>
    <row r="65" spans="1:21" ht="16" x14ac:dyDescent="0.2">
      <c r="A65" s="15" t="s">
        <v>43</v>
      </c>
      <c r="B65" s="15">
        <v>260</v>
      </c>
      <c r="C65" s="15" t="s">
        <v>44</v>
      </c>
      <c r="D65" s="15" t="s">
        <v>45</v>
      </c>
      <c r="E65" s="15" t="s">
        <v>351</v>
      </c>
      <c r="F65" s="16" t="s">
        <v>386</v>
      </c>
      <c r="G65" s="17">
        <v>44244.833136574074</v>
      </c>
      <c r="H65" s="15" t="s">
        <v>48</v>
      </c>
      <c r="I65" s="15">
        <v>8</v>
      </c>
      <c r="J65" s="100">
        <v>2.1</v>
      </c>
      <c r="K65" s="292" t="s">
        <v>108</v>
      </c>
      <c r="L65" s="8" t="s">
        <v>108</v>
      </c>
      <c r="M65" s="19">
        <v>1</v>
      </c>
      <c r="N65" s="10">
        <v>1</v>
      </c>
      <c r="O65" s="20"/>
      <c r="Q65" s="21"/>
      <c r="S65" s="18"/>
      <c r="U65" s="22"/>
    </row>
    <row r="66" spans="1:21" ht="16" x14ac:dyDescent="0.2">
      <c r="A66" s="15" t="s">
        <v>43</v>
      </c>
      <c r="B66" s="15">
        <v>260</v>
      </c>
      <c r="C66" s="15" t="s">
        <v>44</v>
      </c>
      <c r="D66" s="15" t="s">
        <v>45</v>
      </c>
      <c r="E66" s="15" t="s">
        <v>360</v>
      </c>
      <c r="F66" s="16" t="s">
        <v>387</v>
      </c>
      <c r="G66" s="17">
        <v>44244.833275462966</v>
      </c>
      <c r="H66" s="15" t="s">
        <v>48</v>
      </c>
      <c r="I66" s="15">
        <v>8</v>
      </c>
      <c r="J66" s="100">
        <v>2.1</v>
      </c>
      <c r="K66" s="292" t="s">
        <v>108</v>
      </c>
      <c r="L66" s="8" t="s">
        <v>108</v>
      </c>
      <c r="M66" s="19">
        <v>1</v>
      </c>
      <c r="N66" s="10">
        <v>1</v>
      </c>
      <c r="O66" s="20"/>
      <c r="Q66" s="21"/>
      <c r="S66" s="18"/>
      <c r="U66" s="22"/>
    </row>
    <row r="67" spans="1:21" ht="31" x14ac:dyDescent="0.2">
      <c r="A67" s="15" t="s">
        <v>43</v>
      </c>
      <c r="B67" s="15">
        <v>260</v>
      </c>
      <c r="C67" s="15" t="s">
        <v>44</v>
      </c>
      <c r="D67" s="15" t="s">
        <v>45</v>
      </c>
      <c r="E67" s="15" t="s">
        <v>353</v>
      </c>
      <c r="F67" s="16" t="s">
        <v>388</v>
      </c>
      <c r="G67" s="17">
        <v>44244.833564814813</v>
      </c>
      <c r="H67" s="15" t="s">
        <v>48</v>
      </c>
      <c r="I67" s="15">
        <v>10</v>
      </c>
      <c r="J67" s="100">
        <v>2.1</v>
      </c>
      <c r="K67" s="292" t="s">
        <v>108</v>
      </c>
      <c r="L67" s="8" t="s">
        <v>108</v>
      </c>
      <c r="M67" s="19">
        <v>1</v>
      </c>
      <c r="N67" s="10">
        <v>1</v>
      </c>
      <c r="O67" s="20" t="s">
        <v>331</v>
      </c>
      <c r="P67" s="8" t="s">
        <v>331</v>
      </c>
      <c r="Q67" s="21"/>
      <c r="R67" s="10" t="s">
        <v>74</v>
      </c>
      <c r="S67" s="18"/>
      <c r="U67" s="22"/>
    </row>
    <row r="68" spans="1:21" ht="16" x14ac:dyDescent="0.2">
      <c r="A68" s="15" t="s">
        <v>43</v>
      </c>
      <c r="B68" s="15">
        <v>260</v>
      </c>
      <c r="C68" s="15" t="s">
        <v>44</v>
      </c>
      <c r="D68" s="15" t="s">
        <v>45</v>
      </c>
      <c r="E68" s="15" t="s">
        <v>360</v>
      </c>
      <c r="F68" s="16" t="s">
        <v>389</v>
      </c>
      <c r="G68" s="17">
        <v>44244.834537037037</v>
      </c>
      <c r="H68" s="15" t="s">
        <v>48</v>
      </c>
      <c r="I68" s="15">
        <v>8</v>
      </c>
      <c r="J68" s="100">
        <v>2.1</v>
      </c>
      <c r="K68" s="292" t="s">
        <v>108</v>
      </c>
      <c r="L68" s="8" t="s">
        <v>108</v>
      </c>
      <c r="M68" s="19">
        <v>1</v>
      </c>
      <c r="N68" s="10">
        <v>1</v>
      </c>
      <c r="O68" s="20"/>
      <c r="Q68" s="21"/>
      <c r="S68" s="18"/>
      <c r="U68" s="22"/>
    </row>
    <row r="69" spans="1:21" ht="76" x14ac:dyDescent="0.2">
      <c r="A69" s="15" t="s">
        <v>43</v>
      </c>
      <c r="B69" s="15">
        <v>260</v>
      </c>
      <c r="C69" s="15" t="s">
        <v>44</v>
      </c>
      <c r="D69" s="15" t="s">
        <v>45</v>
      </c>
      <c r="E69" s="15" t="s">
        <v>353</v>
      </c>
      <c r="F69" s="16" t="s">
        <v>390</v>
      </c>
      <c r="G69" s="17">
        <v>44244.835185185184</v>
      </c>
      <c r="H69" s="15" t="s">
        <v>48</v>
      </c>
      <c r="I69" s="15">
        <v>10</v>
      </c>
      <c r="J69" s="100">
        <v>2.1</v>
      </c>
      <c r="K69" s="292" t="s">
        <v>52</v>
      </c>
      <c r="L69" s="8" t="s">
        <v>52</v>
      </c>
      <c r="M69" s="19">
        <v>2</v>
      </c>
      <c r="N69" s="10">
        <v>2</v>
      </c>
      <c r="O69" s="20"/>
      <c r="Q69" s="21"/>
      <c r="S69" s="18" t="s">
        <v>219</v>
      </c>
      <c r="U69" s="22"/>
    </row>
    <row r="70" spans="1:21" ht="16" x14ac:dyDescent="0.2">
      <c r="A70" s="15" t="s">
        <v>43</v>
      </c>
      <c r="B70" s="15">
        <v>260</v>
      </c>
      <c r="C70" s="15" t="s">
        <v>44</v>
      </c>
      <c r="D70" s="15" t="s">
        <v>45</v>
      </c>
      <c r="E70" s="15" t="s">
        <v>360</v>
      </c>
      <c r="F70" s="16" t="s">
        <v>391</v>
      </c>
      <c r="G70" s="17">
        <v>44244.835729166669</v>
      </c>
      <c r="H70" s="15" t="s">
        <v>48</v>
      </c>
      <c r="I70" s="15">
        <v>8</v>
      </c>
      <c r="J70" s="100">
        <v>2.1</v>
      </c>
      <c r="K70" s="292" t="s">
        <v>52</v>
      </c>
      <c r="L70" s="8" t="s">
        <v>52</v>
      </c>
      <c r="M70" s="19">
        <v>2</v>
      </c>
      <c r="N70" s="10">
        <v>2</v>
      </c>
      <c r="O70" s="20" t="s">
        <v>58</v>
      </c>
      <c r="Q70" s="21"/>
      <c r="S70" s="18"/>
      <c r="U70" s="22"/>
    </row>
    <row r="71" spans="1:21" ht="32" x14ac:dyDescent="0.2">
      <c r="A71" s="15" t="s">
        <v>43</v>
      </c>
      <c r="B71" s="15">
        <v>260</v>
      </c>
      <c r="C71" s="15" t="s">
        <v>44</v>
      </c>
      <c r="D71" s="15" t="s">
        <v>45</v>
      </c>
      <c r="E71" s="15" t="s">
        <v>353</v>
      </c>
      <c r="F71" s="16" t="s">
        <v>392</v>
      </c>
      <c r="G71" s="17">
        <v>44244.837256944447</v>
      </c>
      <c r="H71" s="15" t="s">
        <v>48</v>
      </c>
      <c r="I71" s="15">
        <v>10</v>
      </c>
      <c r="J71" s="100">
        <v>2.1</v>
      </c>
      <c r="K71" s="292" t="s">
        <v>108</v>
      </c>
      <c r="L71" s="8" t="s">
        <v>108</v>
      </c>
      <c r="M71" s="19">
        <v>2</v>
      </c>
      <c r="N71" s="10">
        <v>2</v>
      </c>
      <c r="O71" s="20"/>
      <c r="Q71" s="21" t="s">
        <v>112</v>
      </c>
      <c r="R71" s="10" t="s">
        <v>112</v>
      </c>
      <c r="S71" s="18" t="s">
        <v>109</v>
      </c>
      <c r="U71" s="22"/>
    </row>
    <row r="72" spans="1:21" ht="16" x14ac:dyDescent="0.2">
      <c r="A72" s="15" t="s">
        <v>43</v>
      </c>
      <c r="B72" s="15">
        <v>260</v>
      </c>
      <c r="C72" s="15" t="s">
        <v>44</v>
      </c>
      <c r="D72" s="15" t="s">
        <v>45</v>
      </c>
      <c r="E72" s="15" t="s">
        <v>360</v>
      </c>
      <c r="F72" s="16" t="s">
        <v>393</v>
      </c>
      <c r="G72" s="17">
        <v>44244.837500000001</v>
      </c>
      <c r="H72" s="15" t="s">
        <v>48</v>
      </c>
      <c r="I72" s="15">
        <v>8</v>
      </c>
      <c r="J72" s="100">
        <v>2.1</v>
      </c>
      <c r="K72" s="292" t="s">
        <v>108</v>
      </c>
      <c r="L72" s="8" t="s">
        <v>108</v>
      </c>
      <c r="M72" s="19">
        <v>2</v>
      </c>
      <c r="N72" s="10">
        <v>2</v>
      </c>
      <c r="O72" s="20"/>
      <c r="Q72" s="21"/>
      <c r="S72" s="18"/>
      <c r="U72" s="22"/>
    </row>
    <row r="73" spans="1:21" ht="16" x14ac:dyDescent="0.2">
      <c r="A73" s="15" t="s">
        <v>43</v>
      </c>
      <c r="B73" s="15">
        <v>260</v>
      </c>
      <c r="C73" s="15" t="s">
        <v>44</v>
      </c>
      <c r="D73" s="15" t="s">
        <v>45</v>
      </c>
      <c r="E73" s="15" t="s">
        <v>353</v>
      </c>
      <c r="F73" s="16" t="s">
        <v>394</v>
      </c>
      <c r="G73" s="17">
        <v>44244.838645833333</v>
      </c>
      <c r="H73" s="15" t="s">
        <v>48</v>
      </c>
      <c r="I73" s="15">
        <v>10</v>
      </c>
      <c r="J73" s="100">
        <v>2.1</v>
      </c>
      <c r="K73" s="292" t="s">
        <v>108</v>
      </c>
      <c r="L73" s="8" t="s">
        <v>108</v>
      </c>
      <c r="M73" s="19">
        <v>2</v>
      </c>
      <c r="N73" s="10">
        <v>2</v>
      </c>
      <c r="O73" s="20"/>
      <c r="Q73" s="21" t="s">
        <v>112</v>
      </c>
      <c r="R73" s="10" t="s">
        <v>74</v>
      </c>
      <c r="S73" s="18"/>
      <c r="U73" s="22"/>
    </row>
    <row r="74" spans="1:21" ht="16" x14ac:dyDescent="0.2">
      <c r="A74" s="15" t="s">
        <v>43</v>
      </c>
      <c r="B74" s="15">
        <v>260</v>
      </c>
      <c r="C74" s="15" t="s">
        <v>44</v>
      </c>
      <c r="D74" s="15" t="s">
        <v>45</v>
      </c>
      <c r="E74" s="15" t="s">
        <v>360</v>
      </c>
      <c r="F74" s="16" t="s">
        <v>395</v>
      </c>
      <c r="G74" s="17">
        <v>44244.838750000003</v>
      </c>
      <c r="H74" s="15" t="s">
        <v>48</v>
      </c>
      <c r="I74" s="15">
        <v>8</v>
      </c>
      <c r="J74" s="100">
        <v>2.1</v>
      </c>
      <c r="K74" s="292" t="s">
        <v>108</v>
      </c>
      <c r="L74" s="8" t="s">
        <v>52</v>
      </c>
      <c r="M74" s="19">
        <v>2</v>
      </c>
      <c r="N74" s="10">
        <v>2</v>
      </c>
      <c r="O74" s="20"/>
      <c r="Q74" s="21"/>
      <c r="S74" s="18"/>
      <c r="U74" s="22"/>
    </row>
    <row r="75" spans="1:21" ht="16" x14ac:dyDescent="0.2">
      <c r="A75" s="15" t="s">
        <v>43</v>
      </c>
      <c r="B75" s="15">
        <v>260</v>
      </c>
      <c r="C75" s="15" t="s">
        <v>44</v>
      </c>
      <c r="D75" s="15" t="s">
        <v>45</v>
      </c>
      <c r="E75" s="15" t="s">
        <v>360</v>
      </c>
      <c r="F75" s="16" t="s">
        <v>396</v>
      </c>
      <c r="G75" s="17">
        <v>44244.838888888888</v>
      </c>
      <c r="H75" s="15" t="s">
        <v>48</v>
      </c>
      <c r="I75" s="15">
        <v>8</v>
      </c>
      <c r="J75" s="100">
        <v>2.1</v>
      </c>
      <c r="K75" s="292" t="s">
        <v>108</v>
      </c>
      <c r="L75" s="8" t="s">
        <v>108</v>
      </c>
      <c r="M75" s="19">
        <v>2</v>
      </c>
      <c r="N75" s="10">
        <v>2</v>
      </c>
      <c r="O75" s="20"/>
      <c r="Q75" s="21"/>
      <c r="S75" s="18"/>
      <c r="U75" s="22"/>
    </row>
    <row r="76" spans="1:21" ht="16" x14ac:dyDescent="0.2">
      <c r="A76" s="15" t="s">
        <v>43</v>
      </c>
      <c r="B76" s="15">
        <v>260</v>
      </c>
      <c r="C76" s="15" t="s">
        <v>44</v>
      </c>
      <c r="D76" s="15" t="s">
        <v>45</v>
      </c>
      <c r="E76" s="15" t="s">
        <v>351</v>
      </c>
      <c r="F76" s="16" t="s">
        <v>397</v>
      </c>
      <c r="G76" s="17">
        <v>44244.839490740742</v>
      </c>
      <c r="H76" s="15" t="s">
        <v>48</v>
      </c>
      <c r="I76" s="15">
        <v>9</v>
      </c>
      <c r="J76" s="100">
        <v>2.1</v>
      </c>
      <c r="K76" s="292" t="s">
        <v>108</v>
      </c>
      <c r="L76" s="8" t="s">
        <v>108</v>
      </c>
      <c r="M76" s="19">
        <v>2</v>
      </c>
      <c r="N76" s="10">
        <v>2</v>
      </c>
      <c r="O76" s="20"/>
      <c r="Q76" s="21"/>
      <c r="S76" s="18"/>
      <c r="U76" s="22"/>
    </row>
    <row r="77" spans="1:21" ht="32" x14ac:dyDescent="0.2">
      <c r="A77" s="15" t="s">
        <v>43</v>
      </c>
      <c r="B77" s="15">
        <v>260</v>
      </c>
      <c r="C77" s="15" t="s">
        <v>44</v>
      </c>
      <c r="D77" s="15" t="s">
        <v>45</v>
      </c>
      <c r="E77" s="15" t="s">
        <v>360</v>
      </c>
      <c r="F77" s="16" t="s">
        <v>398</v>
      </c>
      <c r="G77" s="17">
        <v>44244.839571759258</v>
      </c>
      <c r="H77" s="15" t="s">
        <v>48</v>
      </c>
      <c r="I77" s="15">
        <v>8</v>
      </c>
      <c r="J77" s="100">
        <v>2.1</v>
      </c>
      <c r="K77" s="292" t="s">
        <v>52</v>
      </c>
      <c r="L77" s="8" t="s">
        <v>52</v>
      </c>
      <c r="M77" s="19">
        <v>2</v>
      </c>
      <c r="N77" s="10">
        <v>2</v>
      </c>
      <c r="O77" s="20"/>
      <c r="Q77" s="21"/>
      <c r="S77" s="18" t="s">
        <v>219</v>
      </c>
      <c r="U77" s="22"/>
    </row>
    <row r="78" spans="1:21" ht="16" x14ac:dyDescent="0.2">
      <c r="A78" s="15" t="s">
        <v>43</v>
      </c>
      <c r="B78" s="15">
        <v>260</v>
      </c>
      <c r="C78" s="15" t="s">
        <v>44</v>
      </c>
      <c r="D78" s="15" t="s">
        <v>45</v>
      </c>
      <c r="E78" s="15" t="s">
        <v>351</v>
      </c>
      <c r="F78" s="16" t="s">
        <v>399</v>
      </c>
      <c r="G78" s="17">
        <v>44244.839780092596</v>
      </c>
      <c r="H78" s="15" t="s">
        <v>48</v>
      </c>
      <c r="I78" s="15">
        <v>9</v>
      </c>
      <c r="J78" s="100">
        <v>2.1</v>
      </c>
      <c r="K78" s="292" t="s">
        <v>52</v>
      </c>
      <c r="L78" s="8" t="s">
        <v>52</v>
      </c>
      <c r="M78" s="19">
        <v>2</v>
      </c>
      <c r="N78" s="10">
        <v>2</v>
      </c>
      <c r="O78" s="20"/>
      <c r="Q78" s="21"/>
      <c r="S78" s="18"/>
      <c r="U78" s="22"/>
    </row>
    <row r="79" spans="1:21" ht="16" x14ac:dyDescent="0.2">
      <c r="A79" s="15" t="s">
        <v>43</v>
      </c>
      <c r="B79" s="15">
        <v>260</v>
      </c>
      <c r="C79" s="15" t="s">
        <v>44</v>
      </c>
      <c r="D79" s="15" t="s">
        <v>45</v>
      </c>
      <c r="E79" s="15" t="s">
        <v>353</v>
      </c>
      <c r="F79" s="16" t="s">
        <v>400</v>
      </c>
      <c r="G79" s="17">
        <v>44244.839988425927</v>
      </c>
      <c r="H79" s="15" t="s">
        <v>48</v>
      </c>
      <c r="I79" s="15">
        <v>10</v>
      </c>
      <c r="J79" s="100">
        <v>2.1</v>
      </c>
      <c r="K79" s="292" t="s">
        <v>52</v>
      </c>
      <c r="L79" s="8" t="s">
        <v>52</v>
      </c>
      <c r="M79" s="19">
        <v>2</v>
      </c>
      <c r="N79" s="10">
        <v>2</v>
      </c>
      <c r="O79" s="20"/>
      <c r="Q79" s="21"/>
      <c r="S79" s="18"/>
      <c r="U79" s="22"/>
    </row>
    <row r="80" spans="1:21" ht="32" x14ac:dyDescent="0.2">
      <c r="A80" s="15" t="s">
        <v>43</v>
      </c>
      <c r="B80" s="15">
        <v>260</v>
      </c>
      <c r="C80" s="15" t="s">
        <v>44</v>
      </c>
      <c r="D80" s="15" t="s">
        <v>45</v>
      </c>
      <c r="E80" s="15" t="s">
        <v>351</v>
      </c>
      <c r="F80" s="16" t="s">
        <v>401</v>
      </c>
      <c r="G80" s="17">
        <v>44244.84070601852</v>
      </c>
      <c r="H80" s="15" t="s">
        <v>48</v>
      </c>
      <c r="I80" s="15">
        <v>9</v>
      </c>
      <c r="J80" s="100">
        <v>2.1</v>
      </c>
      <c r="K80" s="292" t="s">
        <v>108</v>
      </c>
      <c r="L80" s="8" t="s">
        <v>108</v>
      </c>
      <c r="M80" s="19">
        <v>3</v>
      </c>
      <c r="N80" s="10">
        <v>3</v>
      </c>
      <c r="O80" s="20"/>
      <c r="Q80" s="21" t="s">
        <v>112</v>
      </c>
      <c r="S80" s="18" t="s">
        <v>109</v>
      </c>
      <c r="U80" s="22"/>
    </row>
    <row r="81" spans="1:21" ht="32" x14ac:dyDescent="0.2">
      <c r="A81" s="15" t="s">
        <v>43</v>
      </c>
      <c r="B81" s="15">
        <v>260</v>
      </c>
      <c r="C81" s="15" t="s">
        <v>44</v>
      </c>
      <c r="D81" s="15" t="s">
        <v>45</v>
      </c>
      <c r="E81" s="15" t="s">
        <v>351</v>
      </c>
      <c r="F81" s="16" t="s">
        <v>402</v>
      </c>
      <c r="G81" s="17">
        <v>44244.840868055559</v>
      </c>
      <c r="H81" s="15" t="s">
        <v>48</v>
      </c>
      <c r="I81" s="15">
        <v>9</v>
      </c>
      <c r="J81" s="100">
        <v>2.1</v>
      </c>
      <c r="K81" s="292" t="s">
        <v>52</v>
      </c>
      <c r="L81" s="8" t="s">
        <v>108</v>
      </c>
      <c r="M81" s="19">
        <v>3</v>
      </c>
      <c r="N81" s="10">
        <v>3</v>
      </c>
      <c r="O81" s="20"/>
      <c r="Q81" s="21"/>
      <c r="S81" s="18" t="s">
        <v>219</v>
      </c>
      <c r="U81" s="22"/>
    </row>
    <row r="82" spans="1:21" ht="32" x14ac:dyDescent="0.2">
      <c r="A82" s="15" t="s">
        <v>43</v>
      </c>
      <c r="B82" s="15">
        <v>260</v>
      </c>
      <c r="C82" s="15" t="s">
        <v>44</v>
      </c>
      <c r="D82" s="15" t="s">
        <v>45</v>
      </c>
      <c r="E82" s="15" t="s">
        <v>360</v>
      </c>
      <c r="F82" s="16" t="s">
        <v>403</v>
      </c>
      <c r="G82" s="17">
        <v>44244.841620370367</v>
      </c>
      <c r="H82" s="15" t="s">
        <v>48</v>
      </c>
      <c r="I82" s="15">
        <v>10</v>
      </c>
      <c r="J82" s="100">
        <v>2.1</v>
      </c>
      <c r="K82" s="292" t="s">
        <v>108</v>
      </c>
      <c r="L82" s="8" t="s">
        <v>108</v>
      </c>
      <c r="M82" s="19">
        <v>3</v>
      </c>
      <c r="N82" s="10">
        <v>3</v>
      </c>
      <c r="O82" s="20"/>
      <c r="Q82" s="21"/>
      <c r="S82" s="18" t="s">
        <v>109</v>
      </c>
      <c r="U82" s="22"/>
    </row>
    <row r="83" spans="1:21" ht="46" x14ac:dyDescent="0.2">
      <c r="A83" s="15" t="s">
        <v>43</v>
      </c>
      <c r="B83" s="15">
        <v>260</v>
      </c>
      <c r="C83" s="15" t="s">
        <v>44</v>
      </c>
      <c r="D83" s="15" t="s">
        <v>45</v>
      </c>
      <c r="E83" s="15" t="s">
        <v>353</v>
      </c>
      <c r="F83" s="16" t="s">
        <v>404</v>
      </c>
      <c r="G83" s="17">
        <v>44244.84170138889</v>
      </c>
      <c r="H83" s="15" t="s">
        <v>48</v>
      </c>
      <c r="I83" s="15">
        <v>10</v>
      </c>
      <c r="J83" s="100">
        <v>2.1</v>
      </c>
      <c r="K83" s="292" t="s">
        <v>108</v>
      </c>
      <c r="L83" s="8" t="s">
        <v>108</v>
      </c>
      <c r="M83" s="19">
        <v>3</v>
      </c>
      <c r="N83" s="10">
        <v>3</v>
      </c>
      <c r="O83" s="20"/>
      <c r="Q83" s="21"/>
      <c r="S83" s="18"/>
      <c r="U83" s="22"/>
    </row>
    <row r="84" spans="1:21" ht="16" x14ac:dyDescent="0.2">
      <c r="A84" s="15" t="s">
        <v>43</v>
      </c>
      <c r="B84" s="15">
        <v>260</v>
      </c>
      <c r="C84" s="15" t="s">
        <v>44</v>
      </c>
      <c r="D84" s="15" t="s">
        <v>45</v>
      </c>
      <c r="E84" s="15" t="s">
        <v>360</v>
      </c>
      <c r="F84" s="16" t="s">
        <v>405</v>
      </c>
      <c r="G84" s="17">
        <v>44244.842002314814</v>
      </c>
      <c r="H84" s="15" t="s">
        <v>48</v>
      </c>
      <c r="I84" s="15">
        <v>10</v>
      </c>
      <c r="J84" s="100">
        <v>2.1</v>
      </c>
      <c r="K84" s="292" t="s">
        <v>108</v>
      </c>
      <c r="L84" s="8" t="s">
        <v>108</v>
      </c>
      <c r="M84" s="19">
        <v>3</v>
      </c>
      <c r="N84" s="10">
        <v>3</v>
      </c>
      <c r="O84" s="20"/>
      <c r="Q84" s="21"/>
      <c r="S84" s="18"/>
      <c r="U84" s="22"/>
    </row>
    <row r="85" spans="1:21" ht="31" x14ac:dyDescent="0.2">
      <c r="A85" s="15" t="s">
        <v>43</v>
      </c>
      <c r="B85" s="15">
        <v>260</v>
      </c>
      <c r="C85" s="15" t="s">
        <v>44</v>
      </c>
      <c r="D85" s="15" t="s">
        <v>45</v>
      </c>
      <c r="E85" s="15" t="s">
        <v>353</v>
      </c>
      <c r="F85" s="16" t="s">
        <v>406</v>
      </c>
      <c r="G85" s="17">
        <v>44244.842430555553</v>
      </c>
      <c r="H85" s="15" t="s">
        <v>48</v>
      </c>
      <c r="I85" s="15">
        <v>10</v>
      </c>
      <c r="J85" s="100">
        <v>2.1</v>
      </c>
      <c r="K85" s="292" t="s">
        <v>108</v>
      </c>
      <c r="L85" s="8" t="s">
        <v>108</v>
      </c>
      <c r="M85" s="19">
        <v>3</v>
      </c>
      <c r="N85" s="10">
        <v>3</v>
      </c>
      <c r="O85" s="20"/>
      <c r="Q85" s="21"/>
      <c r="R85" s="10" t="s">
        <v>112</v>
      </c>
      <c r="S85" s="18"/>
      <c r="U85" s="22"/>
    </row>
    <row r="86" spans="1:21" ht="16" x14ac:dyDescent="0.2">
      <c r="A86" s="15" t="s">
        <v>43</v>
      </c>
      <c r="B86" s="15">
        <v>260</v>
      </c>
      <c r="C86" s="15" t="s">
        <v>44</v>
      </c>
      <c r="D86" s="15" t="s">
        <v>45</v>
      </c>
      <c r="E86" s="15" t="s">
        <v>360</v>
      </c>
      <c r="F86" s="16" t="s">
        <v>407</v>
      </c>
      <c r="G86" s="17">
        <v>44244.842638888891</v>
      </c>
      <c r="H86" s="15" t="s">
        <v>48</v>
      </c>
      <c r="I86" s="15">
        <v>10</v>
      </c>
      <c r="J86" s="100">
        <v>2.1</v>
      </c>
      <c r="K86" s="292" t="s">
        <v>108</v>
      </c>
      <c r="L86" s="8" t="s">
        <v>108</v>
      </c>
      <c r="M86" s="19">
        <v>3</v>
      </c>
      <c r="N86" s="10">
        <v>3</v>
      </c>
      <c r="O86" s="20"/>
      <c r="Q86" s="21"/>
      <c r="S86" s="18"/>
      <c r="U86" s="22"/>
    </row>
    <row r="87" spans="1:21" ht="16" x14ac:dyDescent="0.2">
      <c r="A87" s="15" t="s">
        <v>43</v>
      </c>
      <c r="B87" s="15">
        <v>260</v>
      </c>
      <c r="C87" s="15" t="s">
        <v>44</v>
      </c>
      <c r="D87" s="15" t="s">
        <v>45</v>
      </c>
      <c r="E87" s="15" t="s">
        <v>351</v>
      </c>
      <c r="F87" s="16" t="s">
        <v>408</v>
      </c>
      <c r="G87" s="17">
        <v>44244.842685185184</v>
      </c>
      <c r="H87" s="15" t="s">
        <v>48</v>
      </c>
      <c r="I87" s="15">
        <v>10</v>
      </c>
      <c r="J87" s="100">
        <v>2.1</v>
      </c>
      <c r="K87" s="292" t="s">
        <v>108</v>
      </c>
      <c r="L87" s="8" t="s">
        <v>108</v>
      </c>
      <c r="M87" s="19">
        <v>3</v>
      </c>
      <c r="N87" s="10">
        <v>3</v>
      </c>
      <c r="O87" s="20"/>
      <c r="Q87" s="21"/>
      <c r="S87" s="18"/>
      <c r="U87" s="22"/>
    </row>
    <row r="88" spans="1:21" ht="16" x14ac:dyDescent="0.2">
      <c r="A88" s="15" t="s">
        <v>43</v>
      </c>
      <c r="B88" s="15">
        <v>260</v>
      </c>
      <c r="C88" s="15" t="s">
        <v>44</v>
      </c>
      <c r="D88" s="15" t="s">
        <v>45</v>
      </c>
      <c r="E88" s="15" t="s">
        <v>353</v>
      </c>
      <c r="F88" s="16" t="s">
        <v>409</v>
      </c>
      <c r="G88" s="17">
        <v>44244.842951388891</v>
      </c>
      <c r="H88" s="15" t="s">
        <v>48</v>
      </c>
      <c r="I88" s="15">
        <v>10</v>
      </c>
      <c r="J88" s="100">
        <v>2.1</v>
      </c>
      <c r="K88" s="292" t="s">
        <v>108</v>
      </c>
      <c r="L88" s="8" t="s">
        <v>108</v>
      </c>
      <c r="M88" s="19">
        <v>3</v>
      </c>
      <c r="N88" s="10">
        <v>3</v>
      </c>
      <c r="O88" s="20"/>
      <c r="Q88" s="21"/>
      <c r="S88" s="18"/>
      <c r="U88" s="22"/>
    </row>
    <row r="89" spans="1:21" ht="16" x14ac:dyDescent="0.2">
      <c r="A89" s="15" t="s">
        <v>43</v>
      </c>
      <c r="B89" s="15">
        <v>260</v>
      </c>
      <c r="C89" s="15" t="s">
        <v>44</v>
      </c>
      <c r="D89" s="15" t="s">
        <v>45</v>
      </c>
      <c r="E89" s="15" t="s">
        <v>351</v>
      </c>
      <c r="F89" s="16" t="s">
        <v>67</v>
      </c>
      <c r="G89" s="17">
        <v>44244.843425925923</v>
      </c>
      <c r="H89" s="15" t="s">
        <v>48</v>
      </c>
      <c r="I89" s="15">
        <v>10</v>
      </c>
      <c r="J89" s="100">
        <v>2.1</v>
      </c>
      <c r="K89" s="292" t="s">
        <v>108</v>
      </c>
      <c r="L89" s="8" t="s">
        <v>108</v>
      </c>
      <c r="M89" s="19">
        <v>3</v>
      </c>
      <c r="N89" s="10">
        <v>3</v>
      </c>
      <c r="O89" s="20"/>
      <c r="Q89" s="21"/>
      <c r="S89" s="18"/>
      <c r="U89" s="22"/>
    </row>
    <row r="90" spans="1:21" ht="16" x14ac:dyDescent="0.2">
      <c r="A90" s="15" t="s">
        <v>43</v>
      </c>
      <c r="B90" s="15">
        <v>260</v>
      </c>
      <c r="C90" s="15" t="s">
        <v>44</v>
      </c>
      <c r="D90" s="15" t="s">
        <v>45</v>
      </c>
      <c r="E90" s="15" t="s">
        <v>353</v>
      </c>
      <c r="F90" s="16" t="s">
        <v>410</v>
      </c>
      <c r="G90" s="17">
        <v>44244.843622685185</v>
      </c>
      <c r="H90" s="15" t="s">
        <v>48</v>
      </c>
      <c r="I90" s="15">
        <v>10</v>
      </c>
      <c r="J90" s="100">
        <v>2.1</v>
      </c>
      <c r="K90" s="292" t="s">
        <v>108</v>
      </c>
      <c r="L90" s="8" t="s">
        <v>108</v>
      </c>
      <c r="M90" s="19">
        <v>3</v>
      </c>
      <c r="N90" s="10">
        <v>3</v>
      </c>
      <c r="O90" s="20"/>
      <c r="Q90" s="21" t="s">
        <v>112</v>
      </c>
      <c r="R90" s="10" t="s">
        <v>261</v>
      </c>
      <c r="S90" s="18"/>
      <c r="U90" s="22"/>
    </row>
    <row r="91" spans="1:21" ht="31" x14ac:dyDescent="0.2">
      <c r="A91" s="15" t="s">
        <v>43</v>
      </c>
      <c r="B91" s="15">
        <v>260</v>
      </c>
      <c r="C91" s="15" t="s">
        <v>44</v>
      </c>
      <c r="D91" s="15" t="s">
        <v>45</v>
      </c>
      <c r="E91" s="15" t="s">
        <v>351</v>
      </c>
      <c r="F91" s="16" t="s">
        <v>411</v>
      </c>
      <c r="G91" s="17">
        <v>44244.843807870369</v>
      </c>
      <c r="H91" s="15" t="s">
        <v>48</v>
      </c>
      <c r="I91" s="15">
        <v>10</v>
      </c>
      <c r="J91" s="100">
        <v>2.1</v>
      </c>
      <c r="K91" s="292" t="s">
        <v>108</v>
      </c>
      <c r="L91" s="8" t="s">
        <v>108</v>
      </c>
      <c r="M91" s="19">
        <v>3</v>
      </c>
      <c r="N91" s="10">
        <v>3</v>
      </c>
      <c r="O91" s="20"/>
      <c r="Q91" s="21"/>
      <c r="S91" s="18"/>
      <c r="U91" s="22"/>
    </row>
    <row r="92" spans="1:21" ht="32" x14ac:dyDescent="0.2">
      <c r="A92" s="15" t="s">
        <v>43</v>
      </c>
      <c r="B92" s="15">
        <v>260</v>
      </c>
      <c r="C92" s="15" t="s">
        <v>44</v>
      </c>
      <c r="D92" s="15" t="s">
        <v>45</v>
      </c>
      <c r="E92" s="15" t="s">
        <v>353</v>
      </c>
      <c r="F92" s="16" t="s">
        <v>412</v>
      </c>
      <c r="G92" s="17">
        <v>44244.844212962962</v>
      </c>
      <c r="H92" s="15" t="s">
        <v>48</v>
      </c>
      <c r="I92" s="15">
        <v>10</v>
      </c>
      <c r="J92" s="100">
        <v>2.1</v>
      </c>
      <c r="K92" s="292" t="s">
        <v>49</v>
      </c>
      <c r="L92" s="8" t="s">
        <v>108</v>
      </c>
      <c r="M92" s="23"/>
      <c r="O92" s="20"/>
      <c r="Q92" s="21"/>
      <c r="S92" s="18" t="s">
        <v>123</v>
      </c>
      <c r="U92" s="22"/>
    </row>
    <row r="93" spans="1:21" ht="32" x14ac:dyDescent="0.2">
      <c r="A93" s="15" t="s">
        <v>43</v>
      </c>
      <c r="B93" s="15">
        <v>260</v>
      </c>
      <c r="C93" s="15" t="s">
        <v>44</v>
      </c>
      <c r="D93" s="15" t="s">
        <v>45</v>
      </c>
      <c r="E93" s="15" t="s">
        <v>351</v>
      </c>
      <c r="F93" s="16" t="s">
        <v>413</v>
      </c>
      <c r="G93" s="17">
        <v>44244.844328703701</v>
      </c>
      <c r="H93" s="15" t="s">
        <v>48</v>
      </c>
      <c r="I93" s="15">
        <v>10</v>
      </c>
      <c r="J93" s="100">
        <v>2.1</v>
      </c>
      <c r="K93" s="292" t="s">
        <v>108</v>
      </c>
      <c r="L93" s="8" t="s">
        <v>108</v>
      </c>
      <c r="M93" s="23"/>
      <c r="O93" s="20"/>
      <c r="Q93" s="21"/>
      <c r="S93" s="18" t="s">
        <v>216</v>
      </c>
      <c r="U93" s="22"/>
    </row>
    <row r="94" spans="1:21" ht="32" x14ac:dyDescent="0.2">
      <c r="A94" s="15" t="s">
        <v>43</v>
      </c>
      <c r="B94" s="15">
        <v>260</v>
      </c>
      <c r="C94" s="15" t="s">
        <v>44</v>
      </c>
      <c r="D94" s="15" t="s">
        <v>45</v>
      </c>
      <c r="E94" s="15" t="s">
        <v>360</v>
      </c>
      <c r="F94" s="16" t="s">
        <v>414</v>
      </c>
      <c r="G94" s="17">
        <v>44244.844618055555</v>
      </c>
      <c r="H94" s="15" t="s">
        <v>48</v>
      </c>
      <c r="I94" s="15">
        <v>10</v>
      </c>
      <c r="J94" s="100">
        <v>2.1</v>
      </c>
      <c r="K94" s="292" t="s">
        <v>49</v>
      </c>
      <c r="L94" s="8" t="s">
        <v>49</v>
      </c>
      <c r="M94" s="23"/>
      <c r="O94" s="20"/>
      <c r="Q94" s="21"/>
      <c r="S94" s="18" t="s">
        <v>123</v>
      </c>
      <c r="U94" s="22"/>
    </row>
    <row r="95" spans="1:21" ht="16" x14ac:dyDescent="0.2">
      <c r="A95" s="15" t="s">
        <v>43</v>
      </c>
      <c r="B95" s="15">
        <v>260</v>
      </c>
      <c r="C95" s="15" t="s">
        <v>44</v>
      </c>
      <c r="D95" s="15" t="s">
        <v>45</v>
      </c>
      <c r="E95" s="15" t="s">
        <v>353</v>
      </c>
      <c r="F95" s="16" t="s">
        <v>415</v>
      </c>
      <c r="G95" s="17">
        <v>44244.844641203701</v>
      </c>
      <c r="H95" s="15" t="s">
        <v>48</v>
      </c>
      <c r="I95" s="15">
        <v>10</v>
      </c>
      <c r="J95" s="100">
        <v>2.1</v>
      </c>
      <c r="K95" s="292" t="s">
        <v>49</v>
      </c>
      <c r="L95" s="8" t="s">
        <v>49</v>
      </c>
      <c r="M95" s="23"/>
      <c r="O95" s="20"/>
      <c r="Q95" s="21"/>
      <c r="S95" s="18"/>
      <c r="U95" s="22"/>
    </row>
    <row r="96" spans="1:21" ht="16" x14ac:dyDescent="0.2">
      <c r="A96" s="15" t="s">
        <v>43</v>
      </c>
      <c r="B96" s="15">
        <v>260</v>
      </c>
      <c r="C96" s="15" t="s">
        <v>44</v>
      </c>
      <c r="D96" s="15" t="s">
        <v>45</v>
      </c>
      <c r="E96" s="15" t="s">
        <v>351</v>
      </c>
      <c r="F96" s="16" t="s">
        <v>416</v>
      </c>
      <c r="G96" s="17">
        <v>44244.844861111109</v>
      </c>
      <c r="H96" s="15" t="s">
        <v>48</v>
      </c>
      <c r="I96" s="15">
        <v>10</v>
      </c>
      <c r="J96" s="100">
        <v>2.1</v>
      </c>
      <c r="K96" s="292" t="s">
        <v>49</v>
      </c>
      <c r="L96" s="8" t="s">
        <v>49</v>
      </c>
      <c r="M96" s="23"/>
      <c r="O96" s="20"/>
      <c r="Q96" s="21"/>
      <c r="S96" s="18"/>
      <c r="U96" s="22"/>
    </row>
    <row r="97" spans="1:21" ht="16" x14ac:dyDescent="0.2">
      <c r="A97" s="15" t="s">
        <v>43</v>
      </c>
      <c r="B97" s="15">
        <v>260</v>
      </c>
      <c r="C97" s="15" t="s">
        <v>44</v>
      </c>
      <c r="D97" s="15" t="s">
        <v>45</v>
      </c>
      <c r="E97" s="15" t="s">
        <v>360</v>
      </c>
      <c r="F97" s="16" t="s">
        <v>417</v>
      </c>
      <c r="G97" s="17">
        <v>44244.845243055555</v>
      </c>
      <c r="H97" s="15" t="s">
        <v>48</v>
      </c>
      <c r="I97" s="15">
        <v>10</v>
      </c>
      <c r="J97" s="100">
        <v>2.1</v>
      </c>
      <c r="K97" s="292" t="s">
        <v>49</v>
      </c>
      <c r="L97" s="8" t="s">
        <v>49</v>
      </c>
      <c r="M97" s="23"/>
      <c r="O97" s="20"/>
      <c r="Q97" s="21"/>
      <c r="S97" s="18"/>
      <c r="U97" s="22"/>
    </row>
    <row r="98" spans="1:21" ht="16" x14ac:dyDescent="0.2">
      <c r="A98" s="15" t="s">
        <v>43</v>
      </c>
      <c r="B98" s="15">
        <v>260</v>
      </c>
      <c r="C98" s="15" t="s">
        <v>44</v>
      </c>
      <c r="D98" s="15" t="s">
        <v>45</v>
      </c>
      <c r="E98" s="15" t="s">
        <v>351</v>
      </c>
      <c r="F98" s="16" t="s">
        <v>418</v>
      </c>
      <c r="G98" s="17">
        <v>44244.845416666663</v>
      </c>
      <c r="H98" s="15" t="s">
        <v>48</v>
      </c>
      <c r="I98" s="15">
        <v>10</v>
      </c>
      <c r="J98" s="100">
        <v>2.1</v>
      </c>
      <c r="K98" s="292" t="s">
        <v>49</v>
      </c>
      <c r="L98" s="8" t="s">
        <v>49</v>
      </c>
      <c r="M98" s="23"/>
      <c r="O98" s="20"/>
      <c r="Q98" s="21"/>
      <c r="S98" s="18"/>
      <c r="U98" s="22"/>
    </row>
    <row r="99" spans="1:21" ht="76" x14ac:dyDescent="0.2">
      <c r="A99" s="15" t="s">
        <v>43</v>
      </c>
      <c r="B99" s="15">
        <v>260</v>
      </c>
      <c r="C99" s="15" t="s">
        <v>44</v>
      </c>
      <c r="D99" s="15" t="s">
        <v>70</v>
      </c>
      <c r="E99" s="15" t="s">
        <v>419</v>
      </c>
      <c r="F99" s="16" t="s">
        <v>420</v>
      </c>
      <c r="G99" s="17">
        <v>44242.728946759256</v>
      </c>
      <c r="H99" s="15" t="s">
        <v>48</v>
      </c>
      <c r="I99" s="15">
        <v>10</v>
      </c>
      <c r="J99" s="100">
        <v>2.2000000000000002</v>
      </c>
      <c r="K99" s="7" t="s">
        <v>52</v>
      </c>
      <c r="L99" s="8" t="s">
        <v>52</v>
      </c>
      <c r="M99" s="25">
        <v>1</v>
      </c>
      <c r="N99" s="10">
        <v>1</v>
      </c>
      <c r="O99" s="7"/>
      <c r="Q99" s="26"/>
      <c r="S99" s="27"/>
      <c r="U99" s="14"/>
    </row>
    <row r="100" spans="1:21" ht="106" x14ac:dyDescent="0.2">
      <c r="A100" s="15" t="s">
        <v>43</v>
      </c>
      <c r="B100" s="15">
        <v>260</v>
      </c>
      <c r="C100" s="15" t="s">
        <v>44</v>
      </c>
      <c r="D100" s="15" t="s">
        <v>70</v>
      </c>
      <c r="E100" s="15" t="s">
        <v>421</v>
      </c>
      <c r="F100" s="16" t="s">
        <v>422</v>
      </c>
      <c r="G100" s="17">
        <v>44244.365219907406</v>
      </c>
      <c r="H100" s="15" t="s">
        <v>48</v>
      </c>
      <c r="I100" s="15">
        <v>10</v>
      </c>
      <c r="J100" s="100">
        <v>2.2000000000000002</v>
      </c>
      <c r="K100" s="28" t="s">
        <v>52</v>
      </c>
      <c r="L100" s="8" t="s">
        <v>52</v>
      </c>
      <c r="M100" s="29">
        <v>1</v>
      </c>
      <c r="N100" s="10">
        <v>1</v>
      </c>
      <c r="O100" s="28" t="s">
        <v>58</v>
      </c>
      <c r="P100" s="8" t="s">
        <v>58</v>
      </c>
      <c r="Q100" s="30"/>
      <c r="S100" s="31"/>
    </row>
    <row r="101" spans="1:21" ht="76" x14ac:dyDescent="0.2">
      <c r="A101" s="15" t="s">
        <v>43</v>
      </c>
      <c r="B101" s="15">
        <v>260</v>
      </c>
      <c r="C101" s="15" t="s">
        <v>44</v>
      </c>
      <c r="D101" s="15" t="s">
        <v>70</v>
      </c>
      <c r="E101" s="15" t="s">
        <v>421</v>
      </c>
      <c r="F101" s="16" t="s">
        <v>423</v>
      </c>
      <c r="G101" s="17">
        <v>44244.369560185187</v>
      </c>
      <c r="H101" s="15" t="s">
        <v>48</v>
      </c>
      <c r="I101" s="15">
        <v>10</v>
      </c>
      <c r="J101" s="100">
        <v>2.2000000000000002</v>
      </c>
      <c r="K101" s="32" t="s">
        <v>52</v>
      </c>
      <c r="L101" s="8" t="s">
        <v>52</v>
      </c>
      <c r="M101" s="33">
        <v>1</v>
      </c>
      <c r="N101" s="10">
        <v>1</v>
      </c>
      <c r="O101" s="32"/>
      <c r="Q101" s="34"/>
      <c r="S101" s="35"/>
    </row>
    <row r="102" spans="1:21" ht="241" x14ac:dyDescent="0.2">
      <c r="A102" s="15" t="s">
        <v>43</v>
      </c>
      <c r="B102" s="15">
        <v>260</v>
      </c>
      <c r="C102" s="15" t="s">
        <v>44</v>
      </c>
      <c r="D102" s="15" t="s">
        <v>70</v>
      </c>
      <c r="E102" s="15" t="s">
        <v>424</v>
      </c>
      <c r="F102" s="16" t="s">
        <v>425</v>
      </c>
      <c r="G102" s="17">
        <v>44248.709768518522</v>
      </c>
      <c r="H102" s="15" t="s">
        <v>48</v>
      </c>
      <c r="J102" s="100">
        <v>2.2000000000000002</v>
      </c>
      <c r="K102" s="32" t="s">
        <v>426</v>
      </c>
      <c r="L102" s="8" t="s">
        <v>52</v>
      </c>
      <c r="M102" s="33">
        <v>1</v>
      </c>
      <c r="N102" s="10">
        <v>1</v>
      </c>
      <c r="O102" s="32" t="s">
        <v>427</v>
      </c>
      <c r="P102" s="8" t="s">
        <v>428</v>
      </c>
      <c r="Q102" s="34" t="s">
        <v>309</v>
      </c>
      <c r="R102" s="10" t="s">
        <v>309</v>
      </c>
      <c r="S102" s="35" t="s">
        <v>243</v>
      </c>
    </row>
    <row r="103" spans="1:21" ht="76" x14ac:dyDescent="0.2">
      <c r="A103" s="15" t="s">
        <v>43</v>
      </c>
      <c r="B103" s="15">
        <v>260</v>
      </c>
      <c r="C103" s="15" t="s">
        <v>44</v>
      </c>
      <c r="D103" s="15" t="s">
        <v>70</v>
      </c>
      <c r="E103" s="15" t="s">
        <v>424</v>
      </c>
      <c r="F103" s="16" t="s">
        <v>429</v>
      </c>
      <c r="G103" s="17">
        <v>44248.716493055559</v>
      </c>
      <c r="H103" s="15" t="s">
        <v>48</v>
      </c>
      <c r="I103" s="15">
        <v>10</v>
      </c>
      <c r="J103" s="100">
        <v>2.2000000000000002</v>
      </c>
      <c r="K103" s="32" t="s">
        <v>68</v>
      </c>
      <c r="L103" s="8" t="s">
        <v>68</v>
      </c>
      <c r="M103" s="33">
        <v>1</v>
      </c>
      <c r="N103" s="10">
        <v>1</v>
      </c>
      <c r="O103" s="32"/>
      <c r="Q103" s="34"/>
      <c r="S103" s="35" t="s">
        <v>66</v>
      </c>
    </row>
    <row r="104" spans="1:21" ht="121" x14ac:dyDescent="0.2">
      <c r="A104" s="15" t="s">
        <v>43</v>
      </c>
      <c r="B104" s="15">
        <v>260</v>
      </c>
      <c r="C104" s="15" t="s">
        <v>44</v>
      </c>
      <c r="D104" s="15" t="s">
        <v>70</v>
      </c>
      <c r="E104" s="15" t="s">
        <v>424</v>
      </c>
      <c r="F104" s="16" t="s">
        <v>430</v>
      </c>
      <c r="G104" s="17">
        <v>44248.730844907404</v>
      </c>
      <c r="H104" s="15" t="s">
        <v>48</v>
      </c>
      <c r="I104" s="15">
        <v>10</v>
      </c>
      <c r="J104" s="100">
        <v>2.2000000000000002</v>
      </c>
      <c r="K104" s="32" t="s">
        <v>431</v>
      </c>
      <c r="L104" s="8" t="s">
        <v>52</v>
      </c>
      <c r="M104" s="33">
        <v>1</v>
      </c>
      <c r="N104" s="10">
        <v>1</v>
      </c>
      <c r="O104" s="32"/>
      <c r="Q104" s="34" t="s">
        <v>432</v>
      </c>
      <c r="R104" s="10" t="s">
        <v>74</v>
      </c>
      <c r="S104" s="35" t="s">
        <v>433</v>
      </c>
    </row>
    <row r="105" spans="1:21" ht="61" x14ac:dyDescent="0.2">
      <c r="A105" s="15" t="s">
        <v>43</v>
      </c>
      <c r="B105" s="15">
        <v>260</v>
      </c>
      <c r="C105" s="15" t="s">
        <v>44</v>
      </c>
      <c r="D105" s="15" t="s">
        <v>70</v>
      </c>
      <c r="E105" s="15" t="s">
        <v>424</v>
      </c>
      <c r="F105" s="16" t="s">
        <v>434</v>
      </c>
      <c r="G105" s="17">
        <v>44248.878067129626</v>
      </c>
      <c r="H105" s="15" t="s">
        <v>48</v>
      </c>
      <c r="I105" s="15">
        <v>10</v>
      </c>
      <c r="J105" s="100">
        <v>2.2000000000000002</v>
      </c>
      <c r="K105" s="32" t="s">
        <v>435</v>
      </c>
      <c r="L105" s="8" t="s">
        <v>108</v>
      </c>
      <c r="M105" s="33">
        <v>1</v>
      </c>
      <c r="N105" s="10">
        <v>1</v>
      </c>
      <c r="O105" s="32"/>
      <c r="Q105" s="34"/>
      <c r="S105" s="35" t="s">
        <v>436</v>
      </c>
    </row>
    <row r="106" spans="1:21" ht="61" x14ac:dyDescent="0.2">
      <c r="A106" s="15" t="s">
        <v>43</v>
      </c>
      <c r="B106" s="15">
        <v>260</v>
      </c>
      <c r="C106" s="15" t="s">
        <v>44</v>
      </c>
      <c r="D106" s="15" t="s">
        <v>70</v>
      </c>
      <c r="E106" s="15" t="s">
        <v>421</v>
      </c>
      <c r="F106" s="16" t="s">
        <v>437</v>
      </c>
      <c r="G106" s="17">
        <v>44249.340949074074</v>
      </c>
      <c r="H106" s="15" t="s">
        <v>48</v>
      </c>
      <c r="I106" s="15">
        <v>10</v>
      </c>
      <c r="J106" s="100">
        <v>2.2000000000000002</v>
      </c>
      <c r="K106" s="32" t="s">
        <v>431</v>
      </c>
      <c r="L106" s="8" t="s">
        <v>52</v>
      </c>
      <c r="M106" s="33">
        <v>1</v>
      </c>
      <c r="N106" s="10">
        <v>1</v>
      </c>
      <c r="O106" s="32" t="s">
        <v>58</v>
      </c>
      <c r="P106" s="8" t="s">
        <v>58</v>
      </c>
      <c r="Q106" s="34" t="s">
        <v>74</v>
      </c>
      <c r="R106" s="10" t="s">
        <v>74</v>
      </c>
      <c r="S106" s="35" t="s">
        <v>438</v>
      </c>
      <c r="T106" s="13" t="s">
        <v>66</v>
      </c>
    </row>
    <row r="107" spans="1:21" ht="61" x14ac:dyDescent="0.2">
      <c r="A107" s="15" t="s">
        <v>43</v>
      </c>
      <c r="B107" s="15">
        <v>260</v>
      </c>
      <c r="C107" s="15" t="s">
        <v>44</v>
      </c>
      <c r="D107" s="15" t="s">
        <v>70</v>
      </c>
      <c r="E107" s="15" t="s">
        <v>421</v>
      </c>
      <c r="F107" s="16" t="s">
        <v>439</v>
      </c>
      <c r="G107" s="17">
        <v>44249.34302083333</v>
      </c>
      <c r="H107" s="15" t="s">
        <v>48</v>
      </c>
      <c r="I107" s="15">
        <v>10</v>
      </c>
      <c r="J107" s="100">
        <v>2.2000000000000002</v>
      </c>
      <c r="K107" s="32" t="s">
        <v>68</v>
      </c>
      <c r="L107" s="8" t="s">
        <v>68</v>
      </c>
      <c r="M107" s="33">
        <v>2</v>
      </c>
      <c r="N107" s="10">
        <v>2</v>
      </c>
      <c r="O107" s="32"/>
      <c r="Q107" s="34"/>
      <c r="S107" s="35" t="s">
        <v>440</v>
      </c>
    </row>
    <row r="108" spans="1:21" ht="226" x14ac:dyDescent="0.2">
      <c r="A108" s="15" t="s">
        <v>43</v>
      </c>
      <c r="B108" s="15">
        <v>260</v>
      </c>
      <c r="C108" s="15" t="s">
        <v>44</v>
      </c>
      <c r="D108" s="15" t="s">
        <v>70</v>
      </c>
      <c r="E108" s="15" t="s">
        <v>424</v>
      </c>
      <c r="F108" s="16" t="s">
        <v>441</v>
      </c>
      <c r="G108" s="17">
        <v>44249.758298611108</v>
      </c>
      <c r="H108" s="15" t="s">
        <v>48</v>
      </c>
      <c r="I108" s="15">
        <v>10</v>
      </c>
      <c r="J108" s="100">
        <v>2.2000000000000002</v>
      </c>
      <c r="K108" s="32" t="s">
        <v>68</v>
      </c>
      <c r="L108" s="8" t="s">
        <v>68</v>
      </c>
      <c r="M108" s="33">
        <v>2</v>
      </c>
      <c r="N108" s="10">
        <v>2</v>
      </c>
      <c r="O108" s="32"/>
      <c r="Q108" s="34"/>
      <c r="S108" s="35" t="s">
        <v>442</v>
      </c>
    </row>
    <row r="109" spans="1:21" ht="16" x14ac:dyDescent="0.2">
      <c r="A109" s="15" t="s">
        <v>43</v>
      </c>
      <c r="B109" s="15">
        <v>260</v>
      </c>
      <c r="C109" s="15" t="s">
        <v>44</v>
      </c>
      <c r="D109" s="15" t="s">
        <v>70</v>
      </c>
      <c r="E109" s="15" t="s">
        <v>421</v>
      </c>
      <c r="F109" s="16" t="s">
        <v>443</v>
      </c>
      <c r="G109" s="17">
        <v>44250.385416666664</v>
      </c>
      <c r="H109" s="15" t="s">
        <v>48</v>
      </c>
      <c r="I109" s="15">
        <v>10</v>
      </c>
      <c r="J109" s="100">
        <v>2.2000000000000002</v>
      </c>
      <c r="K109" s="32" t="s">
        <v>68</v>
      </c>
      <c r="L109" s="8" t="s">
        <v>68</v>
      </c>
      <c r="M109" s="33">
        <v>2</v>
      </c>
      <c r="N109" s="10">
        <v>2</v>
      </c>
      <c r="O109" s="32"/>
      <c r="Q109" s="34"/>
      <c r="S109" s="35"/>
    </row>
    <row r="110" spans="1:21" ht="16" x14ac:dyDescent="0.2">
      <c r="A110" s="15" t="s">
        <v>43</v>
      </c>
      <c r="B110" s="15">
        <v>260</v>
      </c>
      <c r="C110" s="15" t="s">
        <v>44</v>
      </c>
      <c r="D110" s="15" t="s">
        <v>70</v>
      </c>
      <c r="E110" s="15" t="s">
        <v>424</v>
      </c>
      <c r="F110" s="16" t="s">
        <v>444</v>
      </c>
      <c r="G110" s="17">
        <v>44250.518449074072</v>
      </c>
      <c r="H110" s="15" t="s">
        <v>48</v>
      </c>
      <c r="I110" s="15">
        <v>10</v>
      </c>
      <c r="J110" s="100">
        <v>2.2000000000000002</v>
      </c>
      <c r="K110" s="32" t="s">
        <v>68</v>
      </c>
      <c r="L110" s="8" t="s">
        <v>68</v>
      </c>
      <c r="M110" s="33">
        <v>2</v>
      </c>
      <c r="N110" s="10">
        <v>2</v>
      </c>
      <c r="O110" s="32"/>
      <c r="Q110" s="34"/>
      <c r="S110" s="35"/>
    </row>
    <row r="111" spans="1:21" ht="31" x14ac:dyDescent="0.2">
      <c r="A111" s="15" t="s">
        <v>43</v>
      </c>
      <c r="B111" s="15">
        <v>260</v>
      </c>
      <c r="C111" s="15" t="s">
        <v>44</v>
      </c>
      <c r="D111" s="15" t="s">
        <v>70</v>
      </c>
      <c r="E111" s="15" t="s">
        <v>424</v>
      </c>
      <c r="F111" s="16" t="s">
        <v>445</v>
      </c>
      <c r="G111" s="17">
        <v>44251.364710648151</v>
      </c>
      <c r="H111" s="15" t="s">
        <v>48</v>
      </c>
      <c r="I111" s="15">
        <v>10</v>
      </c>
      <c r="J111" s="100">
        <v>2.2000000000000002</v>
      </c>
      <c r="K111" s="32" t="s">
        <v>49</v>
      </c>
      <c r="L111" s="8" t="s">
        <v>49</v>
      </c>
      <c r="M111" s="33">
        <v>3</v>
      </c>
      <c r="N111" s="10">
        <v>3</v>
      </c>
      <c r="O111" s="32"/>
      <c r="Q111" s="34"/>
      <c r="S111" s="35" t="s">
        <v>214</v>
      </c>
    </row>
    <row r="112" spans="1:21" ht="16" x14ac:dyDescent="0.2">
      <c r="A112" s="15" t="s">
        <v>43</v>
      </c>
      <c r="B112" s="15">
        <v>260</v>
      </c>
      <c r="C112" s="15" t="s">
        <v>44</v>
      </c>
      <c r="D112" s="15" t="s">
        <v>70</v>
      </c>
      <c r="E112" s="15" t="s">
        <v>421</v>
      </c>
      <c r="F112" s="16" t="s">
        <v>446</v>
      </c>
      <c r="G112" s="17">
        <v>44251.372986111113</v>
      </c>
      <c r="H112" s="15" t="s">
        <v>48</v>
      </c>
      <c r="I112" s="15">
        <v>10</v>
      </c>
      <c r="J112" s="100">
        <v>2.2000000000000002</v>
      </c>
      <c r="K112" s="32" t="s">
        <v>49</v>
      </c>
      <c r="L112" s="8" t="s">
        <v>49</v>
      </c>
      <c r="M112" s="33">
        <v>3</v>
      </c>
      <c r="N112" s="10">
        <v>3</v>
      </c>
      <c r="O112" s="32"/>
      <c r="Q112" s="34"/>
      <c r="S112" s="35"/>
    </row>
    <row r="113" spans="1:20" ht="76" x14ac:dyDescent="0.2">
      <c r="A113" s="15" t="s">
        <v>43</v>
      </c>
      <c r="B113" s="15">
        <v>260</v>
      </c>
      <c r="C113" s="15" t="s">
        <v>44</v>
      </c>
      <c r="D113" s="15" t="s">
        <v>70</v>
      </c>
      <c r="E113" s="15" t="s">
        <v>424</v>
      </c>
      <c r="F113" s="16" t="s">
        <v>447</v>
      </c>
      <c r="G113" s="17">
        <v>44251.374027777776</v>
      </c>
      <c r="H113" s="15" t="s">
        <v>48</v>
      </c>
      <c r="I113" s="15">
        <v>10</v>
      </c>
      <c r="J113" s="100">
        <v>2.2000000000000002</v>
      </c>
      <c r="K113" s="32" t="s">
        <v>68</v>
      </c>
      <c r="L113" s="8" t="s">
        <v>68</v>
      </c>
      <c r="M113" s="33">
        <v>3</v>
      </c>
      <c r="N113" s="10">
        <v>3</v>
      </c>
      <c r="O113" s="32"/>
      <c r="Q113" s="34"/>
      <c r="S113" s="35" t="s">
        <v>126</v>
      </c>
      <c r="T113" s="13" t="s">
        <v>126</v>
      </c>
    </row>
    <row r="114" spans="1:20" ht="16" x14ac:dyDescent="0.2">
      <c r="A114" s="15" t="s">
        <v>43</v>
      </c>
      <c r="B114" s="15">
        <v>260</v>
      </c>
      <c r="C114" s="15" t="s">
        <v>44</v>
      </c>
      <c r="D114" s="15" t="s">
        <v>70</v>
      </c>
      <c r="E114" s="15" t="s">
        <v>424</v>
      </c>
      <c r="F114" s="16" t="s">
        <v>448</v>
      </c>
      <c r="G114" s="17">
        <v>44251.374849537038</v>
      </c>
      <c r="H114" s="15" t="s">
        <v>48</v>
      </c>
      <c r="I114" s="15">
        <v>10</v>
      </c>
      <c r="J114" s="100">
        <v>2.2000000000000002</v>
      </c>
      <c r="K114" s="32" t="s">
        <v>68</v>
      </c>
      <c r="L114" s="8" t="s">
        <v>68</v>
      </c>
      <c r="M114" s="33">
        <v>3</v>
      </c>
      <c r="N114" s="10">
        <v>3</v>
      </c>
      <c r="O114" s="32"/>
      <c r="Q114" s="34" t="s">
        <v>112</v>
      </c>
      <c r="R114" s="10" t="s">
        <v>112</v>
      </c>
      <c r="S114" s="35"/>
    </row>
    <row r="115" spans="1:20" ht="46" x14ac:dyDescent="0.2">
      <c r="A115" s="15" t="s">
        <v>43</v>
      </c>
      <c r="B115" s="15">
        <v>260</v>
      </c>
      <c r="C115" s="15" t="s">
        <v>44</v>
      </c>
      <c r="D115" s="15" t="s">
        <v>70</v>
      </c>
      <c r="E115" s="15" t="s">
        <v>421</v>
      </c>
      <c r="F115" s="16" t="s">
        <v>449</v>
      </c>
      <c r="G115" s="17">
        <v>44251.374884259261</v>
      </c>
      <c r="H115" s="15" t="s">
        <v>48</v>
      </c>
      <c r="I115" s="15">
        <v>10</v>
      </c>
      <c r="J115" s="100">
        <v>2.2000000000000002</v>
      </c>
      <c r="K115" s="32" t="s">
        <v>68</v>
      </c>
      <c r="L115" s="8" t="s">
        <v>68</v>
      </c>
      <c r="M115" s="33">
        <v>3</v>
      </c>
      <c r="N115" s="10">
        <v>3</v>
      </c>
      <c r="O115" s="32"/>
      <c r="Q115" s="34"/>
      <c r="S115" s="35"/>
    </row>
    <row r="116" spans="1:20" ht="16" x14ac:dyDescent="0.2">
      <c r="A116" s="15" t="s">
        <v>43</v>
      </c>
      <c r="B116" s="15">
        <v>260</v>
      </c>
      <c r="C116" s="15" t="s">
        <v>44</v>
      </c>
      <c r="D116" s="15" t="s">
        <v>70</v>
      </c>
      <c r="E116" s="15" t="s">
        <v>421</v>
      </c>
      <c r="F116" s="16" t="s">
        <v>450</v>
      </c>
      <c r="G116" s="17">
        <v>44251.375011574077</v>
      </c>
      <c r="H116" s="15" t="s">
        <v>48</v>
      </c>
      <c r="I116" s="15">
        <v>10</v>
      </c>
      <c r="J116" s="100">
        <v>2.2000000000000002</v>
      </c>
      <c r="K116" s="32" t="s">
        <v>68</v>
      </c>
      <c r="L116" s="8" t="s">
        <v>68</v>
      </c>
      <c r="M116" s="33">
        <v>3</v>
      </c>
      <c r="N116" s="10">
        <v>3</v>
      </c>
      <c r="O116" s="32" t="s">
        <v>58</v>
      </c>
      <c r="P116" s="8" t="s">
        <v>58</v>
      </c>
      <c r="Q116" s="34"/>
      <c r="S116" s="35"/>
    </row>
    <row r="117" spans="1:20" ht="31" x14ac:dyDescent="0.2">
      <c r="A117" s="15" t="s">
        <v>43</v>
      </c>
      <c r="B117" s="15">
        <v>260</v>
      </c>
      <c r="C117" s="15" t="s">
        <v>44</v>
      </c>
      <c r="D117" s="15" t="s">
        <v>70</v>
      </c>
      <c r="E117" s="15" t="s">
        <v>424</v>
      </c>
      <c r="F117" s="16" t="s">
        <v>451</v>
      </c>
      <c r="G117" s="17">
        <v>44251.375821759262</v>
      </c>
      <c r="H117" s="15" t="s">
        <v>48</v>
      </c>
      <c r="I117" s="15">
        <v>10</v>
      </c>
      <c r="J117" s="100">
        <v>2.2000000000000002</v>
      </c>
      <c r="K117" s="32" t="s">
        <v>68</v>
      </c>
      <c r="L117" s="8" t="s">
        <v>68</v>
      </c>
      <c r="M117" s="33">
        <v>3</v>
      </c>
      <c r="N117" s="10">
        <v>3</v>
      </c>
      <c r="O117" s="32"/>
      <c r="Q117" s="34" t="s">
        <v>112</v>
      </c>
      <c r="R117" s="10" t="s">
        <v>112</v>
      </c>
      <c r="S117" s="35"/>
    </row>
    <row r="118" spans="1:20" ht="16" x14ac:dyDescent="0.2">
      <c r="A118" s="15" t="s">
        <v>43</v>
      </c>
      <c r="B118" s="15">
        <v>260</v>
      </c>
      <c r="C118" s="15" t="s">
        <v>44</v>
      </c>
      <c r="D118" s="15" t="s">
        <v>70</v>
      </c>
      <c r="E118" s="15" t="s">
        <v>424</v>
      </c>
      <c r="F118" s="16" t="s">
        <v>452</v>
      </c>
      <c r="G118" s="17">
        <v>44251.376111111109</v>
      </c>
      <c r="H118" s="15" t="s">
        <v>48</v>
      </c>
      <c r="I118" s="15">
        <v>10</v>
      </c>
      <c r="J118" s="100">
        <v>2.2000000000000002</v>
      </c>
      <c r="K118" s="32" t="s">
        <v>68</v>
      </c>
      <c r="L118" s="8" t="s">
        <v>68</v>
      </c>
      <c r="M118" s="33">
        <v>3</v>
      </c>
      <c r="N118" s="10">
        <v>3</v>
      </c>
      <c r="O118" s="32"/>
      <c r="Q118" s="34"/>
      <c r="S118" s="35"/>
    </row>
    <row r="119" spans="1:20" ht="45" x14ac:dyDescent="0.15">
      <c r="A119" s="15" t="s">
        <v>43</v>
      </c>
      <c r="B119" s="15">
        <v>260</v>
      </c>
      <c r="C119" s="15" t="s">
        <v>44</v>
      </c>
      <c r="D119" s="15" t="s">
        <v>70</v>
      </c>
      <c r="E119" s="15" t="s">
        <v>424</v>
      </c>
      <c r="F119" s="16" t="s">
        <v>453</v>
      </c>
      <c r="G119" s="17">
        <v>44251.37699074074</v>
      </c>
      <c r="H119" s="15" t="s">
        <v>48</v>
      </c>
      <c r="I119" s="15">
        <v>10</v>
      </c>
      <c r="J119" s="100">
        <v>2.2000000000000002</v>
      </c>
      <c r="K119" s="32" t="s">
        <v>49</v>
      </c>
      <c r="L119" s="8" t="s">
        <v>49</v>
      </c>
      <c r="M119" s="34">
        <v>3</v>
      </c>
      <c r="N119" s="10">
        <v>3</v>
      </c>
      <c r="O119" s="32"/>
      <c r="Q119" s="34"/>
      <c r="S119" s="35" t="s">
        <v>454</v>
      </c>
      <c r="T119" s="13" t="s">
        <v>214</v>
      </c>
    </row>
    <row r="120" spans="1:20" ht="30" x14ac:dyDescent="0.15">
      <c r="A120" s="15" t="s">
        <v>43</v>
      </c>
      <c r="B120" s="15">
        <v>260</v>
      </c>
      <c r="C120" s="15" t="s">
        <v>44</v>
      </c>
      <c r="D120" s="15" t="s">
        <v>70</v>
      </c>
      <c r="E120" s="15" t="s">
        <v>421</v>
      </c>
      <c r="F120" s="16" t="s">
        <v>455</v>
      </c>
      <c r="G120" s="17">
        <v>44251.377083333333</v>
      </c>
      <c r="H120" s="15" t="s">
        <v>48</v>
      </c>
      <c r="I120" s="15">
        <v>10</v>
      </c>
      <c r="J120" s="100">
        <v>2.2000000000000002</v>
      </c>
      <c r="K120" s="32" t="s">
        <v>49</v>
      </c>
      <c r="L120" s="8" t="s">
        <v>456</v>
      </c>
      <c r="M120" s="34">
        <v>3</v>
      </c>
      <c r="N120" s="10">
        <v>3</v>
      </c>
      <c r="O120" s="32"/>
      <c r="P120" s="8" t="s">
        <v>58</v>
      </c>
      <c r="Q120" s="34"/>
      <c r="S120" s="35"/>
    </row>
    <row r="121" spans="1:20" ht="15" x14ac:dyDescent="0.15">
      <c r="A121" s="15" t="s">
        <v>43</v>
      </c>
      <c r="B121" s="15">
        <v>260</v>
      </c>
      <c r="C121" s="15" t="s">
        <v>44</v>
      </c>
      <c r="D121" s="15" t="s">
        <v>70</v>
      </c>
      <c r="E121" s="15" t="s">
        <v>421</v>
      </c>
      <c r="F121" s="16" t="s">
        <v>457</v>
      </c>
      <c r="G121" s="17">
        <v>44251.377314814818</v>
      </c>
      <c r="H121" s="15" t="s">
        <v>48</v>
      </c>
      <c r="I121" s="15">
        <v>10</v>
      </c>
      <c r="J121" s="100">
        <v>2.2000000000000002</v>
      </c>
      <c r="K121" s="32" t="s">
        <v>49</v>
      </c>
      <c r="L121" s="8" t="s">
        <v>49</v>
      </c>
      <c r="M121" s="34">
        <v>3</v>
      </c>
      <c r="N121" s="10">
        <v>3</v>
      </c>
      <c r="O121" s="32"/>
      <c r="Q121" s="34"/>
      <c r="S121" s="35"/>
    </row>
    <row r="122" spans="1:20" ht="15" x14ac:dyDescent="0.15">
      <c r="A122" s="15" t="s">
        <v>43</v>
      </c>
      <c r="B122" s="15">
        <v>260</v>
      </c>
      <c r="C122" s="15" t="s">
        <v>44</v>
      </c>
      <c r="D122" s="15" t="s">
        <v>70</v>
      </c>
      <c r="E122" s="15" t="s">
        <v>424</v>
      </c>
      <c r="F122" s="16" t="s">
        <v>458</v>
      </c>
      <c r="G122" s="17">
        <v>44251.377372685187</v>
      </c>
      <c r="H122" s="15" t="s">
        <v>48</v>
      </c>
      <c r="I122" s="15">
        <v>10</v>
      </c>
      <c r="J122" s="100">
        <v>2.2000000000000002</v>
      </c>
      <c r="K122" s="36" t="s">
        <v>49</v>
      </c>
      <c r="L122" s="37" t="s">
        <v>49</v>
      </c>
      <c r="M122" s="38">
        <v>3</v>
      </c>
      <c r="N122" s="39">
        <v>3</v>
      </c>
      <c r="O122" s="36"/>
      <c r="P122" s="37"/>
      <c r="Q122" s="38"/>
      <c r="R122" s="39"/>
      <c r="S122" s="40"/>
      <c r="T122" s="41"/>
    </row>
    <row r="123" spans="1:20" ht="61" x14ac:dyDescent="0.2">
      <c r="A123" s="15" t="s">
        <v>43</v>
      </c>
      <c r="B123" s="15">
        <v>260</v>
      </c>
      <c r="C123" s="15" t="s">
        <v>44</v>
      </c>
      <c r="D123" s="15" t="s">
        <v>153</v>
      </c>
      <c r="E123" s="15" t="s">
        <v>459</v>
      </c>
      <c r="F123" s="16" t="s">
        <v>460</v>
      </c>
      <c r="G123" s="17">
        <v>44244.404027777775</v>
      </c>
      <c r="H123" s="15" t="s">
        <v>48</v>
      </c>
      <c r="I123" s="15">
        <v>10</v>
      </c>
      <c r="J123" s="100">
        <v>2.2999999999999998</v>
      </c>
      <c r="K123" s="18" t="s">
        <v>52</v>
      </c>
      <c r="L123" s="42" t="s">
        <v>52</v>
      </c>
      <c r="M123" s="43">
        <v>1</v>
      </c>
      <c r="N123" s="44">
        <v>1</v>
      </c>
      <c r="O123" s="18"/>
      <c r="P123" s="42"/>
      <c r="Q123" s="21"/>
      <c r="R123" s="44"/>
      <c r="S123" s="18"/>
      <c r="T123" s="45" t="s">
        <v>219</v>
      </c>
    </row>
    <row r="124" spans="1:20" ht="16" x14ac:dyDescent="0.2">
      <c r="A124" s="15" t="s">
        <v>43</v>
      </c>
      <c r="B124" s="15">
        <v>260</v>
      </c>
      <c r="C124" s="15" t="s">
        <v>44</v>
      </c>
      <c r="D124" s="15" t="s">
        <v>153</v>
      </c>
      <c r="E124" s="15" t="s">
        <v>459</v>
      </c>
      <c r="F124" s="16" t="s">
        <v>461</v>
      </c>
      <c r="G124" s="17">
        <v>44245.463923611111</v>
      </c>
      <c r="H124" s="15" t="s">
        <v>48</v>
      </c>
      <c r="I124" s="15">
        <v>10</v>
      </c>
      <c r="J124" s="100">
        <v>2.2999999999999998</v>
      </c>
      <c r="K124" s="18" t="s">
        <v>52</v>
      </c>
      <c r="L124" s="42" t="s">
        <v>52</v>
      </c>
      <c r="M124" s="43">
        <v>1</v>
      </c>
      <c r="N124" s="44">
        <v>1</v>
      </c>
      <c r="O124" s="18"/>
      <c r="P124" s="42"/>
      <c r="Q124" s="21"/>
      <c r="R124" s="44"/>
      <c r="S124" s="18"/>
      <c r="T124" s="45"/>
    </row>
    <row r="125" spans="1:20" ht="211" x14ac:dyDescent="0.2">
      <c r="A125" s="15" t="s">
        <v>43</v>
      </c>
      <c r="B125" s="15">
        <v>260</v>
      </c>
      <c r="C125" s="15" t="s">
        <v>44</v>
      </c>
      <c r="D125" s="15" t="s">
        <v>153</v>
      </c>
      <c r="E125" s="15" t="s">
        <v>462</v>
      </c>
      <c r="F125" s="16" t="s">
        <v>463</v>
      </c>
      <c r="G125" s="17">
        <v>44247.689629629633</v>
      </c>
      <c r="H125" s="15" t="s">
        <v>48</v>
      </c>
      <c r="I125" s="15">
        <v>10</v>
      </c>
      <c r="J125" s="100">
        <v>2.2999999999999998</v>
      </c>
      <c r="K125" s="18" t="s">
        <v>52</v>
      </c>
      <c r="L125" s="42" t="s">
        <v>52</v>
      </c>
      <c r="M125" s="43">
        <v>1</v>
      </c>
      <c r="N125" s="44">
        <v>1</v>
      </c>
      <c r="O125" s="18" t="s">
        <v>305</v>
      </c>
      <c r="P125" s="42"/>
      <c r="Q125" s="21"/>
      <c r="R125" s="44"/>
      <c r="S125" s="18"/>
      <c r="T125" s="45"/>
    </row>
    <row r="126" spans="1:20" ht="16" x14ac:dyDescent="0.2">
      <c r="A126" s="15" t="s">
        <v>43</v>
      </c>
      <c r="B126" s="15">
        <v>260</v>
      </c>
      <c r="C126" s="15" t="s">
        <v>44</v>
      </c>
      <c r="D126" s="15" t="s">
        <v>153</v>
      </c>
      <c r="E126" s="15" t="s">
        <v>462</v>
      </c>
      <c r="F126" s="16" t="s">
        <v>464</v>
      </c>
      <c r="G126" s="17">
        <v>44247.690057870372</v>
      </c>
      <c r="H126" s="15" t="s">
        <v>48</v>
      </c>
      <c r="I126" s="15">
        <v>10</v>
      </c>
      <c r="J126" s="100">
        <v>2.2999999999999998</v>
      </c>
      <c r="K126" s="18" t="s">
        <v>52</v>
      </c>
      <c r="L126" s="42" t="s">
        <v>52</v>
      </c>
      <c r="M126" s="43">
        <v>1</v>
      </c>
      <c r="N126" s="44">
        <v>1</v>
      </c>
      <c r="O126" s="18"/>
      <c r="P126" s="42"/>
      <c r="Q126" s="21"/>
      <c r="R126" s="44"/>
      <c r="S126" s="18"/>
      <c r="T126" s="45"/>
    </row>
    <row r="127" spans="1:20" ht="136" x14ac:dyDescent="0.2">
      <c r="A127" s="15" t="s">
        <v>43</v>
      </c>
      <c r="B127" s="15">
        <v>260</v>
      </c>
      <c r="C127" s="15" t="s">
        <v>44</v>
      </c>
      <c r="D127" s="15" t="s">
        <v>153</v>
      </c>
      <c r="E127" s="15" t="s">
        <v>465</v>
      </c>
      <c r="F127" s="16" t="s">
        <v>466</v>
      </c>
      <c r="G127" s="17">
        <v>44250.832592592589</v>
      </c>
      <c r="H127" s="15" t="s">
        <v>48</v>
      </c>
      <c r="I127" s="15">
        <v>10</v>
      </c>
      <c r="J127" s="100">
        <v>2.2999999999999998</v>
      </c>
      <c r="K127" s="18" t="s">
        <v>52</v>
      </c>
      <c r="L127" s="42" t="s">
        <v>52</v>
      </c>
      <c r="M127" s="43">
        <v>1</v>
      </c>
      <c r="N127" s="44">
        <v>1</v>
      </c>
      <c r="O127" s="18" t="s">
        <v>427</v>
      </c>
      <c r="P127" s="42" t="s">
        <v>427</v>
      </c>
      <c r="Q127" s="21"/>
      <c r="R127" s="44"/>
      <c r="S127" s="18"/>
      <c r="T127" s="45"/>
    </row>
    <row r="128" spans="1:20" ht="31" x14ac:dyDescent="0.2">
      <c r="A128" s="15" t="s">
        <v>43</v>
      </c>
      <c r="B128" s="15">
        <v>260</v>
      </c>
      <c r="C128" s="15" t="s">
        <v>44</v>
      </c>
      <c r="D128" s="15" t="s">
        <v>153</v>
      </c>
      <c r="E128" s="15" t="s">
        <v>465</v>
      </c>
      <c r="F128" s="16" t="s">
        <v>467</v>
      </c>
      <c r="G128" s="17">
        <v>44250.833171296297</v>
      </c>
      <c r="H128" s="15" t="s">
        <v>48</v>
      </c>
      <c r="I128" s="15">
        <v>10</v>
      </c>
      <c r="J128" s="100">
        <v>2.2999999999999998</v>
      </c>
      <c r="K128" s="18" t="s">
        <v>52</v>
      </c>
      <c r="L128" s="42" t="s">
        <v>52</v>
      </c>
      <c r="M128" s="43">
        <v>1</v>
      </c>
      <c r="N128" s="44">
        <v>1</v>
      </c>
      <c r="O128" s="18"/>
      <c r="P128" s="42"/>
      <c r="Q128" s="21"/>
      <c r="R128" s="44"/>
      <c r="S128" s="18"/>
      <c r="T128" s="45"/>
    </row>
    <row r="129" spans="1:21" ht="91" x14ac:dyDescent="0.2">
      <c r="A129" s="15" t="s">
        <v>43</v>
      </c>
      <c r="B129" s="15">
        <v>260</v>
      </c>
      <c r="C129" s="15" t="s">
        <v>44</v>
      </c>
      <c r="D129" s="15" t="s">
        <v>153</v>
      </c>
      <c r="E129" s="15" t="s">
        <v>465</v>
      </c>
      <c r="F129" s="16" t="s">
        <v>468</v>
      </c>
      <c r="G129" s="17">
        <v>44250.834872685184</v>
      </c>
      <c r="H129" s="15" t="s">
        <v>48</v>
      </c>
      <c r="I129" s="15">
        <v>10</v>
      </c>
      <c r="J129" s="100">
        <v>2.2999999999999998</v>
      </c>
      <c r="K129" s="18" t="s">
        <v>52</v>
      </c>
      <c r="L129" s="42" t="s">
        <v>52</v>
      </c>
      <c r="M129" s="43">
        <v>1</v>
      </c>
      <c r="N129" s="44">
        <v>1</v>
      </c>
      <c r="O129" s="18" t="s">
        <v>305</v>
      </c>
      <c r="P129" s="42"/>
      <c r="Q129" s="21"/>
      <c r="R129" s="44"/>
      <c r="S129" s="18"/>
      <c r="T129" s="45"/>
    </row>
    <row r="130" spans="1:21" ht="76" x14ac:dyDescent="0.2">
      <c r="A130" s="15" t="s">
        <v>43</v>
      </c>
      <c r="B130" s="15">
        <v>260</v>
      </c>
      <c r="C130" s="15" t="s">
        <v>44</v>
      </c>
      <c r="D130" s="15" t="s">
        <v>153</v>
      </c>
      <c r="E130" s="15" t="s">
        <v>462</v>
      </c>
      <c r="F130" s="16" t="s">
        <v>469</v>
      </c>
      <c r="G130" s="17">
        <v>44251.836122685185</v>
      </c>
      <c r="H130" s="15" t="s">
        <v>48</v>
      </c>
      <c r="I130" s="15">
        <v>10</v>
      </c>
      <c r="J130" s="100">
        <v>2.2999999999999998</v>
      </c>
      <c r="K130" s="18" t="s">
        <v>346</v>
      </c>
      <c r="L130" s="42" t="s">
        <v>52</v>
      </c>
      <c r="M130" s="43">
        <v>1</v>
      </c>
      <c r="N130" s="44">
        <v>1</v>
      </c>
      <c r="O130" s="18" t="s">
        <v>58</v>
      </c>
      <c r="P130" s="42"/>
      <c r="Q130" s="21"/>
      <c r="R130" s="44"/>
      <c r="S130" s="18" t="s">
        <v>470</v>
      </c>
      <c r="T130" s="45"/>
    </row>
    <row r="131" spans="1:21" ht="48" x14ac:dyDescent="0.2">
      <c r="A131" s="15" t="s">
        <v>43</v>
      </c>
      <c r="B131" s="15">
        <v>260</v>
      </c>
      <c r="C131" s="15" t="s">
        <v>44</v>
      </c>
      <c r="D131" s="15" t="s">
        <v>153</v>
      </c>
      <c r="E131" s="15" t="s">
        <v>465</v>
      </c>
      <c r="F131" s="16" t="s">
        <v>471</v>
      </c>
      <c r="G131" s="17">
        <v>44252.742881944447</v>
      </c>
      <c r="H131" s="15" t="s">
        <v>48</v>
      </c>
      <c r="I131" s="15">
        <v>8</v>
      </c>
      <c r="J131" s="100">
        <v>2.2999999999999998</v>
      </c>
      <c r="K131" s="18" t="s">
        <v>426</v>
      </c>
      <c r="L131" s="42" t="s">
        <v>52</v>
      </c>
      <c r="M131" s="43">
        <v>1</v>
      </c>
      <c r="N131" s="44">
        <v>1</v>
      </c>
      <c r="O131" s="18" t="s">
        <v>305</v>
      </c>
      <c r="P131" s="42" t="s">
        <v>305</v>
      </c>
      <c r="Q131" s="21"/>
      <c r="R131" s="44"/>
      <c r="S131" s="18" t="s">
        <v>472</v>
      </c>
      <c r="T131" s="45"/>
    </row>
    <row r="132" spans="1:21" ht="91" x14ac:dyDescent="0.2">
      <c r="A132" s="15" t="s">
        <v>43</v>
      </c>
      <c r="B132" s="15">
        <v>260</v>
      </c>
      <c r="C132" s="15" t="s">
        <v>44</v>
      </c>
      <c r="D132" s="15" t="s">
        <v>153</v>
      </c>
      <c r="E132" s="15" t="s">
        <v>462</v>
      </c>
      <c r="F132" s="16" t="s">
        <v>473</v>
      </c>
      <c r="G132" s="17">
        <v>44252.915162037039</v>
      </c>
      <c r="H132" s="15" t="s">
        <v>48</v>
      </c>
      <c r="I132" s="15">
        <v>10</v>
      </c>
      <c r="J132" s="100">
        <v>2.2999999999999998</v>
      </c>
      <c r="K132" s="18" t="s">
        <v>108</v>
      </c>
      <c r="L132" s="42" t="s">
        <v>52</v>
      </c>
      <c r="M132" s="43">
        <v>1</v>
      </c>
      <c r="N132" s="44">
        <v>1</v>
      </c>
      <c r="O132" s="18" t="s">
        <v>474</v>
      </c>
      <c r="P132" s="42" t="s">
        <v>58</v>
      </c>
      <c r="Q132" s="21" t="s">
        <v>74</v>
      </c>
      <c r="R132" s="44" t="s">
        <v>74</v>
      </c>
      <c r="S132" s="18" t="s">
        <v>109</v>
      </c>
      <c r="T132" s="45"/>
    </row>
    <row r="133" spans="1:21" ht="61" x14ac:dyDescent="0.2">
      <c r="A133" s="15" t="s">
        <v>43</v>
      </c>
      <c r="B133" s="15">
        <v>260</v>
      </c>
      <c r="C133" s="15" t="s">
        <v>44</v>
      </c>
      <c r="D133" s="15" t="s">
        <v>153</v>
      </c>
      <c r="E133" s="15" t="s">
        <v>459</v>
      </c>
      <c r="F133" s="16" t="s">
        <v>475</v>
      </c>
      <c r="G133" s="17">
        <v>44253.295289351852</v>
      </c>
      <c r="H133" s="15" t="s">
        <v>48</v>
      </c>
      <c r="I133" s="15">
        <v>10</v>
      </c>
      <c r="J133" s="100">
        <v>2.2999999999999998</v>
      </c>
      <c r="K133" s="18" t="s">
        <v>108</v>
      </c>
      <c r="L133" s="42" t="s">
        <v>108</v>
      </c>
      <c r="M133" s="43">
        <v>1</v>
      </c>
      <c r="N133" s="44"/>
      <c r="O133" s="18"/>
      <c r="P133" s="42"/>
      <c r="Q133" s="21"/>
      <c r="R133" s="44"/>
      <c r="S133" s="18"/>
      <c r="T133" s="45" t="s">
        <v>109</v>
      </c>
    </row>
    <row r="134" spans="1:21" ht="46" x14ac:dyDescent="0.2">
      <c r="A134" s="15" t="s">
        <v>43</v>
      </c>
      <c r="B134" s="15">
        <v>260</v>
      </c>
      <c r="C134" s="15" t="s">
        <v>44</v>
      </c>
      <c r="D134" s="15" t="s">
        <v>153</v>
      </c>
      <c r="E134" s="15" t="s">
        <v>462</v>
      </c>
      <c r="F134" s="16" t="s">
        <v>476</v>
      </c>
      <c r="G134" s="17">
        <v>44253.917685185188</v>
      </c>
      <c r="H134" s="15" t="s">
        <v>48</v>
      </c>
      <c r="I134" s="15">
        <v>10</v>
      </c>
      <c r="J134" s="100">
        <v>2.2999999999999998</v>
      </c>
      <c r="K134" s="18" t="s">
        <v>108</v>
      </c>
      <c r="L134" s="42" t="s">
        <v>49</v>
      </c>
      <c r="M134" s="43">
        <v>1</v>
      </c>
      <c r="N134" s="44"/>
      <c r="O134" s="18" t="s">
        <v>58</v>
      </c>
      <c r="P134" s="42" t="s">
        <v>58</v>
      </c>
      <c r="Q134" s="21"/>
      <c r="R134" s="44"/>
      <c r="S134" s="18"/>
      <c r="T134" s="45" t="s">
        <v>123</v>
      </c>
    </row>
    <row r="135" spans="1:21" ht="106" x14ac:dyDescent="0.2">
      <c r="A135" s="15" t="s">
        <v>43</v>
      </c>
      <c r="B135" s="15">
        <v>260</v>
      </c>
      <c r="C135" s="15" t="s">
        <v>44</v>
      </c>
      <c r="D135" s="15" t="s">
        <v>161</v>
      </c>
      <c r="E135" s="15" t="s">
        <v>477</v>
      </c>
      <c r="F135" s="16" t="s">
        <v>478</v>
      </c>
      <c r="G135" s="17">
        <v>44242.194606481484</v>
      </c>
      <c r="H135" s="15" t="s">
        <v>48</v>
      </c>
      <c r="I135" s="15">
        <v>10</v>
      </c>
      <c r="J135" s="100">
        <v>2.4</v>
      </c>
      <c r="K135" s="46" t="s">
        <v>68</v>
      </c>
      <c r="L135" s="47" t="s">
        <v>68</v>
      </c>
      <c r="M135" s="29">
        <v>1</v>
      </c>
      <c r="N135" s="48">
        <v>1</v>
      </c>
      <c r="O135" s="28"/>
      <c r="P135" s="47"/>
      <c r="Q135" s="30" t="s">
        <v>112</v>
      </c>
      <c r="R135" s="48" t="s">
        <v>112</v>
      </c>
      <c r="S135" s="31"/>
      <c r="T135" s="49"/>
      <c r="U135" s="16" t="s">
        <v>479</v>
      </c>
    </row>
    <row r="136" spans="1:21" ht="16" x14ac:dyDescent="0.2">
      <c r="A136" s="15" t="s">
        <v>43</v>
      </c>
      <c r="B136" s="15">
        <v>260</v>
      </c>
      <c r="C136" s="15" t="s">
        <v>44</v>
      </c>
      <c r="D136" s="15" t="s">
        <v>161</v>
      </c>
      <c r="E136" s="15" t="s">
        <v>480</v>
      </c>
      <c r="F136" s="16" t="s">
        <v>481</v>
      </c>
      <c r="G136" s="17">
        <v>44243.984409722223</v>
      </c>
      <c r="H136" s="15" t="s">
        <v>48</v>
      </c>
      <c r="I136" s="15">
        <v>10</v>
      </c>
      <c r="J136" s="100">
        <v>2.4</v>
      </c>
      <c r="K136" s="32" t="s">
        <v>49</v>
      </c>
      <c r="L136" s="8" t="s">
        <v>49</v>
      </c>
      <c r="M136" s="33">
        <v>1</v>
      </c>
      <c r="N136" s="10">
        <v>1</v>
      </c>
      <c r="O136" s="32"/>
      <c r="Q136" s="34"/>
      <c r="S136" s="35"/>
    </row>
    <row r="137" spans="1:21" ht="31" x14ac:dyDescent="0.2">
      <c r="A137" s="15" t="s">
        <v>43</v>
      </c>
      <c r="B137" s="15">
        <v>260</v>
      </c>
      <c r="C137" s="15" t="s">
        <v>44</v>
      </c>
      <c r="D137" s="15" t="s">
        <v>161</v>
      </c>
      <c r="E137" s="15" t="s">
        <v>480</v>
      </c>
      <c r="F137" s="16" t="s">
        <v>482</v>
      </c>
      <c r="G137" s="17">
        <v>44243.984861111108</v>
      </c>
      <c r="H137" s="15" t="s">
        <v>48</v>
      </c>
      <c r="I137" s="15">
        <v>10</v>
      </c>
      <c r="J137" s="100">
        <v>2.4</v>
      </c>
      <c r="K137" s="50" t="s">
        <v>68</v>
      </c>
      <c r="L137" s="8" t="s">
        <v>68</v>
      </c>
      <c r="M137" s="33">
        <v>1</v>
      </c>
      <c r="N137" s="10">
        <v>1</v>
      </c>
      <c r="O137" s="32"/>
      <c r="Q137" s="34"/>
      <c r="S137" s="35"/>
    </row>
    <row r="138" spans="1:21" ht="16" x14ac:dyDescent="0.2">
      <c r="A138" s="15" t="s">
        <v>43</v>
      </c>
      <c r="B138" s="15">
        <v>260</v>
      </c>
      <c r="C138" s="15" t="s">
        <v>44</v>
      </c>
      <c r="D138" s="15" t="s">
        <v>161</v>
      </c>
      <c r="E138" s="15" t="s">
        <v>483</v>
      </c>
      <c r="F138" s="16" t="s">
        <v>484</v>
      </c>
      <c r="G138" s="17">
        <v>44248.869618055556</v>
      </c>
      <c r="H138" s="15" t="s">
        <v>48</v>
      </c>
      <c r="I138" s="15">
        <v>10</v>
      </c>
      <c r="J138" s="100">
        <v>2.4</v>
      </c>
      <c r="K138" s="32" t="s">
        <v>49</v>
      </c>
      <c r="L138" s="8" t="s">
        <v>49</v>
      </c>
      <c r="M138" s="33">
        <v>1</v>
      </c>
      <c r="N138" s="10">
        <v>1</v>
      </c>
      <c r="O138" s="32"/>
      <c r="Q138" s="34"/>
      <c r="S138" s="35"/>
    </row>
    <row r="139" spans="1:21" ht="31" x14ac:dyDescent="0.2">
      <c r="A139" s="15" t="s">
        <v>43</v>
      </c>
      <c r="B139" s="15">
        <v>260</v>
      </c>
      <c r="C139" s="15" t="s">
        <v>44</v>
      </c>
      <c r="D139" s="15" t="s">
        <v>161</v>
      </c>
      <c r="E139" s="15" t="s">
        <v>480</v>
      </c>
      <c r="F139" s="16" t="s">
        <v>485</v>
      </c>
      <c r="G139" s="17">
        <v>44248.878078703703</v>
      </c>
      <c r="H139" s="15" t="s">
        <v>48</v>
      </c>
      <c r="I139" s="15">
        <v>10</v>
      </c>
      <c r="J139" s="100">
        <v>2.4</v>
      </c>
      <c r="K139" s="50" t="s">
        <v>68</v>
      </c>
      <c r="L139" s="8" t="s">
        <v>68</v>
      </c>
      <c r="M139" s="33">
        <v>1</v>
      </c>
      <c r="N139" s="10">
        <v>1</v>
      </c>
      <c r="O139" s="32"/>
      <c r="Q139" s="34" t="s">
        <v>112</v>
      </c>
      <c r="R139" s="10" t="s">
        <v>112</v>
      </c>
      <c r="S139" s="35"/>
    </row>
    <row r="140" spans="1:21" ht="31" x14ac:dyDescent="0.2">
      <c r="A140" s="15" t="s">
        <v>43</v>
      </c>
      <c r="B140" s="15">
        <v>260</v>
      </c>
      <c r="C140" s="15" t="s">
        <v>44</v>
      </c>
      <c r="D140" s="15" t="s">
        <v>161</v>
      </c>
      <c r="E140" s="15" t="s">
        <v>477</v>
      </c>
      <c r="F140" s="16" t="s">
        <v>486</v>
      </c>
      <c r="G140" s="17">
        <v>44249.576863425929</v>
      </c>
      <c r="H140" s="15" t="s">
        <v>48</v>
      </c>
      <c r="I140" s="15">
        <v>10</v>
      </c>
      <c r="J140" s="100">
        <v>2.4</v>
      </c>
      <c r="K140" s="50" t="s">
        <v>68</v>
      </c>
      <c r="L140" s="8" t="s">
        <v>68</v>
      </c>
      <c r="M140" s="33">
        <v>1</v>
      </c>
      <c r="N140" s="10">
        <v>1</v>
      </c>
      <c r="O140" s="32"/>
      <c r="Q140" s="34"/>
      <c r="S140" s="35"/>
    </row>
    <row r="141" spans="1:21" ht="31" x14ac:dyDescent="0.2">
      <c r="A141" s="15" t="s">
        <v>43</v>
      </c>
      <c r="B141" s="15">
        <v>260</v>
      </c>
      <c r="C141" s="15" t="s">
        <v>44</v>
      </c>
      <c r="D141" s="15" t="s">
        <v>161</v>
      </c>
      <c r="E141" s="15" t="s">
        <v>477</v>
      </c>
      <c r="F141" s="16" t="s">
        <v>487</v>
      </c>
      <c r="G141" s="17">
        <v>44250.827060185184</v>
      </c>
      <c r="H141" s="15" t="s">
        <v>48</v>
      </c>
      <c r="I141" s="15">
        <v>9</v>
      </c>
      <c r="J141" s="100">
        <v>2.4</v>
      </c>
      <c r="K141" s="50" t="s">
        <v>68</v>
      </c>
      <c r="L141" s="8" t="s">
        <v>68</v>
      </c>
      <c r="M141" s="34">
        <v>1</v>
      </c>
      <c r="O141" s="32"/>
      <c r="Q141" s="34"/>
      <c r="S141" s="35"/>
    </row>
    <row r="142" spans="1:21" ht="17" x14ac:dyDescent="0.2">
      <c r="A142" s="15" t="s">
        <v>43</v>
      </c>
      <c r="B142" s="15">
        <v>260</v>
      </c>
      <c r="C142" s="15" t="s">
        <v>44</v>
      </c>
      <c r="D142" s="15" t="s">
        <v>161</v>
      </c>
      <c r="E142" s="15" t="s">
        <v>483</v>
      </c>
      <c r="F142" s="16" t="s">
        <v>488</v>
      </c>
      <c r="G142" s="17">
        <v>44250.82984953704</v>
      </c>
      <c r="H142" s="15" t="s">
        <v>48</v>
      </c>
      <c r="I142" s="15">
        <v>9</v>
      </c>
      <c r="J142" s="100">
        <v>2.4</v>
      </c>
      <c r="K142" s="50" t="s">
        <v>68</v>
      </c>
      <c r="L142" s="8" t="s">
        <v>68</v>
      </c>
      <c r="M142" s="34">
        <v>1</v>
      </c>
      <c r="O142" s="32"/>
      <c r="Q142" s="34"/>
      <c r="S142" s="35"/>
    </row>
    <row r="143" spans="1:21" ht="31" x14ac:dyDescent="0.2">
      <c r="A143" s="15" t="s">
        <v>43</v>
      </c>
      <c r="B143" s="15">
        <v>260</v>
      </c>
      <c r="C143" s="15" t="s">
        <v>44</v>
      </c>
      <c r="D143" s="15" t="s">
        <v>161</v>
      </c>
      <c r="E143" s="15" t="s">
        <v>477</v>
      </c>
      <c r="F143" s="16" t="s">
        <v>489</v>
      </c>
      <c r="G143" s="17">
        <v>44250.833773148152</v>
      </c>
      <c r="H143" s="15" t="s">
        <v>48</v>
      </c>
      <c r="I143" s="15">
        <v>9</v>
      </c>
      <c r="J143" s="100">
        <v>2.4</v>
      </c>
      <c r="K143" s="50" t="s">
        <v>68</v>
      </c>
      <c r="L143" s="8" t="s">
        <v>68</v>
      </c>
      <c r="M143" s="33">
        <v>2</v>
      </c>
      <c r="N143" s="10">
        <v>2</v>
      </c>
      <c r="O143" s="32"/>
      <c r="Q143" s="34" t="s">
        <v>112</v>
      </c>
      <c r="R143" s="10" t="s">
        <v>112</v>
      </c>
      <c r="S143" s="35"/>
    </row>
    <row r="144" spans="1:21" ht="17" x14ac:dyDescent="0.2">
      <c r="A144" s="15" t="s">
        <v>43</v>
      </c>
      <c r="B144" s="15">
        <v>260</v>
      </c>
      <c r="C144" s="15" t="s">
        <v>44</v>
      </c>
      <c r="D144" s="15" t="s">
        <v>161</v>
      </c>
      <c r="E144" s="15" t="s">
        <v>483</v>
      </c>
      <c r="F144" s="16" t="s">
        <v>490</v>
      </c>
      <c r="G144" s="17">
        <v>44250.834108796298</v>
      </c>
      <c r="H144" s="15" t="s">
        <v>48</v>
      </c>
      <c r="I144" s="15">
        <v>9</v>
      </c>
      <c r="J144" s="100">
        <v>2.4</v>
      </c>
      <c r="K144" s="50" t="s">
        <v>68</v>
      </c>
      <c r="L144" s="8" t="s">
        <v>68</v>
      </c>
      <c r="M144" s="33">
        <v>2</v>
      </c>
      <c r="N144" s="10">
        <v>2</v>
      </c>
      <c r="O144" s="32" t="s">
        <v>58</v>
      </c>
      <c r="P144" s="8" t="s">
        <v>58</v>
      </c>
      <c r="Q144" s="34"/>
      <c r="S144" s="35"/>
    </row>
    <row r="145" spans="1:20" ht="31" x14ac:dyDescent="0.2">
      <c r="A145" s="15" t="s">
        <v>43</v>
      </c>
      <c r="B145" s="15">
        <v>260</v>
      </c>
      <c r="C145" s="15" t="s">
        <v>44</v>
      </c>
      <c r="D145" s="15" t="s">
        <v>161</v>
      </c>
      <c r="E145" s="15" t="s">
        <v>477</v>
      </c>
      <c r="F145" s="51" t="s">
        <v>491</v>
      </c>
      <c r="G145" s="17">
        <v>44250.834652777776</v>
      </c>
      <c r="H145" s="15" t="s">
        <v>48</v>
      </c>
      <c r="I145" s="15">
        <v>9</v>
      </c>
      <c r="J145" s="100">
        <v>2.4</v>
      </c>
      <c r="K145" s="50" t="s">
        <v>68</v>
      </c>
      <c r="L145" s="8" t="s">
        <v>68</v>
      </c>
      <c r="M145" s="33">
        <v>2</v>
      </c>
      <c r="N145" s="10">
        <v>2</v>
      </c>
      <c r="O145" s="32" t="s">
        <v>58</v>
      </c>
      <c r="P145" s="8" t="s">
        <v>58</v>
      </c>
      <c r="Q145" s="10" t="s">
        <v>112</v>
      </c>
      <c r="R145" s="10" t="s">
        <v>112</v>
      </c>
      <c r="S145" s="35"/>
    </row>
    <row r="146" spans="1:20" ht="61" x14ac:dyDescent="0.2">
      <c r="A146" s="15" t="s">
        <v>43</v>
      </c>
      <c r="B146" s="15">
        <v>260</v>
      </c>
      <c r="C146" s="15" t="s">
        <v>44</v>
      </c>
      <c r="D146" s="15" t="s">
        <v>161</v>
      </c>
      <c r="E146" s="15" t="s">
        <v>483</v>
      </c>
      <c r="F146" s="16" t="s">
        <v>492</v>
      </c>
      <c r="G146" s="17">
        <v>44250.834849537037</v>
      </c>
      <c r="H146" s="15" t="s">
        <v>48</v>
      </c>
      <c r="I146" s="15">
        <v>9</v>
      </c>
      <c r="J146" s="100">
        <v>2.4</v>
      </c>
      <c r="K146" s="50" t="s">
        <v>68</v>
      </c>
      <c r="L146" s="8" t="s">
        <v>68</v>
      </c>
      <c r="M146" s="33">
        <v>2</v>
      </c>
      <c r="N146" s="10">
        <v>2</v>
      </c>
      <c r="O146" s="32"/>
      <c r="Q146" s="34"/>
      <c r="S146" s="35"/>
    </row>
    <row r="147" spans="1:20" ht="31" x14ac:dyDescent="0.2">
      <c r="A147" s="15" t="s">
        <v>43</v>
      </c>
      <c r="B147" s="15">
        <v>260</v>
      </c>
      <c r="C147" s="15" t="s">
        <v>44</v>
      </c>
      <c r="D147" s="15" t="s">
        <v>161</v>
      </c>
      <c r="E147" s="15" t="s">
        <v>477</v>
      </c>
      <c r="F147" s="16" t="s">
        <v>493</v>
      </c>
      <c r="G147" s="17">
        <v>44250.836018518516</v>
      </c>
      <c r="H147" s="15" t="s">
        <v>48</v>
      </c>
      <c r="I147" s="15">
        <v>9</v>
      </c>
      <c r="J147" s="100">
        <v>2.4</v>
      </c>
      <c r="K147" s="50" t="s">
        <v>68</v>
      </c>
      <c r="L147" s="8" t="s">
        <v>68</v>
      </c>
      <c r="M147" s="33">
        <v>2</v>
      </c>
      <c r="N147" s="10">
        <v>2</v>
      </c>
      <c r="O147" s="32" t="s">
        <v>58</v>
      </c>
      <c r="P147" s="8" t="s">
        <v>58</v>
      </c>
      <c r="Q147" s="34"/>
      <c r="S147" s="35"/>
    </row>
    <row r="148" spans="1:20" ht="61" x14ac:dyDescent="0.2">
      <c r="A148" s="15" t="s">
        <v>43</v>
      </c>
      <c r="B148" s="15">
        <v>260</v>
      </c>
      <c r="C148" s="15" t="s">
        <v>44</v>
      </c>
      <c r="D148" s="15" t="s">
        <v>161</v>
      </c>
      <c r="E148" s="15" t="s">
        <v>477</v>
      </c>
      <c r="F148" s="16" t="s">
        <v>494</v>
      </c>
      <c r="G148" s="17">
        <v>44250.83766203704</v>
      </c>
      <c r="H148" s="15" t="s">
        <v>48</v>
      </c>
      <c r="I148" s="15">
        <v>9</v>
      </c>
      <c r="J148" s="100">
        <v>2.4</v>
      </c>
      <c r="K148" s="50" t="s">
        <v>108</v>
      </c>
      <c r="L148" s="8" t="s">
        <v>108</v>
      </c>
      <c r="M148" s="33">
        <v>2</v>
      </c>
      <c r="N148" s="10">
        <v>2</v>
      </c>
      <c r="O148" s="32"/>
      <c r="Q148" s="34"/>
      <c r="S148" s="35" t="s">
        <v>358</v>
      </c>
      <c r="T148" s="13" t="s">
        <v>358</v>
      </c>
    </row>
    <row r="149" spans="1:20" ht="31" x14ac:dyDescent="0.2">
      <c r="A149" s="15" t="s">
        <v>43</v>
      </c>
      <c r="B149" s="15">
        <v>260</v>
      </c>
      <c r="C149" s="15" t="s">
        <v>44</v>
      </c>
      <c r="D149" s="15" t="s">
        <v>161</v>
      </c>
      <c r="E149" s="15" t="s">
        <v>483</v>
      </c>
      <c r="F149" s="16" t="s">
        <v>495</v>
      </c>
      <c r="G149" s="17">
        <v>44250.838043981479</v>
      </c>
      <c r="H149" s="15" t="s">
        <v>48</v>
      </c>
      <c r="I149" s="15">
        <v>9</v>
      </c>
      <c r="J149" s="100">
        <v>2.4</v>
      </c>
      <c r="K149" s="50" t="s">
        <v>108</v>
      </c>
      <c r="L149" s="8" t="s">
        <v>108</v>
      </c>
      <c r="M149" s="33">
        <v>2</v>
      </c>
      <c r="N149" s="10">
        <v>2</v>
      </c>
      <c r="O149" s="32"/>
      <c r="Q149" s="34"/>
      <c r="S149" s="35"/>
    </row>
    <row r="150" spans="1:20" ht="17" x14ac:dyDescent="0.2">
      <c r="A150" s="15" t="s">
        <v>43</v>
      </c>
      <c r="B150" s="15">
        <v>260</v>
      </c>
      <c r="C150" s="15" t="s">
        <v>44</v>
      </c>
      <c r="D150" s="15" t="s">
        <v>161</v>
      </c>
      <c r="E150" s="15" t="s">
        <v>477</v>
      </c>
      <c r="F150" s="16" t="s">
        <v>496</v>
      </c>
      <c r="G150" s="17">
        <v>44250.838969907411</v>
      </c>
      <c r="H150" s="15" t="s">
        <v>48</v>
      </c>
      <c r="I150" s="15">
        <v>9</v>
      </c>
      <c r="J150" s="100">
        <v>2.4</v>
      </c>
      <c r="K150" s="50" t="s">
        <v>108</v>
      </c>
      <c r="L150" s="8" t="s">
        <v>108</v>
      </c>
      <c r="M150" s="33">
        <v>2</v>
      </c>
      <c r="N150" s="10">
        <v>2</v>
      </c>
      <c r="O150" s="32"/>
      <c r="Q150" s="34"/>
      <c r="S150" s="35"/>
    </row>
    <row r="151" spans="1:20" ht="61" x14ac:dyDescent="0.2">
      <c r="A151" s="15" t="s">
        <v>43</v>
      </c>
      <c r="B151" s="15">
        <v>260</v>
      </c>
      <c r="C151" s="15" t="s">
        <v>44</v>
      </c>
      <c r="D151" s="15" t="s">
        <v>161</v>
      </c>
      <c r="E151" s="15" t="s">
        <v>477</v>
      </c>
      <c r="F151" s="16" t="s">
        <v>497</v>
      </c>
      <c r="G151" s="17">
        <v>44250.839282407411</v>
      </c>
      <c r="H151" s="15" t="s">
        <v>48</v>
      </c>
      <c r="I151" s="15">
        <v>9</v>
      </c>
      <c r="J151" s="100">
        <v>2.4</v>
      </c>
      <c r="K151" s="50" t="s">
        <v>68</v>
      </c>
      <c r="L151" s="8" t="s">
        <v>68</v>
      </c>
      <c r="M151" s="33">
        <v>2</v>
      </c>
      <c r="N151" s="10">
        <v>2</v>
      </c>
      <c r="O151" s="32"/>
      <c r="Q151" s="34" t="s">
        <v>112</v>
      </c>
      <c r="R151" s="10" t="s">
        <v>112</v>
      </c>
      <c r="S151" s="35" t="s">
        <v>356</v>
      </c>
      <c r="T151" s="13" t="s">
        <v>356</v>
      </c>
    </row>
    <row r="152" spans="1:20" ht="17" x14ac:dyDescent="0.2">
      <c r="A152" s="15" t="s">
        <v>43</v>
      </c>
      <c r="B152" s="15">
        <v>260</v>
      </c>
      <c r="C152" s="15" t="s">
        <v>44</v>
      </c>
      <c r="D152" s="15" t="s">
        <v>161</v>
      </c>
      <c r="E152" s="15" t="s">
        <v>483</v>
      </c>
      <c r="F152" s="16" t="s">
        <v>498</v>
      </c>
      <c r="G152" s="17">
        <v>44250.840682870374</v>
      </c>
      <c r="H152" s="15" t="s">
        <v>48</v>
      </c>
      <c r="I152" s="15">
        <v>10</v>
      </c>
      <c r="J152" s="100">
        <v>2.4</v>
      </c>
      <c r="K152" s="50" t="s">
        <v>68</v>
      </c>
      <c r="L152" s="8" t="s">
        <v>68</v>
      </c>
      <c r="M152" s="33">
        <v>2</v>
      </c>
      <c r="N152" s="10">
        <v>2</v>
      </c>
      <c r="O152" s="32"/>
      <c r="Q152" s="34" t="s">
        <v>112</v>
      </c>
      <c r="R152" s="10" t="s">
        <v>112</v>
      </c>
      <c r="S152" s="35"/>
    </row>
    <row r="153" spans="1:20" ht="61" x14ac:dyDescent="0.2">
      <c r="A153" s="15" t="s">
        <v>43</v>
      </c>
      <c r="B153" s="15">
        <v>260</v>
      </c>
      <c r="C153" s="15" t="s">
        <v>44</v>
      </c>
      <c r="D153" s="15" t="s">
        <v>161</v>
      </c>
      <c r="E153" s="15" t="s">
        <v>483</v>
      </c>
      <c r="F153" s="16" t="s">
        <v>499</v>
      </c>
      <c r="G153" s="17">
        <v>44250.841296296298</v>
      </c>
      <c r="H153" s="15" t="s">
        <v>48</v>
      </c>
      <c r="I153" s="15">
        <v>10</v>
      </c>
      <c r="J153" s="100">
        <v>2.4</v>
      </c>
      <c r="K153" s="50" t="s">
        <v>68</v>
      </c>
      <c r="L153" s="8" t="s">
        <v>68</v>
      </c>
      <c r="M153" s="33">
        <v>2</v>
      </c>
      <c r="N153" s="10">
        <v>2</v>
      </c>
      <c r="O153" s="32"/>
      <c r="Q153" s="34"/>
      <c r="S153" s="35"/>
    </row>
    <row r="154" spans="1:20" ht="17" x14ac:dyDescent="0.2">
      <c r="A154" s="15" t="s">
        <v>43</v>
      </c>
      <c r="B154" s="15">
        <v>260</v>
      </c>
      <c r="C154" s="15" t="s">
        <v>44</v>
      </c>
      <c r="D154" s="15" t="s">
        <v>161</v>
      </c>
      <c r="E154" s="15" t="s">
        <v>480</v>
      </c>
      <c r="F154" s="16" t="s">
        <v>500</v>
      </c>
      <c r="G154" s="17">
        <v>44250.841678240744</v>
      </c>
      <c r="H154" s="15" t="s">
        <v>48</v>
      </c>
      <c r="I154" s="15">
        <v>9</v>
      </c>
      <c r="J154" s="100">
        <v>2.4</v>
      </c>
      <c r="K154" s="50" t="s">
        <v>108</v>
      </c>
      <c r="L154" s="8" t="s">
        <v>108</v>
      </c>
      <c r="O154" s="32"/>
      <c r="Q154" s="34" t="s">
        <v>261</v>
      </c>
      <c r="R154" s="10" t="s">
        <v>261</v>
      </c>
      <c r="S154" s="35"/>
    </row>
    <row r="155" spans="1:20" ht="17" x14ac:dyDescent="0.2">
      <c r="A155" s="15" t="s">
        <v>43</v>
      </c>
      <c r="B155" s="15">
        <v>260</v>
      </c>
      <c r="C155" s="15" t="s">
        <v>44</v>
      </c>
      <c r="D155" s="15" t="s">
        <v>161</v>
      </c>
      <c r="E155" s="15" t="s">
        <v>477</v>
      </c>
      <c r="F155" s="16" t="s">
        <v>501</v>
      </c>
      <c r="G155" s="17">
        <v>44250.842002314814</v>
      </c>
      <c r="H155" s="15" t="s">
        <v>48</v>
      </c>
      <c r="I155" s="15">
        <v>9</v>
      </c>
      <c r="J155" s="100">
        <v>2.4</v>
      </c>
      <c r="K155" s="50" t="s">
        <v>68</v>
      </c>
      <c r="L155" s="8" t="s">
        <v>68</v>
      </c>
      <c r="O155" s="32"/>
      <c r="Q155" s="34"/>
      <c r="S155" s="35"/>
    </row>
    <row r="156" spans="1:20" ht="17" x14ac:dyDescent="0.2">
      <c r="A156" s="15" t="s">
        <v>43</v>
      </c>
      <c r="B156" s="15">
        <v>260</v>
      </c>
      <c r="C156" s="15" t="s">
        <v>44</v>
      </c>
      <c r="D156" s="15" t="s">
        <v>161</v>
      </c>
      <c r="E156" s="15" t="s">
        <v>480</v>
      </c>
      <c r="F156" s="16" t="s">
        <v>502</v>
      </c>
      <c r="G156" s="17">
        <v>44250.842222222222</v>
      </c>
      <c r="H156" s="15" t="s">
        <v>48</v>
      </c>
      <c r="I156" s="15">
        <v>9</v>
      </c>
      <c r="J156" s="100">
        <v>2.4</v>
      </c>
      <c r="K156" s="50" t="s">
        <v>49</v>
      </c>
      <c r="L156" s="8" t="s">
        <v>49</v>
      </c>
      <c r="O156" s="32"/>
      <c r="Q156" s="34"/>
      <c r="S156" s="35"/>
    </row>
    <row r="157" spans="1:20" ht="31" x14ac:dyDescent="0.2">
      <c r="A157" s="15" t="s">
        <v>43</v>
      </c>
      <c r="B157" s="15">
        <v>260</v>
      </c>
      <c r="C157" s="15" t="s">
        <v>44</v>
      </c>
      <c r="D157" s="15" t="s">
        <v>161</v>
      </c>
      <c r="E157" s="15" t="s">
        <v>483</v>
      </c>
      <c r="F157" s="16" t="s">
        <v>503</v>
      </c>
      <c r="G157" s="17">
        <v>44250.842280092591</v>
      </c>
      <c r="H157" s="15" t="s">
        <v>48</v>
      </c>
      <c r="I157" s="15">
        <v>10</v>
      </c>
      <c r="J157" s="100">
        <v>2.4</v>
      </c>
      <c r="K157" s="50" t="s">
        <v>52</v>
      </c>
      <c r="L157" s="8" t="s">
        <v>52</v>
      </c>
      <c r="M157" s="33">
        <v>3</v>
      </c>
      <c r="N157" s="10">
        <v>3</v>
      </c>
      <c r="O157" s="32"/>
      <c r="Q157" s="34"/>
      <c r="S157" s="35" t="s">
        <v>504</v>
      </c>
      <c r="T157" s="13" t="s">
        <v>53</v>
      </c>
    </row>
    <row r="158" spans="1:20" ht="17" x14ac:dyDescent="0.2">
      <c r="A158" s="15" t="s">
        <v>43</v>
      </c>
      <c r="B158" s="15">
        <v>260</v>
      </c>
      <c r="C158" s="15" t="s">
        <v>44</v>
      </c>
      <c r="D158" s="15" t="s">
        <v>161</v>
      </c>
      <c r="E158" s="15" t="s">
        <v>480</v>
      </c>
      <c r="F158" s="16" t="s">
        <v>505</v>
      </c>
      <c r="G158" s="17">
        <v>44250.842581018522</v>
      </c>
      <c r="H158" s="15" t="s">
        <v>48</v>
      </c>
      <c r="I158" s="15">
        <v>9</v>
      </c>
      <c r="J158" s="100">
        <v>2.4</v>
      </c>
      <c r="K158" s="50" t="s">
        <v>52</v>
      </c>
      <c r="L158" s="8" t="s">
        <v>52</v>
      </c>
      <c r="M158" s="33">
        <v>3</v>
      </c>
      <c r="N158" s="10">
        <v>3</v>
      </c>
      <c r="O158" s="32" t="s">
        <v>58</v>
      </c>
      <c r="P158" s="8" t="s">
        <v>58</v>
      </c>
      <c r="Q158" s="34"/>
      <c r="S158" s="35"/>
    </row>
    <row r="159" spans="1:20" ht="31" x14ac:dyDescent="0.2">
      <c r="A159" s="15" t="s">
        <v>43</v>
      </c>
      <c r="B159" s="15">
        <v>260</v>
      </c>
      <c r="C159" s="15" t="s">
        <v>44</v>
      </c>
      <c r="D159" s="15" t="s">
        <v>161</v>
      </c>
      <c r="E159" s="15" t="s">
        <v>477</v>
      </c>
      <c r="F159" s="16" t="s">
        <v>506</v>
      </c>
      <c r="G159" s="17">
        <v>44250.842604166668</v>
      </c>
      <c r="H159" s="15" t="s">
        <v>48</v>
      </c>
      <c r="I159" s="15">
        <v>9</v>
      </c>
      <c r="J159" s="100">
        <v>2.4</v>
      </c>
      <c r="K159" s="50" t="s">
        <v>52</v>
      </c>
      <c r="L159" s="8" t="s">
        <v>52</v>
      </c>
      <c r="M159" s="33">
        <v>3</v>
      </c>
      <c r="N159" s="10">
        <v>3</v>
      </c>
      <c r="O159" s="32"/>
      <c r="Q159" s="34"/>
      <c r="S159" s="35"/>
    </row>
    <row r="160" spans="1:20" ht="17" x14ac:dyDescent="0.2">
      <c r="A160" s="15" t="s">
        <v>43</v>
      </c>
      <c r="B160" s="15">
        <v>260</v>
      </c>
      <c r="C160" s="15" t="s">
        <v>44</v>
      </c>
      <c r="D160" s="15" t="s">
        <v>161</v>
      </c>
      <c r="E160" s="15" t="s">
        <v>477</v>
      </c>
      <c r="F160" s="16" t="s">
        <v>507</v>
      </c>
      <c r="G160" s="17">
        <v>44250.842881944445</v>
      </c>
      <c r="H160" s="15" t="s">
        <v>48</v>
      </c>
      <c r="I160" s="15">
        <v>9</v>
      </c>
      <c r="J160" s="100">
        <v>2.4</v>
      </c>
      <c r="K160" s="50" t="s">
        <v>52</v>
      </c>
      <c r="L160" s="8" t="s">
        <v>52</v>
      </c>
      <c r="M160" s="33">
        <v>3</v>
      </c>
      <c r="N160" s="10">
        <v>3</v>
      </c>
      <c r="O160" s="32" t="s">
        <v>58</v>
      </c>
      <c r="P160" s="8" t="s">
        <v>58</v>
      </c>
      <c r="Q160" s="34"/>
      <c r="S160" s="35"/>
    </row>
    <row r="161" spans="1:20" ht="61" x14ac:dyDescent="0.2">
      <c r="A161" s="15" t="s">
        <v>43</v>
      </c>
      <c r="B161" s="15">
        <v>260</v>
      </c>
      <c r="C161" s="15" t="s">
        <v>44</v>
      </c>
      <c r="D161" s="15" t="s">
        <v>161</v>
      </c>
      <c r="E161" s="15" t="s">
        <v>483</v>
      </c>
      <c r="F161" s="16" t="s">
        <v>508</v>
      </c>
      <c r="G161" s="17">
        <v>44250.843078703707</v>
      </c>
      <c r="H161" s="15" t="s">
        <v>48</v>
      </c>
      <c r="I161" s="15">
        <v>10</v>
      </c>
      <c r="J161" s="100">
        <v>2.4</v>
      </c>
      <c r="K161" s="50" t="s">
        <v>431</v>
      </c>
      <c r="L161" s="8" t="s">
        <v>431</v>
      </c>
      <c r="M161" s="33">
        <v>3</v>
      </c>
      <c r="N161" s="10">
        <v>3</v>
      </c>
      <c r="O161" s="32"/>
      <c r="Q161" s="34" t="s">
        <v>74</v>
      </c>
      <c r="R161" s="10" t="s">
        <v>74</v>
      </c>
      <c r="S161" s="35" t="s">
        <v>509</v>
      </c>
      <c r="T161" s="13" t="s">
        <v>509</v>
      </c>
    </row>
    <row r="162" spans="1:20" ht="17" x14ac:dyDescent="0.2">
      <c r="A162" s="15" t="s">
        <v>43</v>
      </c>
      <c r="B162" s="15">
        <v>260</v>
      </c>
      <c r="C162" s="15" t="s">
        <v>44</v>
      </c>
      <c r="D162" s="15" t="s">
        <v>161</v>
      </c>
      <c r="E162" s="15" t="s">
        <v>477</v>
      </c>
      <c r="F162" s="16" t="s">
        <v>510</v>
      </c>
      <c r="G162" s="17">
        <v>44250.843287037038</v>
      </c>
      <c r="H162" s="15" t="s">
        <v>48</v>
      </c>
      <c r="I162" s="15">
        <v>9</v>
      </c>
      <c r="J162" s="100">
        <v>2.4</v>
      </c>
      <c r="K162" s="50" t="s">
        <v>431</v>
      </c>
      <c r="L162" s="8" t="s">
        <v>431</v>
      </c>
      <c r="M162" s="33">
        <v>3</v>
      </c>
      <c r="N162" s="10">
        <v>3</v>
      </c>
      <c r="O162" s="32" t="s">
        <v>58</v>
      </c>
      <c r="P162" s="8" t="s">
        <v>58</v>
      </c>
      <c r="Q162" s="34"/>
      <c r="S162" s="35"/>
    </row>
    <row r="163" spans="1:20" ht="46" x14ac:dyDescent="0.2">
      <c r="A163" s="15" t="s">
        <v>43</v>
      </c>
      <c r="B163" s="15">
        <v>260</v>
      </c>
      <c r="C163" s="15" t="s">
        <v>44</v>
      </c>
      <c r="D163" s="15" t="s">
        <v>161</v>
      </c>
      <c r="E163" s="15" t="s">
        <v>477</v>
      </c>
      <c r="F163" s="16" t="s">
        <v>511</v>
      </c>
      <c r="G163" s="17">
        <v>44250.843622685185</v>
      </c>
      <c r="H163" s="15" t="s">
        <v>48</v>
      </c>
      <c r="I163" s="15">
        <v>9</v>
      </c>
      <c r="J163" s="100">
        <v>2.4</v>
      </c>
      <c r="K163" s="50" t="s">
        <v>52</v>
      </c>
      <c r="L163" s="8" t="s">
        <v>52</v>
      </c>
      <c r="M163" s="33">
        <v>3</v>
      </c>
      <c r="N163" s="10">
        <v>3</v>
      </c>
      <c r="O163" s="32" t="s">
        <v>340</v>
      </c>
      <c r="P163" s="8" t="s">
        <v>340</v>
      </c>
      <c r="Q163" s="34" t="s">
        <v>74</v>
      </c>
      <c r="R163" s="10" t="s">
        <v>74</v>
      </c>
      <c r="S163" s="35" t="s">
        <v>512</v>
      </c>
      <c r="T163" s="13" t="s">
        <v>513</v>
      </c>
    </row>
    <row r="164" spans="1:20" ht="31" x14ac:dyDescent="0.2">
      <c r="A164" s="15" t="s">
        <v>43</v>
      </c>
      <c r="B164" s="15">
        <v>260</v>
      </c>
      <c r="C164" s="15" t="s">
        <v>44</v>
      </c>
      <c r="D164" s="15" t="s">
        <v>161</v>
      </c>
      <c r="E164" s="15" t="s">
        <v>480</v>
      </c>
      <c r="F164" s="16" t="s">
        <v>514</v>
      </c>
      <c r="G164" s="17">
        <v>44250.843657407408</v>
      </c>
      <c r="H164" s="15" t="s">
        <v>48</v>
      </c>
      <c r="I164" s="15">
        <v>9</v>
      </c>
      <c r="J164" s="100">
        <v>2.4</v>
      </c>
      <c r="K164" s="50" t="s">
        <v>52</v>
      </c>
      <c r="L164" s="8" t="s">
        <v>52</v>
      </c>
      <c r="M164" s="33">
        <v>3</v>
      </c>
      <c r="N164" s="10">
        <v>3</v>
      </c>
      <c r="O164" s="32" t="s">
        <v>302</v>
      </c>
      <c r="P164" s="8" t="s">
        <v>302</v>
      </c>
      <c r="Q164" s="34"/>
      <c r="S164" s="35"/>
    </row>
    <row r="165" spans="1:20" ht="31" x14ac:dyDescent="0.2">
      <c r="A165" s="15" t="s">
        <v>43</v>
      </c>
      <c r="B165" s="15">
        <v>260</v>
      </c>
      <c r="C165" s="15" t="s">
        <v>44</v>
      </c>
      <c r="D165" s="15" t="s">
        <v>161</v>
      </c>
      <c r="E165" s="15" t="s">
        <v>477</v>
      </c>
      <c r="F165" s="16" t="s">
        <v>515</v>
      </c>
      <c r="G165" s="17">
        <v>44250.844143518516</v>
      </c>
      <c r="H165" s="15" t="s">
        <v>48</v>
      </c>
      <c r="I165" s="15">
        <v>9</v>
      </c>
      <c r="J165" s="100">
        <v>2.4</v>
      </c>
      <c r="K165" s="50" t="s">
        <v>52</v>
      </c>
      <c r="L165" s="8" t="s">
        <v>52</v>
      </c>
      <c r="M165" s="33">
        <v>3</v>
      </c>
      <c r="N165" s="10">
        <v>3</v>
      </c>
      <c r="O165" s="32" t="s">
        <v>58</v>
      </c>
      <c r="P165" s="8" t="s">
        <v>58</v>
      </c>
      <c r="Q165" s="34"/>
      <c r="S165" s="35"/>
    </row>
    <row r="166" spans="1:20" ht="31" x14ac:dyDescent="0.2">
      <c r="A166" s="15" t="s">
        <v>43</v>
      </c>
      <c r="B166" s="15">
        <v>260</v>
      </c>
      <c r="C166" s="15" t="s">
        <v>44</v>
      </c>
      <c r="D166" s="15" t="s">
        <v>161</v>
      </c>
      <c r="E166" s="15" t="s">
        <v>483</v>
      </c>
      <c r="F166" s="16" t="s">
        <v>516</v>
      </c>
      <c r="G166" s="17">
        <v>44250.844143518516</v>
      </c>
      <c r="H166" s="15" t="s">
        <v>48</v>
      </c>
      <c r="I166" s="15">
        <v>10</v>
      </c>
      <c r="J166" s="100">
        <v>2.4</v>
      </c>
      <c r="K166" s="50" t="s">
        <v>52</v>
      </c>
      <c r="L166" s="8" t="s">
        <v>52</v>
      </c>
      <c r="M166" s="33">
        <v>3</v>
      </c>
      <c r="N166" s="10">
        <v>3</v>
      </c>
      <c r="O166" s="32" t="s">
        <v>58</v>
      </c>
      <c r="P166" s="8" t="s">
        <v>58</v>
      </c>
      <c r="Q166" s="34"/>
      <c r="S166" s="35"/>
    </row>
    <row r="167" spans="1:20" ht="46" x14ac:dyDescent="0.2">
      <c r="A167" s="15" t="s">
        <v>43</v>
      </c>
      <c r="B167" s="15">
        <v>260</v>
      </c>
      <c r="C167" s="15" t="s">
        <v>44</v>
      </c>
      <c r="D167" s="15" t="s">
        <v>161</v>
      </c>
      <c r="E167" s="15" t="s">
        <v>480</v>
      </c>
      <c r="F167" s="16" t="s">
        <v>517</v>
      </c>
      <c r="G167" s="17">
        <v>44250.844398148147</v>
      </c>
      <c r="H167" s="15" t="s">
        <v>48</v>
      </c>
      <c r="I167" s="15">
        <v>9</v>
      </c>
      <c r="J167" s="100">
        <v>2.4</v>
      </c>
      <c r="K167" s="50" t="s">
        <v>52</v>
      </c>
      <c r="L167" s="8" t="s">
        <v>52</v>
      </c>
      <c r="M167" s="33">
        <v>3</v>
      </c>
      <c r="N167" s="10">
        <v>3</v>
      </c>
      <c r="O167" s="32" t="s">
        <v>58</v>
      </c>
      <c r="P167" s="8" t="s">
        <v>58</v>
      </c>
      <c r="Q167" s="34"/>
      <c r="S167" s="35"/>
    </row>
    <row r="168" spans="1:20" ht="61" x14ac:dyDescent="0.2">
      <c r="A168" s="15" t="s">
        <v>43</v>
      </c>
      <c r="B168" s="15">
        <v>260</v>
      </c>
      <c r="C168" s="15" t="s">
        <v>44</v>
      </c>
      <c r="D168" s="15" t="s">
        <v>161</v>
      </c>
      <c r="E168" s="15" t="s">
        <v>477</v>
      </c>
      <c r="F168" s="16" t="s">
        <v>518</v>
      </c>
      <c r="G168" s="17">
        <v>44250.844756944447</v>
      </c>
      <c r="H168" s="15" t="s">
        <v>48</v>
      </c>
      <c r="I168" s="15">
        <v>9</v>
      </c>
      <c r="J168" s="100">
        <v>2.4</v>
      </c>
      <c r="K168" s="50" t="s">
        <v>108</v>
      </c>
      <c r="L168" s="8" t="s">
        <v>108</v>
      </c>
      <c r="M168" s="33">
        <v>4</v>
      </c>
      <c r="N168" s="10">
        <v>4</v>
      </c>
      <c r="O168" s="32"/>
      <c r="Q168" s="34" t="s">
        <v>519</v>
      </c>
      <c r="R168" s="10" t="s">
        <v>519</v>
      </c>
      <c r="S168" s="35" t="s">
        <v>109</v>
      </c>
      <c r="T168" s="13" t="s">
        <v>109</v>
      </c>
    </row>
    <row r="169" spans="1:20" ht="17" x14ac:dyDescent="0.2">
      <c r="A169" s="15" t="s">
        <v>43</v>
      </c>
      <c r="B169" s="15">
        <v>260</v>
      </c>
      <c r="C169" s="15" t="s">
        <v>44</v>
      </c>
      <c r="D169" s="15" t="s">
        <v>161</v>
      </c>
      <c r="E169" s="15" t="s">
        <v>480</v>
      </c>
      <c r="F169" s="16" t="s">
        <v>520</v>
      </c>
      <c r="G169" s="17">
        <v>44250.844895833332</v>
      </c>
      <c r="H169" s="15" t="s">
        <v>48</v>
      </c>
      <c r="I169" s="15">
        <v>9</v>
      </c>
      <c r="J169" s="100">
        <v>2.4</v>
      </c>
      <c r="K169" s="50" t="s">
        <v>108</v>
      </c>
      <c r="L169" s="8" t="s">
        <v>108</v>
      </c>
      <c r="M169" s="33">
        <v>4</v>
      </c>
      <c r="N169" s="10">
        <v>4</v>
      </c>
      <c r="O169" s="32"/>
      <c r="Q169" s="34" t="s">
        <v>112</v>
      </c>
      <c r="R169" s="10" t="s">
        <v>112</v>
      </c>
      <c r="S169" s="35"/>
    </row>
    <row r="170" spans="1:20" ht="46" x14ac:dyDescent="0.2">
      <c r="A170" s="15" t="s">
        <v>43</v>
      </c>
      <c r="B170" s="15">
        <v>260</v>
      </c>
      <c r="C170" s="15" t="s">
        <v>44</v>
      </c>
      <c r="D170" s="15" t="s">
        <v>161</v>
      </c>
      <c r="E170" s="15" t="s">
        <v>483</v>
      </c>
      <c r="F170" s="16" t="s">
        <v>521</v>
      </c>
      <c r="G170" s="17">
        <v>44250.845023148147</v>
      </c>
      <c r="H170" s="15" t="s">
        <v>48</v>
      </c>
      <c r="I170" s="15">
        <v>10</v>
      </c>
      <c r="J170" s="100">
        <v>2.4</v>
      </c>
      <c r="K170" s="50" t="s">
        <v>52</v>
      </c>
      <c r="L170" s="8" t="s">
        <v>52</v>
      </c>
      <c r="M170" s="33">
        <v>4</v>
      </c>
      <c r="N170" s="10">
        <v>4</v>
      </c>
      <c r="O170" s="32"/>
      <c r="Q170" s="34"/>
      <c r="S170" s="35"/>
    </row>
    <row r="171" spans="1:20" ht="31" x14ac:dyDescent="0.2">
      <c r="A171" s="15" t="s">
        <v>43</v>
      </c>
      <c r="B171" s="15">
        <v>260</v>
      </c>
      <c r="C171" s="15" t="s">
        <v>44</v>
      </c>
      <c r="D171" s="15" t="s">
        <v>161</v>
      </c>
      <c r="E171" s="15" t="s">
        <v>477</v>
      </c>
      <c r="F171" s="16" t="s">
        <v>522</v>
      </c>
      <c r="G171" s="17">
        <v>44250.845289351855</v>
      </c>
      <c r="H171" s="15" t="s">
        <v>48</v>
      </c>
      <c r="I171" s="15">
        <v>9</v>
      </c>
      <c r="J171" s="100">
        <v>2.4</v>
      </c>
      <c r="K171" s="50" t="s">
        <v>108</v>
      </c>
      <c r="L171" s="8" t="s">
        <v>108</v>
      </c>
      <c r="M171" s="33">
        <v>4</v>
      </c>
      <c r="N171" s="10">
        <v>4</v>
      </c>
      <c r="O171" s="32" t="s">
        <v>58</v>
      </c>
      <c r="P171" s="8" t="s">
        <v>58</v>
      </c>
      <c r="Q171" s="34" t="s">
        <v>112</v>
      </c>
      <c r="R171" s="10" t="s">
        <v>112</v>
      </c>
      <c r="S171" s="35"/>
    </row>
    <row r="172" spans="1:20" ht="46" x14ac:dyDescent="0.2">
      <c r="A172" s="15" t="s">
        <v>43</v>
      </c>
      <c r="B172" s="15">
        <v>260</v>
      </c>
      <c r="C172" s="15" t="s">
        <v>44</v>
      </c>
      <c r="D172" s="15" t="s">
        <v>161</v>
      </c>
      <c r="E172" s="15" t="s">
        <v>483</v>
      </c>
      <c r="F172" s="16" t="s">
        <v>523</v>
      </c>
      <c r="G172" s="17">
        <v>44250.845451388886</v>
      </c>
      <c r="H172" s="15" t="s">
        <v>48</v>
      </c>
      <c r="I172" s="15">
        <v>10</v>
      </c>
      <c r="J172" s="100">
        <v>2.4</v>
      </c>
      <c r="K172" s="50" t="s">
        <v>108</v>
      </c>
      <c r="L172" s="8" t="s">
        <v>108</v>
      </c>
      <c r="M172" s="33">
        <v>4</v>
      </c>
      <c r="N172" s="10">
        <v>4</v>
      </c>
      <c r="O172" s="32"/>
      <c r="Q172" s="34"/>
      <c r="S172" s="35"/>
    </row>
    <row r="173" spans="1:20" ht="17" x14ac:dyDescent="0.2">
      <c r="A173" s="15" t="s">
        <v>43</v>
      </c>
      <c r="B173" s="15">
        <v>260</v>
      </c>
      <c r="C173" s="15" t="s">
        <v>44</v>
      </c>
      <c r="D173" s="15" t="s">
        <v>161</v>
      </c>
      <c r="E173" s="15" t="s">
        <v>480</v>
      </c>
      <c r="F173" s="16" t="s">
        <v>524</v>
      </c>
      <c r="G173" s="17">
        <v>44250.845451388886</v>
      </c>
      <c r="H173" s="15" t="s">
        <v>48</v>
      </c>
      <c r="I173" s="15">
        <v>9</v>
      </c>
      <c r="J173" s="100">
        <v>2.4</v>
      </c>
      <c r="K173" s="50" t="s">
        <v>108</v>
      </c>
      <c r="L173" s="8" t="s">
        <v>108</v>
      </c>
      <c r="M173" s="33">
        <v>4</v>
      </c>
      <c r="N173" s="10">
        <v>4</v>
      </c>
      <c r="O173" s="32" t="s">
        <v>58</v>
      </c>
      <c r="P173" s="8" t="s">
        <v>58</v>
      </c>
      <c r="Q173" s="34"/>
      <c r="S173" s="35"/>
    </row>
    <row r="174" spans="1:20" ht="46" x14ac:dyDescent="0.2">
      <c r="A174" s="15" t="s">
        <v>43</v>
      </c>
      <c r="B174" s="15">
        <v>260</v>
      </c>
      <c r="C174" s="15" t="s">
        <v>44</v>
      </c>
      <c r="D174" s="15" t="s">
        <v>161</v>
      </c>
      <c r="E174" s="15" t="s">
        <v>483</v>
      </c>
      <c r="F174" s="16" t="s">
        <v>525</v>
      </c>
      <c r="G174" s="17">
        <v>44250.846226851849</v>
      </c>
      <c r="H174" s="15" t="s">
        <v>48</v>
      </c>
      <c r="I174" s="15">
        <v>10</v>
      </c>
      <c r="J174" s="100">
        <v>2.4</v>
      </c>
      <c r="K174" s="50" t="s">
        <v>108</v>
      </c>
      <c r="L174" s="8" t="s">
        <v>108</v>
      </c>
      <c r="M174" s="33">
        <v>4</v>
      </c>
      <c r="N174" s="10">
        <v>4</v>
      </c>
      <c r="O174" s="32"/>
      <c r="Q174" s="34"/>
      <c r="S174" s="35"/>
    </row>
    <row r="175" spans="1:20" ht="31" x14ac:dyDescent="0.2">
      <c r="A175" s="15" t="s">
        <v>43</v>
      </c>
      <c r="B175" s="15">
        <v>260</v>
      </c>
      <c r="C175" s="15" t="s">
        <v>44</v>
      </c>
      <c r="D175" s="15" t="s">
        <v>161</v>
      </c>
      <c r="E175" s="15" t="s">
        <v>480</v>
      </c>
      <c r="F175" s="16" t="s">
        <v>526</v>
      </c>
      <c r="G175" s="17">
        <v>44250.846261574072</v>
      </c>
      <c r="H175" s="15" t="s">
        <v>48</v>
      </c>
      <c r="I175" s="15">
        <v>9</v>
      </c>
      <c r="J175" s="100">
        <v>2.4</v>
      </c>
      <c r="K175" s="50" t="s">
        <v>108</v>
      </c>
      <c r="L175" s="8" t="s">
        <v>108</v>
      </c>
      <c r="M175" s="33">
        <v>4</v>
      </c>
      <c r="N175" s="10">
        <v>4</v>
      </c>
      <c r="O175" s="32"/>
      <c r="Q175" s="34"/>
      <c r="S175" s="35"/>
    </row>
    <row r="176" spans="1:20" ht="46" x14ac:dyDescent="0.2">
      <c r="A176" s="15" t="s">
        <v>43</v>
      </c>
      <c r="B176" s="15">
        <v>260</v>
      </c>
      <c r="C176" s="15" t="s">
        <v>44</v>
      </c>
      <c r="D176" s="15" t="s">
        <v>161</v>
      </c>
      <c r="E176" s="15" t="s">
        <v>483</v>
      </c>
      <c r="F176" s="16" t="s">
        <v>527</v>
      </c>
      <c r="G176" s="17">
        <v>44250.847048611111</v>
      </c>
      <c r="H176" s="15" t="s">
        <v>48</v>
      </c>
      <c r="I176" s="15">
        <v>10</v>
      </c>
      <c r="J176" s="100">
        <v>2.4</v>
      </c>
      <c r="K176" s="50" t="s">
        <v>108</v>
      </c>
      <c r="L176" s="8" t="s">
        <v>108</v>
      </c>
      <c r="M176" s="33">
        <v>4</v>
      </c>
      <c r="N176" s="10">
        <v>4</v>
      </c>
      <c r="O176" s="32"/>
      <c r="Q176" s="34" t="s">
        <v>112</v>
      </c>
      <c r="R176" s="10" t="s">
        <v>112</v>
      </c>
      <c r="S176" s="35"/>
    </row>
    <row r="177" spans="1:20" ht="17" x14ac:dyDescent="0.2">
      <c r="A177" s="15" t="s">
        <v>43</v>
      </c>
      <c r="B177" s="15">
        <v>260</v>
      </c>
      <c r="C177" s="15" t="s">
        <v>44</v>
      </c>
      <c r="D177" s="15" t="s">
        <v>161</v>
      </c>
      <c r="E177" s="15" t="s">
        <v>477</v>
      </c>
      <c r="F177" s="16" t="s">
        <v>528</v>
      </c>
      <c r="G177" s="17">
        <v>44250.847094907411</v>
      </c>
      <c r="H177" s="15" t="s">
        <v>48</v>
      </c>
      <c r="I177" s="15">
        <v>9</v>
      </c>
      <c r="J177" s="100">
        <v>2.4</v>
      </c>
      <c r="K177" s="50" t="s">
        <v>108</v>
      </c>
      <c r="L177" s="8" t="s">
        <v>108</v>
      </c>
      <c r="M177" s="33">
        <v>4</v>
      </c>
      <c r="N177" s="10">
        <v>4</v>
      </c>
      <c r="O177" s="32"/>
      <c r="Q177" s="34"/>
      <c r="S177" s="35"/>
    </row>
    <row r="178" spans="1:20" ht="17" x14ac:dyDescent="0.2">
      <c r="A178" s="15" t="s">
        <v>43</v>
      </c>
      <c r="B178" s="15">
        <v>260</v>
      </c>
      <c r="C178" s="15" t="s">
        <v>44</v>
      </c>
      <c r="D178" s="15" t="s">
        <v>161</v>
      </c>
      <c r="E178" s="15" t="s">
        <v>483</v>
      </c>
      <c r="F178" s="16" t="s">
        <v>529</v>
      </c>
      <c r="G178" s="17">
        <v>44250.84715277778</v>
      </c>
      <c r="H178" s="15" t="s">
        <v>48</v>
      </c>
      <c r="I178" s="15">
        <v>10</v>
      </c>
      <c r="J178" s="100">
        <v>2.4</v>
      </c>
      <c r="K178" s="50" t="s">
        <v>108</v>
      </c>
      <c r="L178" s="8" t="s">
        <v>108</v>
      </c>
      <c r="M178" s="33">
        <v>4</v>
      </c>
      <c r="N178" s="10">
        <v>4</v>
      </c>
      <c r="O178" s="32"/>
      <c r="Q178" s="34" t="s">
        <v>112</v>
      </c>
      <c r="R178" s="10" t="s">
        <v>112</v>
      </c>
      <c r="S178" s="35"/>
    </row>
    <row r="179" spans="1:20" ht="17" x14ac:dyDescent="0.2">
      <c r="A179" s="15" t="s">
        <v>43</v>
      </c>
      <c r="B179" s="15">
        <v>260</v>
      </c>
      <c r="C179" s="15" t="s">
        <v>44</v>
      </c>
      <c r="D179" s="15" t="s">
        <v>161</v>
      </c>
      <c r="E179" s="15" t="s">
        <v>477</v>
      </c>
      <c r="F179" s="16" t="s">
        <v>530</v>
      </c>
      <c r="G179" s="17">
        <v>44250.847337962965</v>
      </c>
      <c r="H179" s="15" t="s">
        <v>48</v>
      </c>
      <c r="I179" s="15">
        <v>9</v>
      </c>
      <c r="J179" s="100">
        <v>2.4</v>
      </c>
      <c r="K179" s="50" t="s">
        <v>108</v>
      </c>
      <c r="L179" s="8" t="s">
        <v>108</v>
      </c>
      <c r="M179" s="33">
        <v>4</v>
      </c>
      <c r="N179" s="10">
        <v>4</v>
      </c>
      <c r="O179" s="32" t="s">
        <v>58</v>
      </c>
      <c r="P179" s="8" t="s">
        <v>58</v>
      </c>
      <c r="Q179" s="34"/>
      <c r="S179" s="35"/>
    </row>
    <row r="180" spans="1:20" ht="17" x14ac:dyDescent="0.2">
      <c r="A180" s="15" t="s">
        <v>43</v>
      </c>
      <c r="B180" s="15">
        <v>260</v>
      </c>
      <c r="C180" s="15" t="s">
        <v>44</v>
      </c>
      <c r="D180" s="15" t="s">
        <v>161</v>
      </c>
      <c r="E180" s="15" t="s">
        <v>480</v>
      </c>
      <c r="F180" s="16" t="s">
        <v>531</v>
      </c>
      <c r="G180" s="17">
        <v>44250.847511574073</v>
      </c>
      <c r="H180" s="15" t="s">
        <v>48</v>
      </c>
      <c r="I180" s="15">
        <v>9</v>
      </c>
      <c r="J180" s="100">
        <v>2.4</v>
      </c>
      <c r="K180" s="50" t="s">
        <v>108</v>
      </c>
      <c r="L180" s="8" t="s">
        <v>108</v>
      </c>
      <c r="M180" s="33">
        <v>4</v>
      </c>
      <c r="N180" s="10">
        <v>4</v>
      </c>
      <c r="O180" s="32" t="s">
        <v>58</v>
      </c>
      <c r="P180" s="8" t="s">
        <v>58</v>
      </c>
      <c r="Q180" s="34"/>
      <c r="S180" s="35"/>
    </row>
    <row r="181" spans="1:20" ht="46" x14ac:dyDescent="0.2">
      <c r="A181" s="15" t="s">
        <v>43</v>
      </c>
      <c r="B181" s="15">
        <v>260</v>
      </c>
      <c r="C181" s="15" t="s">
        <v>44</v>
      </c>
      <c r="D181" s="15" t="s">
        <v>161</v>
      </c>
      <c r="E181" s="15" t="s">
        <v>483</v>
      </c>
      <c r="F181" s="16" t="s">
        <v>532</v>
      </c>
      <c r="G181" s="17">
        <v>44250.848171296297</v>
      </c>
      <c r="H181" s="15" t="s">
        <v>48</v>
      </c>
      <c r="I181" s="15">
        <v>10</v>
      </c>
      <c r="J181" s="100">
        <v>2.4</v>
      </c>
      <c r="K181" s="50" t="s">
        <v>52</v>
      </c>
      <c r="L181" s="8" t="s">
        <v>52</v>
      </c>
      <c r="M181" s="33">
        <v>5</v>
      </c>
      <c r="N181" s="10">
        <v>5</v>
      </c>
      <c r="O181" s="32"/>
      <c r="Q181" s="34"/>
      <c r="S181" s="35" t="s">
        <v>533</v>
      </c>
      <c r="T181" s="13" t="s">
        <v>534</v>
      </c>
    </row>
    <row r="182" spans="1:20" ht="17" x14ac:dyDescent="0.2">
      <c r="A182" s="15" t="s">
        <v>43</v>
      </c>
      <c r="B182" s="15">
        <v>260</v>
      </c>
      <c r="C182" s="15" t="s">
        <v>44</v>
      </c>
      <c r="D182" s="15" t="s">
        <v>161</v>
      </c>
      <c r="E182" s="15" t="s">
        <v>480</v>
      </c>
      <c r="F182" s="16" t="s">
        <v>535</v>
      </c>
      <c r="G182" s="17">
        <v>44250.848900462966</v>
      </c>
      <c r="H182" s="15" t="s">
        <v>48</v>
      </c>
      <c r="I182" s="15">
        <v>9</v>
      </c>
      <c r="J182" s="100">
        <v>2.4</v>
      </c>
      <c r="K182" s="50" t="s">
        <v>52</v>
      </c>
      <c r="L182" s="8" t="s">
        <v>52</v>
      </c>
      <c r="M182" s="33">
        <v>5</v>
      </c>
      <c r="N182" s="10">
        <v>5</v>
      </c>
      <c r="O182" s="32"/>
      <c r="Q182" s="34" t="s">
        <v>74</v>
      </c>
      <c r="R182" s="10" t="s">
        <v>74</v>
      </c>
      <c r="S182" s="35"/>
    </row>
    <row r="183" spans="1:20" ht="17" x14ac:dyDescent="0.2">
      <c r="A183" s="15" t="s">
        <v>43</v>
      </c>
      <c r="B183" s="15">
        <v>260</v>
      </c>
      <c r="C183" s="15" t="s">
        <v>44</v>
      </c>
      <c r="D183" s="15" t="s">
        <v>161</v>
      </c>
      <c r="E183" s="15" t="s">
        <v>477</v>
      </c>
      <c r="F183" s="16" t="s">
        <v>536</v>
      </c>
      <c r="G183" s="17">
        <v>44250.849189814813</v>
      </c>
      <c r="H183" s="15" t="s">
        <v>48</v>
      </c>
      <c r="I183" s="15">
        <v>9</v>
      </c>
      <c r="J183" s="100">
        <v>2.4</v>
      </c>
      <c r="K183" s="50" t="s">
        <v>52</v>
      </c>
      <c r="L183" s="8" t="s">
        <v>52</v>
      </c>
      <c r="M183" s="33">
        <v>5</v>
      </c>
      <c r="N183" s="10">
        <v>5</v>
      </c>
      <c r="O183" s="32" t="s">
        <v>58</v>
      </c>
      <c r="P183" s="8" t="s">
        <v>58</v>
      </c>
      <c r="Q183" s="34"/>
      <c r="S183" s="35"/>
    </row>
    <row r="184" spans="1:20" ht="17" x14ac:dyDescent="0.2">
      <c r="A184" s="15" t="s">
        <v>43</v>
      </c>
      <c r="B184" s="15">
        <v>260</v>
      </c>
      <c r="C184" s="15" t="s">
        <v>44</v>
      </c>
      <c r="D184" s="15" t="s">
        <v>161</v>
      </c>
      <c r="E184" s="15" t="s">
        <v>483</v>
      </c>
      <c r="F184" s="16" t="s">
        <v>537</v>
      </c>
      <c r="G184" s="17">
        <v>44250.849305555559</v>
      </c>
      <c r="H184" s="15" t="s">
        <v>48</v>
      </c>
      <c r="I184" s="15">
        <v>10</v>
      </c>
      <c r="J184" s="100">
        <v>2.4</v>
      </c>
      <c r="K184" s="50" t="s">
        <v>52</v>
      </c>
      <c r="L184" s="8" t="s">
        <v>52</v>
      </c>
      <c r="M184" s="33">
        <v>5</v>
      </c>
      <c r="N184" s="10">
        <v>5</v>
      </c>
      <c r="O184" s="32" t="s">
        <v>58</v>
      </c>
      <c r="P184" s="8" t="s">
        <v>58</v>
      </c>
      <c r="Q184" s="34"/>
      <c r="S184" s="35"/>
    </row>
    <row r="185" spans="1:20" ht="17" x14ac:dyDescent="0.2">
      <c r="A185" s="15" t="s">
        <v>43</v>
      </c>
      <c r="B185" s="15">
        <v>260</v>
      </c>
      <c r="C185" s="15" t="s">
        <v>44</v>
      </c>
      <c r="D185" s="15" t="s">
        <v>161</v>
      </c>
      <c r="E185" s="15" t="s">
        <v>483</v>
      </c>
      <c r="F185" s="16" t="s">
        <v>538</v>
      </c>
      <c r="G185" s="17">
        <v>44250.851504629631</v>
      </c>
      <c r="H185" s="15" t="s">
        <v>48</v>
      </c>
      <c r="I185" s="15">
        <v>10</v>
      </c>
      <c r="J185" s="100">
        <v>2.4</v>
      </c>
      <c r="K185" s="50" t="s">
        <v>52</v>
      </c>
      <c r="L185" s="8" t="s">
        <v>52</v>
      </c>
      <c r="M185" s="33">
        <v>5</v>
      </c>
      <c r="N185" s="10">
        <v>5</v>
      </c>
      <c r="O185" s="32"/>
      <c r="Q185" s="34" t="s">
        <v>74</v>
      </c>
      <c r="R185" s="10" t="s">
        <v>74</v>
      </c>
      <c r="S185" s="35"/>
    </row>
    <row r="186" spans="1:20" ht="31" x14ac:dyDescent="0.2">
      <c r="A186" s="15" t="s">
        <v>43</v>
      </c>
      <c r="B186" s="15">
        <v>260</v>
      </c>
      <c r="C186" s="15" t="s">
        <v>44</v>
      </c>
      <c r="D186" s="15" t="s">
        <v>161</v>
      </c>
      <c r="E186" s="15" t="s">
        <v>480</v>
      </c>
      <c r="F186" s="16" t="s">
        <v>539</v>
      </c>
      <c r="G186" s="17">
        <v>44250.851747685185</v>
      </c>
      <c r="H186" s="15" t="s">
        <v>48</v>
      </c>
      <c r="I186" s="15">
        <v>9</v>
      </c>
      <c r="J186" s="100">
        <v>2.4</v>
      </c>
      <c r="K186" s="50" t="s">
        <v>52</v>
      </c>
      <c r="L186" s="8" t="s">
        <v>52</v>
      </c>
      <c r="M186" s="33">
        <v>5</v>
      </c>
      <c r="N186" s="10">
        <v>5</v>
      </c>
      <c r="O186" s="32"/>
      <c r="Q186" s="34" t="s">
        <v>74</v>
      </c>
      <c r="R186" s="10" t="s">
        <v>74</v>
      </c>
      <c r="S186" s="35"/>
    </row>
    <row r="187" spans="1:20" ht="17" x14ac:dyDescent="0.2">
      <c r="A187" s="15" t="s">
        <v>43</v>
      </c>
      <c r="B187" s="15">
        <v>260</v>
      </c>
      <c r="C187" s="15" t="s">
        <v>44</v>
      </c>
      <c r="D187" s="15" t="s">
        <v>161</v>
      </c>
      <c r="E187" s="15" t="s">
        <v>477</v>
      </c>
      <c r="F187" s="16" t="s">
        <v>540</v>
      </c>
      <c r="G187" s="17">
        <v>44250.851886574077</v>
      </c>
      <c r="H187" s="15" t="s">
        <v>48</v>
      </c>
      <c r="I187" s="15">
        <v>9</v>
      </c>
      <c r="J187" s="100">
        <v>2.4</v>
      </c>
      <c r="K187" s="50" t="s">
        <v>52</v>
      </c>
      <c r="L187" s="8" t="s">
        <v>52</v>
      </c>
      <c r="M187" s="33">
        <v>5</v>
      </c>
      <c r="N187" s="10">
        <v>5</v>
      </c>
      <c r="O187" s="32" t="s">
        <v>58</v>
      </c>
      <c r="P187" s="8" t="s">
        <v>58</v>
      </c>
      <c r="Q187" s="34"/>
      <c r="S187" s="35"/>
    </row>
    <row r="188" spans="1:20" ht="17" x14ac:dyDescent="0.2">
      <c r="A188" s="15" t="s">
        <v>43</v>
      </c>
      <c r="B188" s="15">
        <v>260</v>
      </c>
      <c r="C188" s="15" t="s">
        <v>44</v>
      </c>
      <c r="D188" s="15" t="s">
        <v>161</v>
      </c>
      <c r="E188" s="15" t="s">
        <v>483</v>
      </c>
      <c r="F188" s="16" t="s">
        <v>541</v>
      </c>
      <c r="G188" s="17">
        <v>44250.851990740739</v>
      </c>
      <c r="H188" s="15" t="s">
        <v>48</v>
      </c>
      <c r="I188" s="15">
        <v>10</v>
      </c>
      <c r="J188" s="100">
        <v>2.4</v>
      </c>
      <c r="K188" s="50" t="s">
        <v>52</v>
      </c>
      <c r="L188" s="8" t="s">
        <v>52</v>
      </c>
      <c r="M188" s="33">
        <v>5</v>
      </c>
      <c r="N188" s="10">
        <v>5</v>
      </c>
      <c r="O188" s="32" t="s">
        <v>58</v>
      </c>
      <c r="P188" s="8" t="s">
        <v>58</v>
      </c>
      <c r="Q188" s="34"/>
      <c r="S188" s="35"/>
    </row>
    <row r="189" spans="1:20" ht="17" x14ac:dyDescent="0.2">
      <c r="A189" s="15" t="s">
        <v>43</v>
      </c>
      <c r="B189" s="15">
        <v>260</v>
      </c>
      <c r="C189" s="15" t="s">
        <v>44</v>
      </c>
      <c r="D189" s="15" t="s">
        <v>161</v>
      </c>
      <c r="E189" s="15" t="s">
        <v>477</v>
      </c>
      <c r="F189" s="16" t="s">
        <v>542</v>
      </c>
      <c r="G189" s="17">
        <v>44250.852002314816</v>
      </c>
      <c r="H189" s="15" t="s">
        <v>48</v>
      </c>
      <c r="I189" s="15">
        <v>9</v>
      </c>
      <c r="J189" s="100">
        <v>2.4</v>
      </c>
      <c r="K189" s="50" t="s">
        <v>52</v>
      </c>
      <c r="L189" s="8" t="s">
        <v>52</v>
      </c>
      <c r="M189" s="33">
        <v>5</v>
      </c>
      <c r="N189" s="10">
        <v>5</v>
      </c>
      <c r="O189" s="32" t="s">
        <v>58</v>
      </c>
      <c r="P189" s="8" t="s">
        <v>58</v>
      </c>
      <c r="Q189" s="34"/>
      <c r="S189" s="35"/>
    </row>
    <row r="190" spans="1:20" ht="46" x14ac:dyDescent="0.2">
      <c r="A190" s="15" t="s">
        <v>43</v>
      </c>
      <c r="B190" s="15">
        <v>260</v>
      </c>
      <c r="C190" s="15" t="s">
        <v>44</v>
      </c>
      <c r="D190" s="15" t="s">
        <v>161</v>
      </c>
      <c r="E190" s="15" t="s">
        <v>480</v>
      </c>
      <c r="F190" s="16" t="s">
        <v>543</v>
      </c>
      <c r="G190" s="17">
        <v>44250.853784722225</v>
      </c>
      <c r="H190" s="15" t="s">
        <v>48</v>
      </c>
      <c r="I190" s="15">
        <v>9</v>
      </c>
      <c r="J190" s="100">
        <v>2.4</v>
      </c>
      <c r="K190" s="50" t="s">
        <v>52</v>
      </c>
      <c r="L190" s="8" t="s">
        <v>52</v>
      </c>
      <c r="M190" s="33">
        <v>6</v>
      </c>
      <c r="N190" s="10">
        <v>6</v>
      </c>
      <c r="O190" s="32" t="s">
        <v>305</v>
      </c>
      <c r="P190" s="8" t="s">
        <v>305</v>
      </c>
      <c r="Q190" s="34" t="s">
        <v>74</v>
      </c>
      <c r="R190" s="10" t="s">
        <v>74</v>
      </c>
      <c r="S190" s="35"/>
    </row>
    <row r="191" spans="1:20" ht="31" x14ac:dyDescent="0.2">
      <c r="A191" s="15" t="s">
        <v>43</v>
      </c>
      <c r="B191" s="15">
        <v>260</v>
      </c>
      <c r="C191" s="15" t="s">
        <v>44</v>
      </c>
      <c r="D191" s="15" t="s">
        <v>161</v>
      </c>
      <c r="E191" s="15" t="s">
        <v>483</v>
      </c>
      <c r="F191" s="16" t="s">
        <v>544</v>
      </c>
      <c r="G191" s="17">
        <v>44250.854224537034</v>
      </c>
      <c r="H191" s="15" t="s">
        <v>48</v>
      </c>
      <c r="I191" s="15">
        <v>10</v>
      </c>
      <c r="J191" s="100">
        <v>2.4</v>
      </c>
      <c r="K191" s="50" t="s">
        <v>52</v>
      </c>
      <c r="L191" s="8" t="s">
        <v>52</v>
      </c>
      <c r="M191" s="33">
        <v>6</v>
      </c>
      <c r="N191" s="10">
        <v>6</v>
      </c>
      <c r="O191" s="32" t="s">
        <v>305</v>
      </c>
      <c r="P191" s="8" t="s">
        <v>305</v>
      </c>
      <c r="Q191" s="34"/>
      <c r="S191" s="35"/>
    </row>
    <row r="192" spans="1:20" ht="31" x14ac:dyDescent="0.2">
      <c r="A192" s="15" t="s">
        <v>43</v>
      </c>
      <c r="B192" s="15">
        <v>260</v>
      </c>
      <c r="C192" s="15" t="s">
        <v>44</v>
      </c>
      <c r="D192" s="15" t="s">
        <v>161</v>
      </c>
      <c r="E192" s="15" t="s">
        <v>483</v>
      </c>
      <c r="F192" s="16" t="s">
        <v>545</v>
      </c>
      <c r="G192" s="17">
        <v>44250.854548611111</v>
      </c>
      <c r="H192" s="15" t="s">
        <v>48</v>
      </c>
      <c r="I192" s="15">
        <v>10</v>
      </c>
      <c r="J192" s="100">
        <v>2.4</v>
      </c>
      <c r="K192" s="50" t="s">
        <v>52</v>
      </c>
      <c r="L192" s="8" t="s">
        <v>52</v>
      </c>
      <c r="M192" s="33">
        <v>6</v>
      </c>
      <c r="N192" s="10">
        <v>6</v>
      </c>
      <c r="O192" s="32" t="s">
        <v>305</v>
      </c>
      <c r="P192" s="8" t="s">
        <v>305</v>
      </c>
      <c r="Q192" s="34"/>
      <c r="S192" s="35"/>
    </row>
    <row r="193" spans="1:20" ht="31" x14ac:dyDescent="0.2">
      <c r="A193" s="15" t="s">
        <v>43</v>
      </c>
      <c r="B193" s="15">
        <v>260</v>
      </c>
      <c r="C193" s="15" t="s">
        <v>44</v>
      </c>
      <c r="D193" s="15" t="s">
        <v>161</v>
      </c>
      <c r="E193" s="15" t="s">
        <v>477</v>
      </c>
      <c r="F193" s="16" t="s">
        <v>546</v>
      </c>
      <c r="G193" s="17">
        <v>44250.854699074072</v>
      </c>
      <c r="H193" s="15" t="s">
        <v>48</v>
      </c>
      <c r="I193" s="15">
        <v>9</v>
      </c>
      <c r="J193" s="100">
        <v>2.4</v>
      </c>
      <c r="K193" s="50" t="s">
        <v>52</v>
      </c>
      <c r="L193" s="8" t="s">
        <v>52</v>
      </c>
      <c r="M193" s="33">
        <v>6</v>
      </c>
      <c r="N193" s="10">
        <v>6</v>
      </c>
      <c r="O193" s="32" t="s">
        <v>305</v>
      </c>
      <c r="P193" s="8" t="s">
        <v>305</v>
      </c>
      <c r="Q193" s="34"/>
      <c r="S193" s="35"/>
    </row>
    <row r="194" spans="1:20" ht="17" x14ac:dyDescent="0.2">
      <c r="A194" s="15" t="s">
        <v>43</v>
      </c>
      <c r="B194" s="15">
        <v>260</v>
      </c>
      <c r="C194" s="15" t="s">
        <v>44</v>
      </c>
      <c r="D194" s="15" t="s">
        <v>161</v>
      </c>
      <c r="E194" s="15" t="s">
        <v>477</v>
      </c>
      <c r="F194" s="16" t="s">
        <v>547</v>
      </c>
      <c r="G194" s="17">
        <v>44250.855069444442</v>
      </c>
      <c r="H194" s="15" t="s">
        <v>48</v>
      </c>
      <c r="I194" s="15">
        <v>9</v>
      </c>
      <c r="J194" s="100">
        <v>2.4</v>
      </c>
      <c r="K194" s="50" t="s">
        <v>52</v>
      </c>
      <c r="L194" s="8" t="s">
        <v>52</v>
      </c>
      <c r="M194" s="33">
        <v>6</v>
      </c>
      <c r="N194" s="10">
        <v>6</v>
      </c>
      <c r="O194" s="32" t="s">
        <v>305</v>
      </c>
      <c r="P194" s="8" t="s">
        <v>305</v>
      </c>
      <c r="Q194" s="34" t="s">
        <v>74</v>
      </c>
      <c r="R194" s="10" t="s">
        <v>74</v>
      </c>
      <c r="S194" s="35"/>
    </row>
    <row r="195" spans="1:20" ht="17" x14ac:dyDescent="0.2">
      <c r="A195" s="15" t="s">
        <v>43</v>
      </c>
      <c r="B195" s="15">
        <v>260</v>
      </c>
      <c r="C195" s="15" t="s">
        <v>44</v>
      </c>
      <c r="D195" s="15" t="s">
        <v>161</v>
      </c>
      <c r="E195" s="15" t="s">
        <v>483</v>
      </c>
      <c r="F195" s="16" t="s">
        <v>548</v>
      </c>
      <c r="G195" s="17">
        <v>44250.855543981481</v>
      </c>
      <c r="H195" s="15" t="s">
        <v>48</v>
      </c>
      <c r="I195" s="15">
        <v>10</v>
      </c>
      <c r="J195" s="100">
        <v>2.4</v>
      </c>
      <c r="K195" s="50" t="s">
        <v>52</v>
      </c>
      <c r="L195" s="8" t="s">
        <v>52</v>
      </c>
      <c r="M195" s="33">
        <v>6</v>
      </c>
      <c r="N195" s="10">
        <v>6</v>
      </c>
      <c r="O195" s="32" t="s">
        <v>58</v>
      </c>
      <c r="P195" s="8" t="s">
        <v>58</v>
      </c>
      <c r="Q195" s="34"/>
      <c r="S195" s="35"/>
    </row>
    <row r="196" spans="1:20" ht="17" x14ac:dyDescent="0.2">
      <c r="A196" s="15" t="s">
        <v>43</v>
      </c>
      <c r="B196" s="15">
        <v>260</v>
      </c>
      <c r="C196" s="15" t="s">
        <v>44</v>
      </c>
      <c r="D196" s="15" t="s">
        <v>161</v>
      </c>
      <c r="E196" s="15" t="s">
        <v>477</v>
      </c>
      <c r="F196" s="16" t="s">
        <v>549</v>
      </c>
      <c r="G196" s="17">
        <v>44250.85596064815</v>
      </c>
      <c r="H196" s="15" t="s">
        <v>48</v>
      </c>
      <c r="I196" s="15">
        <v>9</v>
      </c>
      <c r="J196" s="100">
        <v>2.4</v>
      </c>
      <c r="K196" s="50" t="s">
        <v>52</v>
      </c>
      <c r="L196" s="8" t="s">
        <v>52</v>
      </c>
      <c r="M196" s="33">
        <v>6</v>
      </c>
      <c r="N196" s="10">
        <v>6</v>
      </c>
      <c r="O196" s="32" t="s">
        <v>58</v>
      </c>
      <c r="P196" s="8" t="s">
        <v>58</v>
      </c>
      <c r="Q196" s="34"/>
      <c r="S196" s="35"/>
    </row>
    <row r="197" spans="1:20" ht="17" x14ac:dyDescent="0.2">
      <c r="A197" s="15" t="s">
        <v>43</v>
      </c>
      <c r="B197" s="15">
        <v>260</v>
      </c>
      <c r="C197" s="15" t="s">
        <v>44</v>
      </c>
      <c r="D197" s="15" t="s">
        <v>161</v>
      </c>
      <c r="E197" s="15" t="s">
        <v>477</v>
      </c>
      <c r="F197" s="16" t="s">
        <v>550</v>
      </c>
      <c r="G197" s="17">
        <v>44250.856041666666</v>
      </c>
      <c r="H197" s="15" t="s">
        <v>48</v>
      </c>
      <c r="I197" s="15">
        <v>9</v>
      </c>
      <c r="J197" s="100">
        <v>2.4</v>
      </c>
      <c r="K197" s="50" t="s">
        <v>52</v>
      </c>
      <c r="L197" s="8" t="s">
        <v>52</v>
      </c>
      <c r="M197" s="33">
        <v>6</v>
      </c>
      <c r="N197" s="10">
        <v>6</v>
      </c>
      <c r="O197" s="32"/>
      <c r="Q197" s="34"/>
      <c r="S197" s="35"/>
    </row>
    <row r="198" spans="1:20" ht="17" x14ac:dyDescent="0.2">
      <c r="A198" s="15" t="s">
        <v>43</v>
      </c>
      <c r="B198" s="15">
        <v>260</v>
      </c>
      <c r="C198" s="15" t="s">
        <v>44</v>
      </c>
      <c r="D198" s="15" t="s">
        <v>161</v>
      </c>
      <c r="E198" s="15" t="s">
        <v>480</v>
      </c>
      <c r="F198" s="16" t="s">
        <v>551</v>
      </c>
      <c r="G198" s="17">
        <v>44250.85665509259</v>
      </c>
      <c r="H198" s="15" t="s">
        <v>48</v>
      </c>
      <c r="I198" s="15">
        <v>9</v>
      </c>
      <c r="J198" s="100">
        <v>2.4</v>
      </c>
      <c r="K198" s="50" t="s">
        <v>52</v>
      </c>
      <c r="L198" s="8" t="s">
        <v>52</v>
      </c>
      <c r="M198" s="33">
        <v>6</v>
      </c>
      <c r="N198" s="10">
        <v>6</v>
      </c>
      <c r="O198" s="32"/>
      <c r="Q198" s="34" t="s">
        <v>261</v>
      </c>
      <c r="R198" s="10" t="s">
        <v>261</v>
      </c>
      <c r="S198" s="35"/>
    </row>
    <row r="199" spans="1:20" ht="17" x14ac:dyDescent="0.2">
      <c r="A199" s="15" t="s">
        <v>43</v>
      </c>
      <c r="B199" s="15">
        <v>260</v>
      </c>
      <c r="C199" s="15" t="s">
        <v>44</v>
      </c>
      <c r="D199" s="15" t="s">
        <v>161</v>
      </c>
      <c r="E199" s="15" t="s">
        <v>483</v>
      </c>
      <c r="F199" s="16" t="s">
        <v>552</v>
      </c>
      <c r="G199" s="17">
        <v>44250.856851851851</v>
      </c>
      <c r="H199" s="15" t="s">
        <v>48</v>
      </c>
      <c r="I199" s="15">
        <v>10</v>
      </c>
      <c r="J199" s="100">
        <v>2.4</v>
      </c>
      <c r="K199" s="50" t="s">
        <v>52</v>
      </c>
      <c r="L199" s="8" t="s">
        <v>52</v>
      </c>
      <c r="M199" s="33">
        <v>6</v>
      </c>
      <c r="N199" s="10">
        <v>6</v>
      </c>
      <c r="O199" s="32" t="s">
        <v>58</v>
      </c>
      <c r="P199" s="8" t="s">
        <v>58</v>
      </c>
      <c r="Q199" s="34"/>
      <c r="S199" s="35"/>
    </row>
    <row r="200" spans="1:20" ht="61" x14ac:dyDescent="0.2">
      <c r="A200" s="15" t="s">
        <v>43</v>
      </c>
      <c r="B200" s="15">
        <v>260</v>
      </c>
      <c r="C200" s="15" t="s">
        <v>44</v>
      </c>
      <c r="D200" s="15" t="s">
        <v>161</v>
      </c>
      <c r="E200" s="15" t="s">
        <v>480</v>
      </c>
      <c r="F200" s="16" t="s">
        <v>553</v>
      </c>
      <c r="G200" s="17">
        <v>44250.857418981483</v>
      </c>
      <c r="H200" s="15" t="s">
        <v>48</v>
      </c>
      <c r="I200" s="15">
        <v>9</v>
      </c>
      <c r="J200" s="100">
        <v>2.4</v>
      </c>
      <c r="K200" s="50" t="s">
        <v>108</v>
      </c>
      <c r="L200" s="8" t="s">
        <v>108</v>
      </c>
      <c r="O200" s="32"/>
      <c r="Q200" s="34" t="s">
        <v>112</v>
      </c>
      <c r="R200" s="10" t="s">
        <v>112</v>
      </c>
      <c r="S200" s="35" t="s">
        <v>109</v>
      </c>
      <c r="T200" s="13" t="s">
        <v>109</v>
      </c>
    </row>
    <row r="201" spans="1:20" ht="17" x14ac:dyDescent="0.2">
      <c r="A201" s="15" t="s">
        <v>43</v>
      </c>
      <c r="B201" s="15">
        <v>260</v>
      </c>
      <c r="C201" s="15" t="s">
        <v>44</v>
      </c>
      <c r="D201" s="15" t="s">
        <v>161</v>
      </c>
      <c r="E201" s="15" t="s">
        <v>477</v>
      </c>
      <c r="F201" s="16" t="s">
        <v>554</v>
      </c>
      <c r="G201" s="17">
        <v>44250.857488425929</v>
      </c>
      <c r="H201" s="15" t="s">
        <v>48</v>
      </c>
      <c r="I201" s="15">
        <v>9</v>
      </c>
      <c r="J201" s="100">
        <v>2.4</v>
      </c>
      <c r="K201" s="50" t="s">
        <v>49</v>
      </c>
      <c r="L201" s="8" t="s">
        <v>49</v>
      </c>
      <c r="O201" s="32"/>
      <c r="Q201" s="34"/>
      <c r="S201" s="35"/>
    </row>
    <row r="202" spans="1:20" ht="46" x14ac:dyDescent="0.2">
      <c r="A202" s="15" t="s">
        <v>43</v>
      </c>
      <c r="B202" s="15">
        <v>260</v>
      </c>
      <c r="C202" s="15" t="s">
        <v>44</v>
      </c>
      <c r="D202" s="15" t="s">
        <v>161</v>
      </c>
      <c r="E202" s="15" t="s">
        <v>477</v>
      </c>
      <c r="F202" s="16" t="s">
        <v>555</v>
      </c>
      <c r="G202" s="17">
        <v>44250.857939814814</v>
      </c>
      <c r="H202" s="15" t="s">
        <v>48</v>
      </c>
      <c r="I202" s="15">
        <v>9</v>
      </c>
      <c r="J202" s="100">
        <v>2.4</v>
      </c>
      <c r="K202" s="50" t="s">
        <v>108</v>
      </c>
      <c r="L202" s="8" t="s">
        <v>108</v>
      </c>
      <c r="O202" s="32"/>
      <c r="Q202" s="34" t="s">
        <v>112</v>
      </c>
      <c r="R202" s="10" t="s">
        <v>112</v>
      </c>
      <c r="S202" s="35"/>
    </row>
    <row r="203" spans="1:20" ht="61" x14ac:dyDescent="0.2">
      <c r="A203" s="15" t="s">
        <v>43</v>
      </c>
      <c r="B203" s="15">
        <v>260</v>
      </c>
      <c r="C203" s="15" t="s">
        <v>44</v>
      </c>
      <c r="D203" s="15" t="s">
        <v>161</v>
      </c>
      <c r="E203" s="15" t="s">
        <v>483</v>
      </c>
      <c r="F203" s="16" t="s">
        <v>556</v>
      </c>
      <c r="G203" s="17">
        <v>44250.858055555553</v>
      </c>
      <c r="H203" s="15" t="s">
        <v>48</v>
      </c>
      <c r="I203" s="15">
        <v>10</v>
      </c>
      <c r="J203" s="100">
        <v>2.4</v>
      </c>
      <c r="K203" s="50" t="s">
        <v>108</v>
      </c>
      <c r="L203" s="8" t="s">
        <v>108</v>
      </c>
      <c r="M203" s="33">
        <v>7</v>
      </c>
      <c r="N203" s="10">
        <v>7</v>
      </c>
      <c r="O203" s="32"/>
      <c r="Q203" s="34"/>
      <c r="S203" s="35"/>
    </row>
    <row r="204" spans="1:20" ht="17" x14ac:dyDescent="0.2">
      <c r="A204" s="15" t="s">
        <v>43</v>
      </c>
      <c r="B204" s="15">
        <v>260</v>
      </c>
      <c r="C204" s="15" t="s">
        <v>44</v>
      </c>
      <c r="D204" s="15" t="s">
        <v>161</v>
      </c>
      <c r="E204" s="15" t="s">
        <v>483</v>
      </c>
      <c r="F204" s="16" t="s">
        <v>557</v>
      </c>
      <c r="G204" s="17">
        <v>44250.85833333333</v>
      </c>
      <c r="H204" s="15" t="s">
        <v>48</v>
      </c>
      <c r="I204" s="15">
        <v>10</v>
      </c>
      <c r="J204" s="100">
        <v>2.4</v>
      </c>
      <c r="K204" s="50" t="s">
        <v>68</v>
      </c>
      <c r="L204" s="8" t="s">
        <v>68</v>
      </c>
      <c r="M204" s="33">
        <v>6</v>
      </c>
      <c r="N204" s="10">
        <v>6</v>
      </c>
      <c r="O204" s="32"/>
      <c r="Q204" s="34"/>
      <c r="S204" s="35"/>
    </row>
    <row r="205" spans="1:20" ht="17" x14ac:dyDescent="0.2">
      <c r="A205" s="15" t="s">
        <v>43</v>
      </c>
      <c r="B205" s="15">
        <v>260</v>
      </c>
      <c r="C205" s="15" t="s">
        <v>44</v>
      </c>
      <c r="D205" s="15" t="s">
        <v>161</v>
      </c>
      <c r="E205" s="15" t="s">
        <v>477</v>
      </c>
      <c r="F205" s="16" t="s">
        <v>558</v>
      </c>
      <c r="G205" s="17">
        <v>44250.858472222222</v>
      </c>
      <c r="H205" s="15" t="s">
        <v>48</v>
      </c>
      <c r="I205" s="15">
        <v>9</v>
      </c>
      <c r="J205" s="100">
        <v>2.4</v>
      </c>
      <c r="K205" s="50" t="s">
        <v>108</v>
      </c>
      <c r="L205" s="8" t="s">
        <v>108</v>
      </c>
      <c r="M205" s="33">
        <v>7</v>
      </c>
      <c r="N205" s="10">
        <v>7</v>
      </c>
      <c r="O205" s="32"/>
      <c r="Q205" s="34"/>
      <c r="S205" s="35"/>
    </row>
    <row r="206" spans="1:20" ht="17" x14ac:dyDescent="0.2">
      <c r="A206" s="15" t="s">
        <v>43</v>
      </c>
      <c r="B206" s="15">
        <v>260</v>
      </c>
      <c r="C206" s="15" t="s">
        <v>44</v>
      </c>
      <c r="D206" s="15" t="s">
        <v>161</v>
      </c>
      <c r="E206" s="15" t="s">
        <v>480</v>
      </c>
      <c r="F206" s="16" t="s">
        <v>559</v>
      </c>
      <c r="G206" s="17">
        <v>44250.858738425923</v>
      </c>
      <c r="H206" s="15" t="s">
        <v>48</v>
      </c>
      <c r="I206" s="15">
        <v>9</v>
      </c>
      <c r="J206" s="100">
        <v>2.4</v>
      </c>
      <c r="K206" s="50" t="s">
        <v>108</v>
      </c>
      <c r="L206" s="8" t="s">
        <v>108</v>
      </c>
      <c r="M206" s="33">
        <v>7</v>
      </c>
      <c r="N206" s="10">
        <v>7</v>
      </c>
      <c r="O206" s="32"/>
      <c r="Q206" s="34"/>
      <c r="S206" s="35"/>
    </row>
    <row r="207" spans="1:20" ht="17" x14ac:dyDescent="0.2">
      <c r="A207" s="15" t="s">
        <v>43</v>
      </c>
      <c r="B207" s="15">
        <v>260</v>
      </c>
      <c r="C207" s="15" t="s">
        <v>44</v>
      </c>
      <c r="D207" s="15" t="s">
        <v>161</v>
      </c>
      <c r="E207" s="15" t="s">
        <v>480</v>
      </c>
      <c r="F207" s="16" t="s">
        <v>560</v>
      </c>
      <c r="G207" s="17">
        <v>44250.859803240739</v>
      </c>
      <c r="H207" s="15" t="s">
        <v>48</v>
      </c>
      <c r="I207" s="15">
        <v>9</v>
      </c>
      <c r="J207" s="100">
        <v>2.4</v>
      </c>
      <c r="K207" s="50" t="s">
        <v>108</v>
      </c>
      <c r="L207" s="8" t="s">
        <v>108</v>
      </c>
      <c r="M207" s="33">
        <v>7</v>
      </c>
      <c r="N207" s="10">
        <v>7</v>
      </c>
      <c r="O207" s="32" t="s">
        <v>58</v>
      </c>
      <c r="P207" s="8" t="s">
        <v>58</v>
      </c>
      <c r="Q207" s="34"/>
      <c r="S207" s="35"/>
    </row>
    <row r="208" spans="1:20" ht="17" x14ac:dyDescent="0.2">
      <c r="A208" s="15" t="s">
        <v>43</v>
      </c>
      <c r="B208" s="15">
        <v>260</v>
      </c>
      <c r="C208" s="15" t="s">
        <v>44</v>
      </c>
      <c r="D208" s="15" t="s">
        <v>161</v>
      </c>
      <c r="E208" s="15" t="s">
        <v>477</v>
      </c>
      <c r="F208" s="16" t="s">
        <v>561</v>
      </c>
      <c r="G208" s="17">
        <v>44250.860289351855</v>
      </c>
      <c r="H208" s="15" t="s">
        <v>48</v>
      </c>
      <c r="I208" s="15">
        <v>9</v>
      </c>
      <c r="J208" s="100">
        <v>2.4</v>
      </c>
      <c r="K208" s="50" t="s">
        <v>108</v>
      </c>
      <c r="L208" s="8" t="s">
        <v>108</v>
      </c>
      <c r="M208" s="33">
        <v>7</v>
      </c>
      <c r="N208" s="10">
        <v>7</v>
      </c>
      <c r="O208" s="32" t="s">
        <v>58</v>
      </c>
      <c r="P208" s="8" t="s">
        <v>58</v>
      </c>
      <c r="Q208" s="34"/>
      <c r="S208" s="35"/>
    </row>
    <row r="209" spans="1:20" ht="17" x14ac:dyDescent="0.2">
      <c r="A209" s="15" t="s">
        <v>43</v>
      </c>
      <c r="B209" s="15">
        <v>260</v>
      </c>
      <c r="C209" s="15" t="s">
        <v>44</v>
      </c>
      <c r="D209" s="15" t="s">
        <v>161</v>
      </c>
      <c r="E209" s="15" t="s">
        <v>477</v>
      </c>
      <c r="F209" s="16" t="s">
        <v>562</v>
      </c>
      <c r="G209" s="17">
        <v>44250.860393518517</v>
      </c>
      <c r="H209" s="15" t="s">
        <v>48</v>
      </c>
      <c r="I209" s="15">
        <v>9</v>
      </c>
      <c r="J209" s="100">
        <v>2.4</v>
      </c>
      <c r="K209" s="50" t="s">
        <v>108</v>
      </c>
      <c r="L209" s="8" t="s">
        <v>108</v>
      </c>
      <c r="M209" s="33">
        <v>7</v>
      </c>
      <c r="N209" s="10">
        <v>7</v>
      </c>
      <c r="O209" s="32" t="s">
        <v>58</v>
      </c>
      <c r="P209" s="8" t="s">
        <v>58</v>
      </c>
      <c r="Q209" s="34"/>
      <c r="S209" s="35"/>
    </row>
    <row r="210" spans="1:20" ht="17" x14ac:dyDescent="0.2">
      <c r="A210" s="15" t="s">
        <v>43</v>
      </c>
      <c r="B210" s="15">
        <v>260</v>
      </c>
      <c r="C210" s="15" t="s">
        <v>44</v>
      </c>
      <c r="D210" s="15" t="s">
        <v>161</v>
      </c>
      <c r="E210" s="15" t="s">
        <v>480</v>
      </c>
      <c r="F210" s="16" t="s">
        <v>563</v>
      </c>
      <c r="G210" s="17">
        <v>44250.860625000001</v>
      </c>
      <c r="H210" s="15" t="s">
        <v>48</v>
      </c>
      <c r="I210" s="15">
        <v>9</v>
      </c>
      <c r="J210" s="100">
        <v>2.4</v>
      </c>
      <c r="K210" s="50" t="s">
        <v>108</v>
      </c>
      <c r="L210" s="8" t="s">
        <v>108</v>
      </c>
      <c r="M210" s="33">
        <v>7</v>
      </c>
      <c r="N210" s="10">
        <v>7</v>
      </c>
      <c r="O210" s="32" t="s">
        <v>58</v>
      </c>
      <c r="P210" s="8" t="s">
        <v>58</v>
      </c>
      <c r="Q210" s="34"/>
      <c r="S210" s="35"/>
    </row>
    <row r="211" spans="1:20" ht="17" x14ac:dyDescent="0.2">
      <c r="A211" s="15" t="s">
        <v>43</v>
      </c>
      <c r="B211" s="15">
        <v>260</v>
      </c>
      <c r="C211" s="15" t="s">
        <v>44</v>
      </c>
      <c r="D211" s="15" t="s">
        <v>161</v>
      </c>
      <c r="E211" s="15" t="s">
        <v>483</v>
      </c>
      <c r="F211" s="16" t="s">
        <v>564</v>
      </c>
      <c r="G211" s="17">
        <v>44250.860810185186</v>
      </c>
      <c r="H211" s="15" t="s">
        <v>48</v>
      </c>
      <c r="I211" s="15">
        <v>10</v>
      </c>
      <c r="J211" s="100">
        <v>2.4</v>
      </c>
      <c r="K211" s="50" t="s">
        <v>49</v>
      </c>
      <c r="L211" s="8" t="s">
        <v>49</v>
      </c>
      <c r="M211" s="33">
        <v>7</v>
      </c>
      <c r="N211" s="10">
        <v>7</v>
      </c>
      <c r="O211" s="32" t="s">
        <v>58</v>
      </c>
      <c r="P211" s="8" t="s">
        <v>58</v>
      </c>
      <c r="Q211" s="34"/>
      <c r="S211" s="35"/>
    </row>
    <row r="212" spans="1:20" ht="46" x14ac:dyDescent="0.2">
      <c r="A212" s="15" t="s">
        <v>43</v>
      </c>
      <c r="B212" s="15">
        <v>260</v>
      </c>
      <c r="C212" s="15" t="s">
        <v>44</v>
      </c>
      <c r="D212" s="15" t="s">
        <v>161</v>
      </c>
      <c r="E212" s="15" t="s">
        <v>480</v>
      </c>
      <c r="F212" s="16" t="s">
        <v>565</v>
      </c>
      <c r="G212" s="17">
        <v>44250.861006944448</v>
      </c>
      <c r="H212" s="15" t="s">
        <v>48</v>
      </c>
      <c r="I212" s="15">
        <v>9</v>
      </c>
      <c r="J212" s="100">
        <v>2.4</v>
      </c>
      <c r="K212" s="50" t="s">
        <v>108</v>
      </c>
      <c r="L212" s="8" t="s">
        <v>108</v>
      </c>
      <c r="M212" s="33">
        <v>7</v>
      </c>
      <c r="N212" s="10">
        <v>7</v>
      </c>
      <c r="O212" s="32"/>
      <c r="Q212" s="34" t="s">
        <v>261</v>
      </c>
      <c r="R212" s="10" t="s">
        <v>261</v>
      </c>
      <c r="S212" s="35"/>
    </row>
    <row r="213" spans="1:20" ht="46" x14ac:dyDescent="0.2">
      <c r="A213" s="15" t="s">
        <v>43</v>
      </c>
      <c r="B213" s="15">
        <v>260</v>
      </c>
      <c r="C213" s="15" t="s">
        <v>44</v>
      </c>
      <c r="D213" s="15" t="s">
        <v>161</v>
      </c>
      <c r="E213" s="15" t="s">
        <v>477</v>
      </c>
      <c r="F213" s="16" t="s">
        <v>566</v>
      </c>
      <c r="G213" s="17">
        <v>44250.86109953704</v>
      </c>
      <c r="H213" s="15" t="s">
        <v>48</v>
      </c>
      <c r="I213" s="15">
        <v>9</v>
      </c>
      <c r="J213" s="100">
        <v>2.4</v>
      </c>
      <c r="K213" s="50" t="s">
        <v>108</v>
      </c>
      <c r="L213" s="8" t="s">
        <v>108</v>
      </c>
      <c r="M213" s="33">
        <v>7</v>
      </c>
      <c r="N213" s="10">
        <v>7</v>
      </c>
      <c r="O213" s="32"/>
      <c r="Q213" s="34"/>
      <c r="S213" s="35"/>
    </row>
    <row r="214" spans="1:20" ht="31" x14ac:dyDescent="0.2">
      <c r="A214" s="15" t="s">
        <v>43</v>
      </c>
      <c r="B214" s="15">
        <v>260</v>
      </c>
      <c r="C214" s="15" t="s">
        <v>44</v>
      </c>
      <c r="D214" s="15" t="s">
        <v>161</v>
      </c>
      <c r="E214" s="15" t="s">
        <v>477</v>
      </c>
      <c r="F214" s="16" t="s">
        <v>567</v>
      </c>
      <c r="G214" s="17">
        <v>44250.86146990741</v>
      </c>
      <c r="H214" s="15" t="s">
        <v>48</v>
      </c>
      <c r="I214" s="15">
        <v>9</v>
      </c>
      <c r="J214" s="100">
        <v>2.4</v>
      </c>
      <c r="K214" s="50" t="s">
        <v>108</v>
      </c>
      <c r="L214" s="8" t="s">
        <v>108</v>
      </c>
      <c r="M214" s="33">
        <v>7</v>
      </c>
      <c r="N214" s="10">
        <v>7</v>
      </c>
      <c r="O214" s="32" t="s">
        <v>58</v>
      </c>
      <c r="P214" s="8" t="s">
        <v>58</v>
      </c>
      <c r="Q214" s="34" t="s">
        <v>112</v>
      </c>
      <c r="R214" s="10" t="s">
        <v>112</v>
      </c>
      <c r="S214" s="35"/>
    </row>
    <row r="215" spans="1:20" ht="46" x14ac:dyDescent="0.2">
      <c r="A215" s="15" t="s">
        <v>43</v>
      </c>
      <c r="B215" s="15">
        <v>260</v>
      </c>
      <c r="C215" s="15" t="s">
        <v>44</v>
      </c>
      <c r="D215" s="15" t="s">
        <v>161</v>
      </c>
      <c r="E215" s="15" t="s">
        <v>483</v>
      </c>
      <c r="F215" s="16" t="s">
        <v>568</v>
      </c>
      <c r="G215" s="17">
        <v>44250.861562500002</v>
      </c>
      <c r="H215" s="15" t="s">
        <v>48</v>
      </c>
      <c r="I215" s="15">
        <v>10</v>
      </c>
      <c r="J215" s="100">
        <v>2.4</v>
      </c>
      <c r="K215" s="50" t="s">
        <v>108</v>
      </c>
      <c r="L215" s="8" t="s">
        <v>108</v>
      </c>
      <c r="M215" s="33">
        <v>7</v>
      </c>
      <c r="N215" s="10">
        <v>7</v>
      </c>
      <c r="O215" s="32"/>
      <c r="Q215" s="34" t="s">
        <v>112</v>
      </c>
      <c r="R215" s="10" t="s">
        <v>569</v>
      </c>
      <c r="S215" s="35"/>
    </row>
    <row r="216" spans="1:20" ht="31" x14ac:dyDescent="0.2">
      <c r="A216" s="15" t="s">
        <v>43</v>
      </c>
      <c r="B216" s="15">
        <v>260</v>
      </c>
      <c r="C216" s="15" t="s">
        <v>44</v>
      </c>
      <c r="D216" s="15" t="s">
        <v>161</v>
      </c>
      <c r="E216" s="15" t="s">
        <v>480</v>
      </c>
      <c r="F216" s="16" t="s">
        <v>570</v>
      </c>
      <c r="G216" s="17">
        <v>44250.861655092594</v>
      </c>
      <c r="H216" s="15" t="s">
        <v>48</v>
      </c>
      <c r="I216" s="15">
        <v>9</v>
      </c>
      <c r="J216" s="100">
        <v>2.4</v>
      </c>
      <c r="K216" s="50" t="s">
        <v>108</v>
      </c>
      <c r="L216" s="8" t="s">
        <v>108</v>
      </c>
      <c r="M216" s="33">
        <v>7</v>
      </c>
      <c r="N216" s="10">
        <v>7</v>
      </c>
      <c r="O216" s="32"/>
      <c r="Q216" s="34"/>
      <c r="S216" s="35"/>
    </row>
    <row r="217" spans="1:20" ht="17" x14ac:dyDescent="0.2">
      <c r="A217" s="15" t="s">
        <v>43</v>
      </c>
      <c r="B217" s="15">
        <v>260</v>
      </c>
      <c r="C217" s="15" t="s">
        <v>44</v>
      </c>
      <c r="D217" s="15" t="s">
        <v>161</v>
      </c>
      <c r="E217" s="15" t="s">
        <v>483</v>
      </c>
      <c r="F217" s="16" t="s">
        <v>571</v>
      </c>
      <c r="G217" s="17">
        <v>44250.861979166664</v>
      </c>
      <c r="H217" s="15" t="s">
        <v>48</v>
      </c>
      <c r="I217" s="15">
        <v>10</v>
      </c>
      <c r="J217" s="100">
        <v>2.4</v>
      </c>
      <c r="K217" s="50" t="s">
        <v>108</v>
      </c>
      <c r="L217" s="8" t="s">
        <v>108</v>
      </c>
      <c r="M217" s="33">
        <v>7</v>
      </c>
      <c r="N217" s="10">
        <v>7</v>
      </c>
      <c r="O217" s="32"/>
      <c r="Q217" s="34" t="s">
        <v>112</v>
      </c>
      <c r="R217" s="10" t="s">
        <v>112</v>
      </c>
      <c r="S217" s="35"/>
    </row>
    <row r="218" spans="1:20" ht="46" x14ac:dyDescent="0.2">
      <c r="A218" s="15" t="s">
        <v>43</v>
      </c>
      <c r="B218" s="15">
        <v>260</v>
      </c>
      <c r="C218" s="15" t="s">
        <v>44</v>
      </c>
      <c r="D218" s="15" t="s">
        <v>161</v>
      </c>
      <c r="E218" s="15" t="s">
        <v>477</v>
      </c>
      <c r="F218" s="16" t="s">
        <v>572</v>
      </c>
      <c r="G218" s="17">
        <v>44250.862199074072</v>
      </c>
      <c r="H218" s="15" t="s">
        <v>48</v>
      </c>
      <c r="I218" s="15">
        <v>9</v>
      </c>
      <c r="J218" s="100">
        <v>2.4</v>
      </c>
      <c r="K218" s="50" t="s">
        <v>52</v>
      </c>
      <c r="L218" s="8" t="s">
        <v>52</v>
      </c>
      <c r="M218" s="33">
        <v>7</v>
      </c>
      <c r="N218" s="10">
        <v>7</v>
      </c>
      <c r="O218" s="32" t="s">
        <v>58</v>
      </c>
      <c r="P218" s="8" t="s">
        <v>58</v>
      </c>
      <c r="Q218" s="34"/>
      <c r="S218" s="35" t="s">
        <v>533</v>
      </c>
      <c r="T218" s="13" t="s">
        <v>573</v>
      </c>
    </row>
    <row r="219" spans="1:20" ht="31" x14ac:dyDescent="0.2">
      <c r="A219" s="15" t="s">
        <v>43</v>
      </c>
      <c r="B219" s="15">
        <v>260</v>
      </c>
      <c r="C219" s="15" t="s">
        <v>44</v>
      </c>
      <c r="D219" s="15" t="s">
        <v>161</v>
      </c>
      <c r="E219" s="15" t="s">
        <v>480</v>
      </c>
      <c r="F219" s="16" t="s">
        <v>574</v>
      </c>
      <c r="G219" s="17">
        <v>44250.862361111111</v>
      </c>
      <c r="H219" s="15" t="s">
        <v>48</v>
      </c>
      <c r="I219" s="15">
        <v>9</v>
      </c>
      <c r="J219" s="100">
        <v>2.4</v>
      </c>
      <c r="K219" s="50" t="s">
        <v>52</v>
      </c>
      <c r="L219" s="8" t="s">
        <v>52</v>
      </c>
      <c r="M219" s="33">
        <v>7</v>
      </c>
      <c r="N219" s="10">
        <v>7</v>
      </c>
      <c r="O219" s="32" t="s">
        <v>58</v>
      </c>
      <c r="P219" s="8" t="s">
        <v>58</v>
      </c>
      <c r="Q219" s="34"/>
      <c r="S219" s="35"/>
    </row>
    <row r="220" spans="1:20" ht="17" x14ac:dyDescent="0.2">
      <c r="A220" s="15" t="s">
        <v>43</v>
      </c>
      <c r="B220" s="15">
        <v>260</v>
      </c>
      <c r="C220" s="15" t="s">
        <v>44</v>
      </c>
      <c r="D220" s="15" t="s">
        <v>161</v>
      </c>
      <c r="E220" s="15" t="s">
        <v>483</v>
      </c>
      <c r="F220" s="16" t="s">
        <v>575</v>
      </c>
      <c r="G220" s="17">
        <v>44250.862708333334</v>
      </c>
      <c r="H220" s="15" t="s">
        <v>48</v>
      </c>
      <c r="I220" s="15">
        <v>10</v>
      </c>
      <c r="J220" s="100">
        <v>2.4</v>
      </c>
      <c r="K220" s="50" t="s">
        <v>49</v>
      </c>
      <c r="L220" s="8" t="s">
        <v>49</v>
      </c>
      <c r="M220" s="33">
        <v>7</v>
      </c>
      <c r="N220" s="10">
        <v>7</v>
      </c>
      <c r="O220" s="32" t="s">
        <v>58</v>
      </c>
      <c r="P220" s="8" t="s">
        <v>58</v>
      </c>
      <c r="Q220" s="34"/>
      <c r="S220" s="35"/>
    </row>
    <row r="221" spans="1:20" ht="31" x14ac:dyDescent="0.2">
      <c r="A221" s="15" t="s">
        <v>43</v>
      </c>
      <c r="B221" s="15">
        <v>260</v>
      </c>
      <c r="C221" s="15" t="s">
        <v>44</v>
      </c>
      <c r="D221" s="15" t="s">
        <v>161</v>
      </c>
      <c r="E221" s="15" t="s">
        <v>477</v>
      </c>
      <c r="F221" s="16" t="s">
        <v>576</v>
      </c>
      <c r="G221" s="17">
        <v>44250.862939814811</v>
      </c>
      <c r="H221" s="15" t="s">
        <v>48</v>
      </c>
      <c r="I221" s="15">
        <v>9</v>
      </c>
      <c r="J221" s="100">
        <v>2.4</v>
      </c>
      <c r="K221" s="50" t="s">
        <v>52</v>
      </c>
      <c r="L221" s="8" t="s">
        <v>52</v>
      </c>
      <c r="M221" s="33">
        <v>7</v>
      </c>
      <c r="N221" s="10">
        <v>7</v>
      </c>
      <c r="O221" s="32" t="s">
        <v>58</v>
      </c>
      <c r="P221" s="8" t="s">
        <v>58</v>
      </c>
      <c r="Q221" s="34"/>
      <c r="S221" s="35"/>
    </row>
    <row r="222" spans="1:20" ht="31" x14ac:dyDescent="0.2">
      <c r="A222" s="15" t="s">
        <v>43</v>
      </c>
      <c r="B222" s="15">
        <v>260</v>
      </c>
      <c r="C222" s="15" t="s">
        <v>44</v>
      </c>
      <c r="D222" s="15" t="s">
        <v>161</v>
      </c>
      <c r="E222" s="15" t="s">
        <v>483</v>
      </c>
      <c r="F222" s="16" t="s">
        <v>577</v>
      </c>
      <c r="G222" s="17">
        <v>44250.863344907404</v>
      </c>
      <c r="H222" s="15" t="s">
        <v>48</v>
      </c>
      <c r="I222" s="15">
        <v>10</v>
      </c>
      <c r="J222" s="100">
        <v>2.4</v>
      </c>
      <c r="K222" s="50" t="s">
        <v>52</v>
      </c>
      <c r="L222" s="8" t="s">
        <v>52</v>
      </c>
      <c r="M222" s="33">
        <v>7</v>
      </c>
      <c r="N222" s="10">
        <v>7</v>
      </c>
      <c r="O222" s="32"/>
      <c r="Q222" s="34"/>
      <c r="S222" s="35"/>
    </row>
    <row r="223" spans="1:20" ht="17" x14ac:dyDescent="0.2">
      <c r="A223" s="15" t="s">
        <v>43</v>
      </c>
      <c r="B223" s="15">
        <v>260</v>
      </c>
      <c r="C223" s="15" t="s">
        <v>44</v>
      </c>
      <c r="D223" s="15" t="s">
        <v>161</v>
      </c>
      <c r="E223" s="15" t="s">
        <v>477</v>
      </c>
      <c r="F223" s="16" t="s">
        <v>578</v>
      </c>
      <c r="G223" s="17">
        <v>44250.863738425927</v>
      </c>
      <c r="H223" s="15" t="s">
        <v>48</v>
      </c>
      <c r="I223" s="15">
        <v>9</v>
      </c>
      <c r="J223" s="100">
        <v>2.4</v>
      </c>
      <c r="K223" s="50" t="s">
        <v>52</v>
      </c>
      <c r="L223" s="8" t="s">
        <v>52</v>
      </c>
      <c r="M223" s="33">
        <v>7</v>
      </c>
      <c r="N223" s="10">
        <v>77</v>
      </c>
      <c r="O223" s="32" t="s">
        <v>58</v>
      </c>
      <c r="P223" s="8" t="s">
        <v>58</v>
      </c>
      <c r="Q223" s="34"/>
      <c r="S223" s="35"/>
    </row>
    <row r="224" spans="1:20" ht="31" x14ac:dyDescent="0.2">
      <c r="A224" s="15" t="s">
        <v>43</v>
      </c>
      <c r="B224" s="15">
        <v>260</v>
      </c>
      <c r="C224" s="15" t="s">
        <v>44</v>
      </c>
      <c r="D224" s="15" t="s">
        <v>161</v>
      </c>
      <c r="E224" s="15" t="s">
        <v>477</v>
      </c>
      <c r="F224" s="16" t="s">
        <v>579</v>
      </c>
      <c r="G224" s="17">
        <v>44250.86383101852</v>
      </c>
      <c r="H224" s="15" t="s">
        <v>48</v>
      </c>
      <c r="I224" s="15">
        <v>9</v>
      </c>
      <c r="J224" s="100">
        <v>2.4</v>
      </c>
      <c r="K224" s="50" t="s">
        <v>49</v>
      </c>
      <c r="L224" s="8" t="s">
        <v>49</v>
      </c>
      <c r="M224" s="33">
        <v>7</v>
      </c>
      <c r="N224" s="10">
        <v>7</v>
      </c>
      <c r="O224" s="32"/>
      <c r="Q224" s="34"/>
      <c r="S224" s="35" t="s">
        <v>243</v>
      </c>
      <c r="T224" s="13" t="s">
        <v>243</v>
      </c>
    </row>
    <row r="225" spans="1:20" ht="31" x14ac:dyDescent="0.2">
      <c r="A225" s="15" t="s">
        <v>43</v>
      </c>
      <c r="B225" s="15">
        <v>260</v>
      </c>
      <c r="C225" s="15" t="s">
        <v>44</v>
      </c>
      <c r="D225" s="15" t="s">
        <v>161</v>
      </c>
      <c r="E225" s="15" t="s">
        <v>480</v>
      </c>
      <c r="F225" s="16" t="s">
        <v>580</v>
      </c>
      <c r="G225" s="17">
        <v>44250.863888888889</v>
      </c>
      <c r="H225" s="15" t="s">
        <v>48</v>
      </c>
      <c r="I225" s="15">
        <v>9</v>
      </c>
      <c r="J225" s="100">
        <v>2.4</v>
      </c>
      <c r="K225" s="50" t="s">
        <v>52</v>
      </c>
      <c r="L225" s="8" t="s">
        <v>52</v>
      </c>
      <c r="O225" s="32"/>
      <c r="Q225" s="34"/>
      <c r="S225" s="35"/>
    </row>
    <row r="226" spans="1:20" ht="17" x14ac:dyDescent="0.2">
      <c r="A226" s="15" t="s">
        <v>43</v>
      </c>
      <c r="B226" s="15">
        <v>260</v>
      </c>
      <c r="C226" s="15" t="s">
        <v>44</v>
      </c>
      <c r="D226" s="15" t="s">
        <v>161</v>
      </c>
      <c r="E226" s="15" t="s">
        <v>480</v>
      </c>
      <c r="F226" s="16" t="s">
        <v>581</v>
      </c>
      <c r="G226" s="17">
        <v>44250.864120370374</v>
      </c>
      <c r="H226" s="15" t="s">
        <v>48</v>
      </c>
      <c r="I226" s="15">
        <v>9</v>
      </c>
      <c r="J226" s="100">
        <v>2.4</v>
      </c>
      <c r="K226" s="50" t="s">
        <v>49</v>
      </c>
      <c r="L226" s="8" t="s">
        <v>49</v>
      </c>
      <c r="O226" s="32"/>
      <c r="Q226" s="34"/>
      <c r="S226" s="35"/>
    </row>
    <row r="227" spans="1:20" ht="17" x14ac:dyDescent="0.2">
      <c r="A227" s="15" t="s">
        <v>43</v>
      </c>
      <c r="B227" s="15">
        <v>260</v>
      </c>
      <c r="C227" s="15" t="s">
        <v>44</v>
      </c>
      <c r="D227" s="15" t="s">
        <v>161</v>
      </c>
      <c r="E227" s="15" t="s">
        <v>477</v>
      </c>
      <c r="F227" s="16" t="s">
        <v>582</v>
      </c>
      <c r="G227" s="17">
        <v>44250.86445601852</v>
      </c>
      <c r="H227" s="15" t="s">
        <v>48</v>
      </c>
      <c r="I227" s="15">
        <v>9</v>
      </c>
      <c r="J227" s="100">
        <v>2.4</v>
      </c>
      <c r="K227" s="50" t="s">
        <v>49</v>
      </c>
      <c r="L227" s="8" t="s">
        <v>49</v>
      </c>
      <c r="O227" s="32"/>
      <c r="Q227" s="34"/>
      <c r="S227" s="35"/>
    </row>
    <row r="228" spans="1:20" ht="17" x14ac:dyDescent="0.2">
      <c r="A228" s="15" t="s">
        <v>43</v>
      </c>
      <c r="B228" s="15">
        <v>260</v>
      </c>
      <c r="C228" s="15" t="s">
        <v>44</v>
      </c>
      <c r="D228" s="15" t="s">
        <v>161</v>
      </c>
      <c r="E228" s="15" t="s">
        <v>483</v>
      </c>
      <c r="F228" s="16" t="s">
        <v>583</v>
      </c>
      <c r="G228" s="17">
        <v>44250.864930555559</v>
      </c>
      <c r="H228" s="15" t="s">
        <v>48</v>
      </c>
      <c r="I228" s="15">
        <v>10</v>
      </c>
      <c r="J228" s="100">
        <v>2.4</v>
      </c>
      <c r="K228" s="50" t="s">
        <v>49</v>
      </c>
      <c r="L228" s="8" t="s">
        <v>49</v>
      </c>
      <c r="O228" s="32"/>
      <c r="Q228" s="34"/>
      <c r="S228" s="35"/>
    </row>
    <row r="229" spans="1:20" ht="210" x14ac:dyDescent="0.15">
      <c r="A229" s="15" t="s">
        <v>43</v>
      </c>
      <c r="B229" s="15">
        <v>260</v>
      </c>
      <c r="C229" s="15" t="s">
        <v>44</v>
      </c>
      <c r="D229" s="15" t="s">
        <v>271</v>
      </c>
      <c r="E229" s="15" t="s">
        <v>584</v>
      </c>
      <c r="F229" s="16" t="s">
        <v>585</v>
      </c>
      <c r="G229" s="17">
        <v>44246.625925925924</v>
      </c>
      <c r="H229" s="15" t="s">
        <v>48</v>
      </c>
      <c r="I229" s="15">
        <v>10</v>
      </c>
      <c r="J229" s="100">
        <v>2.5</v>
      </c>
      <c r="K229" s="52"/>
      <c r="L229" s="8" t="s">
        <v>52</v>
      </c>
      <c r="O229" s="32"/>
      <c r="Q229" s="53"/>
      <c r="S229" s="35"/>
    </row>
    <row r="230" spans="1:20" x14ac:dyDescent="0.15">
      <c r="K230" s="47"/>
      <c r="L230" s="47"/>
      <c r="M230" s="30"/>
      <c r="N230" s="48"/>
      <c r="O230" s="28"/>
      <c r="P230" s="47"/>
      <c r="Q230" s="30"/>
      <c r="R230" s="48"/>
      <c r="S230" s="31"/>
      <c r="T230" s="49"/>
    </row>
    <row r="231" spans="1:20" x14ac:dyDescent="0.15">
      <c r="O231" s="32"/>
      <c r="Q231" s="34"/>
      <c r="S231" s="35"/>
    </row>
    <row r="232" spans="1:20" x14ac:dyDescent="0.15">
      <c r="O232" s="32"/>
      <c r="Q232" s="34"/>
      <c r="S232" s="35"/>
    </row>
    <row r="233" spans="1:20" x14ac:dyDescent="0.15">
      <c r="O233" s="32"/>
      <c r="Q233" s="34"/>
      <c r="S233" s="35"/>
    </row>
    <row r="234" spans="1:20" x14ac:dyDescent="0.15">
      <c r="O234" s="32"/>
      <c r="Q234" s="34"/>
      <c r="S234" s="35"/>
    </row>
    <row r="235" spans="1:20" x14ac:dyDescent="0.15">
      <c r="O235" s="32"/>
      <c r="Q235" s="34"/>
      <c r="S235" s="35"/>
    </row>
    <row r="236" spans="1:20" x14ac:dyDescent="0.15">
      <c r="O236" s="32"/>
      <c r="Q236" s="34"/>
    </row>
    <row r="237" spans="1:20" x14ac:dyDescent="0.15">
      <c r="O237" s="32"/>
    </row>
    <row r="238" spans="1:20" x14ac:dyDescent="0.15">
      <c r="O238" s="32"/>
    </row>
  </sheetData>
  <hyperlinks>
    <hyperlink ref="J2" location="'S21 Collaborative Writing'!B2" display="'S21 Collaborative Writing'!B2" xr:uid="{5052682D-590D-45E4-A701-A3EBF0A97D41}"/>
    <hyperlink ref="J20" location="'S21 Collaborative Writing'!B3" display="'S21 Collaborative Writing'!B3" xr:uid="{DC147894-93C9-4A2A-8895-4E8700527AD1}"/>
    <hyperlink ref="J27" location="'S21 Collaborative Writing'!B4" display="'S21 Collaborative Writing'!B4" xr:uid="{60299DB7-2B9A-4E30-BD37-E77F6B85A6A8}"/>
    <hyperlink ref="J3:J19" location="'S21 Collaborative Writing'!B2" display="'S21 Collaborative Writing'!B2" xr:uid="{E9BDDB54-82DA-4B5F-8A7E-9B3A05CA197E}"/>
    <hyperlink ref="J21:J26" location="'S21 Collaborative Writing'!B3" display="'S21 Collaborative Writing'!B3" xr:uid="{899F7427-CDFA-457E-91D0-664B50F7C981}"/>
    <hyperlink ref="J28:J38" location="'S21 Collaborative Writing'!B4" display="'S21 Collaborative Writing'!B4" xr:uid="{F81D362F-C955-494F-B492-6043B8E7AB80}"/>
    <hyperlink ref="J39" location="'S21 Collaborative Writing'!B5" display="'S21 Collaborative Writing'!B5" xr:uid="{B28915CF-1727-430C-AD09-A1E4361D8882}"/>
    <hyperlink ref="J40:J98" location="'S21 Collaborative Writing'!B5" display="'S21 Collaborative Writing'!B5" xr:uid="{5E54D0F1-0774-419A-8694-329FFB3D0773}"/>
    <hyperlink ref="J99" location="'S21 Collaborative Writing'!B6" display="'S21 Collaborative Writing'!B6" xr:uid="{2AF88800-80AF-4D1C-86DB-30E4ECE0ED5F}"/>
    <hyperlink ref="J100:J122" location="'S21 Collaborative Writing'!B6" display="'S21 Collaborative Writing'!B6" xr:uid="{2B5945B0-D6C5-46AA-BD89-321035236DDF}"/>
    <hyperlink ref="J123" location="'S21 Collaborative Writing'!B7" display="'S21 Collaborative Writing'!B7" xr:uid="{E7EEF30A-86CD-4C42-9412-5611B9F07D81}"/>
    <hyperlink ref="J124:J134" location="'S21 Collaborative Writing'!B7" display="'S21 Collaborative Writing'!B7" xr:uid="{660AD556-E475-475E-9263-E2F499468484}"/>
    <hyperlink ref="J135" location="'S21 Collaborative Writing'!B8" display="'S21 Collaborative Writing'!B8" xr:uid="{2007002C-BF36-45C5-B0C6-A951AEB22CAB}"/>
    <hyperlink ref="J136:J228" location="'S21 Collaborative Writing'!B8" display="'S21 Collaborative Writing'!B8" xr:uid="{39951BB1-DF50-4467-B50E-3F8CEB656AEC}"/>
    <hyperlink ref="J229" location="'S21 Collaborative Writing'!B9" display="'S21 Collaborative Writing'!B9" xr:uid="{82FBD75F-3FEC-4BA7-BD78-8CF3DB463637}"/>
  </hyperlink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002D8-0129-463D-AD78-ED07C84036A6}">
  <sheetPr codeName="Sheet6"/>
  <dimension ref="A1:E9"/>
  <sheetViews>
    <sheetView zoomScaleNormal="100" workbookViewId="0">
      <pane ySplit="1" topLeftCell="A6" activePane="bottomLeft" state="frozen"/>
      <selection pane="bottomLeft" activeCell="E2" sqref="E2:E8"/>
    </sheetView>
  </sheetViews>
  <sheetFormatPr baseColWidth="10" defaultColWidth="8.5" defaultRowHeight="14" x14ac:dyDescent="0.15"/>
  <cols>
    <col min="1" max="1" width="17.5" style="15" customWidth="1"/>
    <col min="2" max="2" width="96.83203125" style="16" customWidth="1"/>
    <col min="3" max="3" width="8.5" style="56"/>
    <col min="4" max="4" width="8" style="56" customWidth="1"/>
    <col min="5" max="5" width="8.5" style="99"/>
    <col min="6" max="16384" width="8.5" style="15"/>
  </cols>
  <sheetData>
    <row r="1" spans="1:5" ht="16" thickBot="1" x14ac:dyDescent="0.2">
      <c r="A1" s="4" t="s">
        <v>30</v>
      </c>
      <c r="B1" s="5" t="s">
        <v>640</v>
      </c>
      <c r="C1" s="55" t="s">
        <v>641</v>
      </c>
      <c r="D1" s="55" t="s">
        <v>642</v>
      </c>
      <c r="E1" s="257" t="s">
        <v>644</v>
      </c>
    </row>
    <row r="2" spans="1:5" ht="75" x14ac:dyDescent="0.15">
      <c r="A2" s="15">
        <v>1.1000000000000001</v>
      </c>
      <c r="B2" s="16" t="s">
        <v>792</v>
      </c>
      <c r="C2" s="56">
        <v>3</v>
      </c>
      <c r="D2" s="56">
        <v>3</v>
      </c>
      <c r="E2" s="99">
        <f>AVERAGE(C2,D2)</f>
        <v>3</v>
      </c>
    </row>
    <row r="3" spans="1:5" ht="30" x14ac:dyDescent="0.15">
      <c r="A3" s="15">
        <v>1.2</v>
      </c>
      <c r="B3" s="16" t="s">
        <v>793</v>
      </c>
      <c r="C3" s="56">
        <v>2</v>
      </c>
      <c r="D3" s="56">
        <v>1</v>
      </c>
      <c r="E3" s="99">
        <f t="shared" ref="E3:E8" si="0">AVERAGE(C3,D3)</f>
        <v>1.5</v>
      </c>
    </row>
    <row r="4" spans="1:5" ht="75" x14ac:dyDescent="0.15">
      <c r="A4" s="15">
        <v>1.3</v>
      </c>
      <c r="B4" s="16" t="s">
        <v>794</v>
      </c>
      <c r="C4" s="56">
        <v>3</v>
      </c>
      <c r="D4" s="56">
        <v>3</v>
      </c>
      <c r="E4" s="99">
        <f t="shared" si="0"/>
        <v>3</v>
      </c>
    </row>
    <row r="5" spans="1:5" ht="75" x14ac:dyDescent="0.15">
      <c r="A5" s="15">
        <v>2.1</v>
      </c>
      <c r="B5" s="16" t="s">
        <v>795</v>
      </c>
      <c r="C5" s="56">
        <v>3</v>
      </c>
      <c r="D5" s="56">
        <v>3</v>
      </c>
      <c r="E5" s="99">
        <f t="shared" si="0"/>
        <v>3</v>
      </c>
    </row>
    <row r="6" spans="1:5" ht="135" x14ac:dyDescent="0.15">
      <c r="A6" s="15">
        <v>2.2000000000000002</v>
      </c>
      <c r="B6" s="16" t="s">
        <v>796</v>
      </c>
      <c r="C6" s="56">
        <v>4</v>
      </c>
      <c r="D6" s="56">
        <v>3</v>
      </c>
      <c r="E6" s="99">
        <f t="shared" si="0"/>
        <v>3.5</v>
      </c>
    </row>
    <row r="7" spans="1:5" ht="240" x14ac:dyDescent="0.15">
      <c r="A7" s="15">
        <v>2.2999999999999998</v>
      </c>
      <c r="B7" s="16" t="s">
        <v>797</v>
      </c>
      <c r="C7" s="56">
        <v>3</v>
      </c>
      <c r="D7" s="56">
        <v>4</v>
      </c>
      <c r="E7" s="99">
        <f t="shared" si="0"/>
        <v>3.5</v>
      </c>
    </row>
    <row r="8" spans="1:5" ht="400" customHeight="1" x14ac:dyDescent="0.15">
      <c r="A8" s="15">
        <v>2.4</v>
      </c>
      <c r="B8" s="239" t="s">
        <v>798</v>
      </c>
      <c r="C8" s="56">
        <v>4</v>
      </c>
      <c r="D8" s="56">
        <v>4</v>
      </c>
      <c r="E8" s="99">
        <f t="shared" si="0"/>
        <v>4</v>
      </c>
    </row>
    <row r="9" spans="1:5" ht="15" x14ac:dyDescent="0.15">
      <c r="A9" s="15">
        <v>2.5</v>
      </c>
      <c r="B9" s="16" t="s">
        <v>129</v>
      </c>
      <c r="C9" s="56">
        <v>0</v>
      </c>
      <c r="D9" s="56">
        <v>0</v>
      </c>
      <c r="E9" s="99">
        <f>AVERAGE(C9, D9)</f>
        <v>0</v>
      </c>
    </row>
  </sheetData>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A4EC5-95FA-44AA-9CBE-82E40A6E7EF0}">
  <sheetPr codeName="Sheet7"/>
  <dimension ref="A1:C11"/>
  <sheetViews>
    <sheetView zoomScaleNormal="100" workbookViewId="0"/>
  </sheetViews>
  <sheetFormatPr baseColWidth="10" defaultColWidth="8.5" defaultRowHeight="14" x14ac:dyDescent="0.15"/>
  <cols>
    <col min="1" max="1" width="19" style="15" customWidth="1"/>
    <col min="2" max="2" width="110.83203125" style="15" customWidth="1"/>
    <col min="3" max="3" width="56.1640625" style="16" customWidth="1"/>
    <col min="4" max="16384" width="8.5" style="15"/>
  </cols>
  <sheetData>
    <row r="1" spans="1:3" ht="158.25" customHeight="1" x14ac:dyDescent="0.15">
      <c r="A1" s="57" t="s">
        <v>799</v>
      </c>
      <c r="B1" s="57" t="s">
        <v>800</v>
      </c>
    </row>
    <row r="2" spans="1:3" ht="68" x14ac:dyDescent="0.15">
      <c r="A2" s="57" t="s">
        <v>801</v>
      </c>
      <c r="B2" s="57" t="s">
        <v>802</v>
      </c>
    </row>
    <row r="3" spans="1:3" ht="68" x14ac:dyDescent="0.2">
      <c r="A3" s="57" t="s">
        <v>803</v>
      </c>
      <c r="B3" s="58" t="s">
        <v>804</v>
      </c>
    </row>
    <row r="4" spans="1:3" s="59" customFormat="1" ht="68" x14ac:dyDescent="0.15">
      <c r="A4" s="57" t="s">
        <v>805</v>
      </c>
      <c r="B4" s="57" t="s">
        <v>806</v>
      </c>
      <c r="C4" s="118"/>
    </row>
    <row r="5" spans="1:3" ht="136" x14ac:dyDescent="0.15">
      <c r="A5" s="57" t="s">
        <v>807</v>
      </c>
      <c r="B5" s="60" t="s">
        <v>808</v>
      </c>
    </row>
    <row r="6" spans="1:3" s="59" customFormat="1" ht="68" x14ac:dyDescent="0.15">
      <c r="A6" s="57" t="s">
        <v>809</v>
      </c>
      <c r="B6" s="57" t="s">
        <v>810</v>
      </c>
      <c r="C6" s="118"/>
    </row>
    <row r="7" spans="1:3" s="62" customFormat="1" ht="102" customHeight="1" x14ac:dyDescent="0.15">
      <c r="A7" s="61" t="s">
        <v>811</v>
      </c>
      <c r="B7" s="61" t="s">
        <v>812</v>
      </c>
      <c r="C7" s="119"/>
    </row>
    <row r="8" spans="1:3" s="59" customFormat="1" ht="170" x14ac:dyDescent="0.15">
      <c r="A8" s="60" t="s">
        <v>813</v>
      </c>
      <c r="B8" s="57" t="s">
        <v>814</v>
      </c>
      <c r="C8" s="258" t="s">
        <v>815</v>
      </c>
    </row>
    <row r="9" spans="1:3" s="59" customFormat="1" ht="238" x14ac:dyDescent="0.15">
      <c r="A9" s="57" t="s">
        <v>816</v>
      </c>
      <c r="B9" s="57" t="s">
        <v>817</v>
      </c>
      <c r="C9" s="258" t="s">
        <v>818</v>
      </c>
    </row>
    <row r="10" spans="1:3" ht="17" x14ac:dyDescent="0.2">
      <c r="B10" s="58" t="s">
        <v>102</v>
      </c>
    </row>
    <row r="11" spans="1:3" ht="16" x14ac:dyDescent="0.2">
      <c r="B11" s="6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B505F-E817-4F3A-89AC-D0D468D33C66}">
  <dimension ref="A1:Q100"/>
  <sheetViews>
    <sheetView workbookViewId="0">
      <pane ySplit="1" topLeftCell="A97" activePane="bottomLeft" state="frozen"/>
      <selection pane="bottomLeft" activeCell="N3" sqref="N3:N100"/>
    </sheetView>
  </sheetViews>
  <sheetFormatPr baseColWidth="10" defaultColWidth="8.6640625" defaultRowHeight="16" outlineLevelRow="1" x14ac:dyDescent="0.2"/>
  <cols>
    <col min="1" max="1" width="8.6640625" style="184"/>
    <col min="2" max="2" width="25.5" style="185" customWidth="1"/>
    <col min="3" max="3" width="14.83203125" style="184" customWidth="1"/>
    <col min="4" max="4" width="8.6640625" style="184"/>
    <col min="5" max="5" width="12.1640625" style="184" customWidth="1"/>
    <col min="6" max="6" width="49.5" style="185" customWidth="1"/>
    <col min="7" max="7" width="14.5" style="184" hidden="1" customWidth="1"/>
    <col min="8" max="8" width="0" style="184" hidden="1" customWidth="1"/>
    <col min="9" max="9" width="11.83203125" style="184" hidden="1" customWidth="1"/>
    <col min="10" max="10" width="11.83203125" style="184" customWidth="1"/>
    <col min="11" max="11" width="20.1640625" style="184" customWidth="1"/>
    <col min="12" max="12" width="12.83203125" style="184" hidden="1" customWidth="1"/>
    <col min="13" max="13" width="16.5" style="184" customWidth="1"/>
    <col min="14" max="14" width="15.5" style="184" customWidth="1"/>
    <col min="15" max="15" width="17.5" style="185" customWidth="1"/>
    <col min="16" max="16" width="19.1640625" style="190" customWidth="1"/>
    <col min="17" max="17" width="18.5" style="184" customWidth="1"/>
    <col min="18" max="16384" width="8.6640625" style="184"/>
  </cols>
  <sheetData>
    <row r="1" spans="1:17" s="190" customFormat="1" x14ac:dyDescent="0.2">
      <c r="A1" s="190" t="s">
        <v>22</v>
      </c>
      <c r="B1" s="191" t="s">
        <v>819</v>
      </c>
      <c r="C1" s="190" t="s">
        <v>24</v>
      </c>
      <c r="D1" s="190" t="s">
        <v>820</v>
      </c>
      <c r="E1" s="190" t="s">
        <v>662</v>
      </c>
      <c r="F1" s="191" t="s">
        <v>26</v>
      </c>
      <c r="G1" s="190" t="s">
        <v>27</v>
      </c>
      <c r="H1" s="190" t="s">
        <v>29</v>
      </c>
      <c r="I1" s="190" t="s">
        <v>821</v>
      </c>
      <c r="J1" s="190" t="s">
        <v>821</v>
      </c>
      <c r="K1" s="190" t="s">
        <v>822</v>
      </c>
      <c r="L1" s="190" t="s">
        <v>823</v>
      </c>
      <c r="M1" s="195" t="s">
        <v>824</v>
      </c>
      <c r="N1" s="190" t="s">
        <v>825</v>
      </c>
      <c r="O1" s="196" t="s">
        <v>826</v>
      </c>
      <c r="P1" s="190" t="s">
        <v>827</v>
      </c>
      <c r="Q1" s="196" t="s">
        <v>828</v>
      </c>
    </row>
    <row r="2" spans="1:17" s="190" customFormat="1" ht="177.75" customHeight="1" outlineLevel="1" x14ac:dyDescent="0.2">
      <c r="B2" s="185" t="s">
        <v>586</v>
      </c>
      <c r="F2" s="191"/>
      <c r="M2" s="195"/>
      <c r="O2" s="196"/>
      <c r="Q2" s="196"/>
    </row>
    <row r="3" spans="1:17" ht="17" x14ac:dyDescent="0.2">
      <c r="A3" s="184">
        <v>261</v>
      </c>
      <c r="C3" s="184" t="s">
        <v>45</v>
      </c>
      <c r="D3" s="184">
        <v>443</v>
      </c>
      <c r="E3" s="184" t="s">
        <v>829</v>
      </c>
      <c r="F3" s="185" t="s">
        <v>830</v>
      </c>
      <c r="G3" s="186">
        <v>44629.788611111115</v>
      </c>
      <c r="H3" s="184">
        <v>10</v>
      </c>
      <c r="J3" s="184">
        <v>1</v>
      </c>
      <c r="K3" s="195" t="s">
        <v>49</v>
      </c>
      <c r="L3" s="185"/>
      <c r="M3" s="195" t="s">
        <v>49</v>
      </c>
      <c r="N3" s="185"/>
      <c r="O3" s="196"/>
      <c r="P3" s="196" t="s">
        <v>112</v>
      </c>
      <c r="Q3" s="196" t="s">
        <v>112</v>
      </c>
    </row>
    <row r="4" spans="1:17" ht="17" x14ac:dyDescent="0.2">
      <c r="A4" s="184">
        <v>261</v>
      </c>
      <c r="C4" s="184" t="s">
        <v>45</v>
      </c>
      <c r="D4" s="184">
        <v>443</v>
      </c>
      <c r="E4" s="184" t="s">
        <v>829</v>
      </c>
      <c r="F4" s="185" t="s">
        <v>831</v>
      </c>
      <c r="G4" s="186">
        <v>44629.788761574076</v>
      </c>
      <c r="H4" s="184">
        <v>10</v>
      </c>
      <c r="J4" s="184">
        <v>1</v>
      </c>
      <c r="K4" s="195" t="s">
        <v>49</v>
      </c>
      <c r="L4" s="185"/>
      <c r="M4" s="195" t="s">
        <v>49</v>
      </c>
      <c r="N4" s="185"/>
      <c r="O4" s="196"/>
      <c r="P4" s="191"/>
      <c r="Q4" s="196"/>
    </row>
    <row r="5" spans="1:17" ht="17" x14ac:dyDescent="0.2">
      <c r="A5" s="184">
        <v>261</v>
      </c>
      <c r="C5" s="184" t="s">
        <v>45</v>
      </c>
      <c r="D5" s="184">
        <v>439</v>
      </c>
      <c r="E5" s="184" t="s">
        <v>832</v>
      </c>
      <c r="F5" s="185" t="s">
        <v>833</v>
      </c>
      <c r="G5" s="186">
        <v>44629.788784722223</v>
      </c>
      <c r="H5" s="184">
        <v>10</v>
      </c>
      <c r="J5" s="184">
        <v>1</v>
      </c>
      <c r="K5" s="195" t="s">
        <v>49</v>
      </c>
      <c r="L5" s="185"/>
      <c r="M5" s="195" t="s">
        <v>49</v>
      </c>
      <c r="N5" s="185"/>
      <c r="O5" s="196" t="s">
        <v>58</v>
      </c>
      <c r="P5" s="191"/>
      <c r="Q5" s="196"/>
    </row>
    <row r="6" spans="1:17" ht="17" x14ac:dyDescent="0.2">
      <c r="A6" s="184">
        <v>261</v>
      </c>
      <c r="C6" s="184" t="s">
        <v>45</v>
      </c>
      <c r="D6" s="184">
        <v>439</v>
      </c>
      <c r="E6" s="184" t="s">
        <v>832</v>
      </c>
      <c r="F6" s="185" t="s">
        <v>834</v>
      </c>
      <c r="G6" s="186">
        <v>44629.7890162037</v>
      </c>
      <c r="H6" s="184">
        <v>10</v>
      </c>
      <c r="J6" s="184">
        <v>1</v>
      </c>
      <c r="K6" s="195" t="s">
        <v>49</v>
      </c>
      <c r="L6" s="185"/>
      <c r="M6" s="195" t="s">
        <v>49</v>
      </c>
      <c r="N6" s="185"/>
      <c r="O6" s="196" t="s">
        <v>637</v>
      </c>
      <c r="P6" s="191"/>
      <c r="Q6" s="196"/>
    </row>
    <row r="7" spans="1:17" ht="17" x14ac:dyDescent="0.2">
      <c r="A7" s="184">
        <v>261</v>
      </c>
      <c r="C7" s="184" t="s">
        <v>45</v>
      </c>
      <c r="D7" s="184">
        <v>443</v>
      </c>
      <c r="E7" s="184" t="s">
        <v>829</v>
      </c>
      <c r="F7" s="185" t="s">
        <v>835</v>
      </c>
      <c r="G7" s="186">
        <v>44629.789097222223</v>
      </c>
      <c r="H7" s="184">
        <v>10</v>
      </c>
      <c r="J7" s="184">
        <v>1</v>
      </c>
      <c r="K7" s="195" t="s">
        <v>49</v>
      </c>
      <c r="L7" s="185"/>
      <c r="M7" s="195" t="s">
        <v>49</v>
      </c>
      <c r="N7" s="185"/>
      <c r="O7" s="196"/>
      <c r="P7" s="191"/>
      <c r="Q7" s="196"/>
    </row>
    <row r="8" spans="1:17" ht="17" x14ac:dyDescent="0.2">
      <c r="A8" s="184">
        <v>261</v>
      </c>
      <c r="C8" s="184" t="s">
        <v>45</v>
      </c>
      <c r="D8" s="184">
        <v>439</v>
      </c>
      <c r="E8" s="184" t="s">
        <v>832</v>
      </c>
      <c r="F8" s="185" t="s">
        <v>836</v>
      </c>
      <c r="G8" s="186">
        <v>44629.789178240739</v>
      </c>
      <c r="H8" s="184">
        <v>10</v>
      </c>
      <c r="J8" s="184">
        <v>1</v>
      </c>
      <c r="K8" s="195" t="s">
        <v>49</v>
      </c>
      <c r="L8" s="185"/>
      <c r="M8" s="195" t="s">
        <v>49</v>
      </c>
      <c r="N8" s="185"/>
      <c r="O8" s="196" t="s">
        <v>637</v>
      </c>
      <c r="P8" s="191"/>
      <c r="Q8" s="196"/>
    </row>
    <row r="9" spans="1:17" ht="17" x14ac:dyDescent="0.2">
      <c r="A9" s="184">
        <v>261</v>
      </c>
      <c r="C9" s="184" t="s">
        <v>45</v>
      </c>
      <c r="D9" s="184">
        <v>439</v>
      </c>
      <c r="E9" s="184" t="s">
        <v>832</v>
      </c>
      <c r="F9" s="185" t="s">
        <v>837</v>
      </c>
      <c r="G9" s="186">
        <v>44629.789317129631</v>
      </c>
      <c r="H9" s="184">
        <v>10</v>
      </c>
      <c r="J9" s="184">
        <v>1</v>
      </c>
      <c r="K9" s="195" t="s">
        <v>49</v>
      </c>
      <c r="L9" s="185"/>
      <c r="M9" s="195" t="s">
        <v>49</v>
      </c>
      <c r="N9" s="185"/>
      <c r="O9" s="196"/>
      <c r="P9" s="191"/>
      <c r="Q9" s="196"/>
    </row>
    <row r="10" spans="1:17" ht="34" x14ac:dyDescent="0.2">
      <c r="A10" s="184">
        <v>261</v>
      </c>
      <c r="C10" s="184" t="s">
        <v>45</v>
      </c>
      <c r="D10" s="184">
        <v>443</v>
      </c>
      <c r="E10" s="184" t="s">
        <v>829</v>
      </c>
      <c r="F10" s="185" t="s">
        <v>838</v>
      </c>
      <c r="G10" s="186">
        <v>44629.789340277777</v>
      </c>
      <c r="H10" s="184">
        <v>10</v>
      </c>
      <c r="K10" s="195" t="s">
        <v>638</v>
      </c>
      <c r="L10" s="185"/>
      <c r="M10" s="195" t="s">
        <v>638</v>
      </c>
      <c r="N10" s="185"/>
      <c r="O10" s="196"/>
      <c r="P10" s="191"/>
      <c r="Q10" s="196"/>
    </row>
    <row r="11" spans="1:17" ht="34" x14ac:dyDescent="0.2">
      <c r="A11" s="184">
        <v>261</v>
      </c>
      <c r="C11" s="184" t="s">
        <v>45</v>
      </c>
      <c r="D11" s="184">
        <v>439</v>
      </c>
      <c r="E11" s="184" t="s">
        <v>832</v>
      </c>
      <c r="F11" s="185" t="s">
        <v>839</v>
      </c>
      <c r="G11" s="186">
        <v>44629.789988425924</v>
      </c>
      <c r="H11" s="184">
        <v>10</v>
      </c>
      <c r="K11" s="195" t="s">
        <v>638</v>
      </c>
      <c r="L11" s="185"/>
      <c r="M11" s="195" t="s">
        <v>638</v>
      </c>
      <c r="N11" s="185"/>
      <c r="O11" s="196"/>
      <c r="P11" s="191"/>
      <c r="Q11" s="196"/>
    </row>
    <row r="12" spans="1:17" ht="51" x14ac:dyDescent="0.2">
      <c r="A12" s="184">
        <v>261</v>
      </c>
      <c r="C12" s="184" t="s">
        <v>45</v>
      </c>
      <c r="D12" s="184">
        <v>443</v>
      </c>
      <c r="E12" s="184" t="s">
        <v>829</v>
      </c>
      <c r="F12" s="185" t="s">
        <v>840</v>
      </c>
      <c r="G12" s="186">
        <v>44629.790023148147</v>
      </c>
      <c r="H12" s="184">
        <v>10</v>
      </c>
      <c r="K12" s="195" t="s">
        <v>68</v>
      </c>
      <c r="L12" s="185"/>
      <c r="M12" s="195" t="s">
        <v>68</v>
      </c>
      <c r="N12" s="185"/>
      <c r="O12" s="196"/>
      <c r="P12" s="191"/>
      <c r="Q12" s="196"/>
    </row>
    <row r="13" spans="1:17" ht="34" x14ac:dyDescent="0.2">
      <c r="A13" s="184">
        <v>261</v>
      </c>
      <c r="C13" s="184" t="s">
        <v>45</v>
      </c>
      <c r="D13" s="184">
        <v>439</v>
      </c>
      <c r="E13" s="184" t="s">
        <v>832</v>
      </c>
      <c r="F13" s="185" t="s">
        <v>841</v>
      </c>
      <c r="G13" s="186">
        <v>44629.790671296294</v>
      </c>
      <c r="H13" s="184">
        <v>10</v>
      </c>
      <c r="K13" s="195" t="s">
        <v>49</v>
      </c>
      <c r="L13" s="195" t="s">
        <v>49</v>
      </c>
      <c r="M13" s="195" t="s">
        <v>49</v>
      </c>
      <c r="N13" s="185"/>
      <c r="O13" s="196" t="s">
        <v>58</v>
      </c>
      <c r="P13" s="191"/>
      <c r="Q13" s="196"/>
    </row>
    <row r="14" spans="1:17" ht="17" x14ac:dyDescent="0.2">
      <c r="A14" s="184">
        <v>261</v>
      </c>
      <c r="C14" s="184" t="s">
        <v>45</v>
      </c>
      <c r="D14" s="184">
        <v>443</v>
      </c>
      <c r="E14" s="184" t="s">
        <v>829</v>
      </c>
      <c r="F14" s="185" t="s">
        <v>842</v>
      </c>
      <c r="G14" s="186">
        <v>44629.790798611109</v>
      </c>
      <c r="H14" s="184">
        <v>10</v>
      </c>
      <c r="K14" s="195" t="s">
        <v>49</v>
      </c>
      <c r="L14" s="195" t="s">
        <v>49</v>
      </c>
      <c r="M14" s="195" t="s">
        <v>49</v>
      </c>
      <c r="N14" s="185"/>
      <c r="O14" s="196" t="s">
        <v>58</v>
      </c>
      <c r="P14" s="191"/>
      <c r="Q14" s="196"/>
    </row>
    <row r="15" spans="1:17" ht="34" x14ac:dyDescent="0.2">
      <c r="A15" s="184">
        <v>261</v>
      </c>
      <c r="C15" s="184" t="s">
        <v>45</v>
      </c>
      <c r="D15" s="184">
        <v>443</v>
      </c>
      <c r="E15" s="184" t="s">
        <v>829</v>
      </c>
      <c r="F15" s="185" t="s">
        <v>843</v>
      </c>
      <c r="G15" s="186">
        <v>44629.790983796294</v>
      </c>
      <c r="H15" s="184">
        <v>10</v>
      </c>
      <c r="K15" s="195" t="s">
        <v>638</v>
      </c>
      <c r="L15" s="185"/>
      <c r="M15" s="195" t="s">
        <v>638</v>
      </c>
      <c r="N15" s="185"/>
      <c r="O15" s="196"/>
      <c r="P15" s="191"/>
      <c r="Q15" s="196"/>
    </row>
    <row r="16" spans="1:17" ht="17" x14ac:dyDescent="0.2">
      <c r="A16" s="184">
        <v>261</v>
      </c>
      <c r="C16" s="184" t="s">
        <v>45</v>
      </c>
      <c r="D16" s="184">
        <v>439</v>
      </c>
      <c r="E16" s="184" t="s">
        <v>832</v>
      </c>
      <c r="F16" s="185" t="s">
        <v>844</v>
      </c>
      <c r="G16" s="186">
        <v>44629.791631944441</v>
      </c>
      <c r="H16" s="184">
        <v>10</v>
      </c>
      <c r="K16" s="195" t="s">
        <v>49</v>
      </c>
      <c r="L16" s="185"/>
      <c r="M16" s="195" t="s">
        <v>49</v>
      </c>
      <c r="N16" s="185"/>
      <c r="O16" s="196" t="s">
        <v>58</v>
      </c>
      <c r="P16" s="191"/>
      <c r="Q16" s="196"/>
    </row>
    <row r="17" spans="1:17" ht="51" x14ac:dyDescent="0.2">
      <c r="A17" s="184">
        <v>261</v>
      </c>
      <c r="C17" s="184" t="s">
        <v>45</v>
      </c>
      <c r="D17" s="184">
        <v>443</v>
      </c>
      <c r="E17" s="184" t="s">
        <v>829</v>
      </c>
      <c r="F17" s="185" t="s">
        <v>845</v>
      </c>
      <c r="G17" s="186">
        <v>44629.791886574072</v>
      </c>
      <c r="H17" s="184">
        <v>10</v>
      </c>
      <c r="J17" s="184">
        <v>2</v>
      </c>
      <c r="K17" s="195" t="s">
        <v>638</v>
      </c>
      <c r="L17" s="185"/>
      <c r="M17" s="195" t="s">
        <v>638</v>
      </c>
      <c r="N17" s="185"/>
      <c r="O17" s="196"/>
      <c r="P17" s="191"/>
      <c r="Q17" s="196" t="s">
        <v>112</v>
      </c>
    </row>
    <row r="18" spans="1:17" ht="34" x14ac:dyDescent="0.2">
      <c r="A18" s="184">
        <v>261</v>
      </c>
      <c r="C18" s="184" t="s">
        <v>45</v>
      </c>
      <c r="D18" s="184">
        <v>444</v>
      </c>
      <c r="E18" s="184" t="s">
        <v>846</v>
      </c>
      <c r="F18" s="185" t="s">
        <v>847</v>
      </c>
      <c r="G18" s="186">
        <v>44629.793032407404</v>
      </c>
      <c r="H18" s="184">
        <v>8</v>
      </c>
      <c r="J18" s="184">
        <v>2</v>
      </c>
      <c r="K18" s="195" t="s">
        <v>638</v>
      </c>
      <c r="L18" s="185"/>
      <c r="M18" s="195" t="s">
        <v>638</v>
      </c>
      <c r="N18" s="185"/>
      <c r="O18" s="196"/>
      <c r="P18" s="191"/>
      <c r="Q18" s="196"/>
    </row>
    <row r="19" spans="1:17" ht="17" x14ac:dyDescent="0.2">
      <c r="A19" s="184">
        <v>261</v>
      </c>
      <c r="C19" s="184" t="s">
        <v>45</v>
      </c>
      <c r="D19" s="184">
        <v>439</v>
      </c>
      <c r="E19" s="184" t="s">
        <v>832</v>
      </c>
      <c r="F19" s="185" t="s">
        <v>848</v>
      </c>
      <c r="G19" s="186">
        <v>44629.79310185185</v>
      </c>
      <c r="H19" s="184">
        <v>10</v>
      </c>
      <c r="J19" s="184">
        <v>2</v>
      </c>
      <c r="K19" s="195" t="s">
        <v>638</v>
      </c>
      <c r="L19" s="185"/>
      <c r="M19" s="195" t="s">
        <v>638</v>
      </c>
      <c r="N19" s="185"/>
      <c r="O19" s="196"/>
      <c r="P19" s="191"/>
      <c r="Q19" s="196" t="s">
        <v>112</v>
      </c>
    </row>
    <row r="20" spans="1:17" ht="17" x14ac:dyDescent="0.2">
      <c r="A20" s="184">
        <v>261</v>
      </c>
      <c r="C20" s="184" t="s">
        <v>45</v>
      </c>
      <c r="D20" s="184">
        <v>439</v>
      </c>
      <c r="E20" s="184" t="s">
        <v>832</v>
      </c>
      <c r="F20" s="185" t="s">
        <v>849</v>
      </c>
      <c r="G20" s="186">
        <v>44629.793321759258</v>
      </c>
      <c r="H20" s="184">
        <v>10</v>
      </c>
      <c r="K20" s="195" t="s">
        <v>49</v>
      </c>
      <c r="L20" s="185"/>
      <c r="M20" s="195" t="s">
        <v>49</v>
      </c>
      <c r="N20" s="185"/>
      <c r="O20" s="196"/>
      <c r="P20" s="191"/>
      <c r="Q20" s="196"/>
    </row>
    <row r="21" spans="1:17" ht="17" x14ac:dyDescent="0.2">
      <c r="A21" s="184">
        <v>261</v>
      </c>
      <c r="C21" s="184" t="s">
        <v>45</v>
      </c>
      <c r="D21" s="184">
        <v>443</v>
      </c>
      <c r="E21" s="184" t="s">
        <v>829</v>
      </c>
      <c r="F21" s="185" t="s">
        <v>850</v>
      </c>
      <c r="G21" s="186">
        <v>44629.793391203704</v>
      </c>
      <c r="H21" s="184">
        <v>10</v>
      </c>
      <c r="K21" s="195" t="s">
        <v>49</v>
      </c>
      <c r="L21" s="185"/>
      <c r="M21" s="195" t="s">
        <v>49</v>
      </c>
      <c r="N21" s="185"/>
      <c r="O21" s="196"/>
      <c r="P21" s="191"/>
      <c r="Q21" s="196"/>
    </row>
    <row r="22" spans="1:17" ht="34" x14ac:dyDescent="0.2">
      <c r="A22" s="184">
        <v>261</v>
      </c>
      <c r="C22" s="184" t="s">
        <v>45</v>
      </c>
      <c r="D22" s="184">
        <v>439</v>
      </c>
      <c r="E22" s="184" t="s">
        <v>832</v>
      </c>
      <c r="F22" s="185" t="s">
        <v>851</v>
      </c>
      <c r="G22" s="186">
        <v>44629.793761574074</v>
      </c>
      <c r="H22" s="184">
        <v>10</v>
      </c>
      <c r="J22" s="184">
        <v>3</v>
      </c>
      <c r="K22" s="195" t="s">
        <v>52</v>
      </c>
      <c r="L22" s="185"/>
      <c r="M22" s="195" t="s">
        <v>52</v>
      </c>
      <c r="N22" s="185"/>
      <c r="O22" s="196"/>
      <c r="P22" s="191"/>
      <c r="Q22" s="196"/>
    </row>
    <row r="23" spans="1:17" ht="34" x14ac:dyDescent="0.2">
      <c r="A23" s="184">
        <v>261</v>
      </c>
      <c r="C23" s="184" t="s">
        <v>45</v>
      </c>
      <c r="D23" s="184">
        <v>443</v>
      </c>
      <c r="E23" s="184" t="s">
        <v>829</v>
      </c>
      <c r="F23" s="185" t="s">
        <v>852</v>
      </c>
      <c r="G23" s="186">
        <v>44629.794131944444</v>
      </c>
      <c r="H23" s="184">
        <v>10</v>
      </c>
      <c r="J23" s="184">
        <v>3</v>
      </c>
      <c r="K23" s="195" t="s">
        <v>52</v>
      </c>
      <c r="L23" s="185"/>
      <c r="M23" s="195" t="s">
        <v>52</v>
      </c>
      <c r="N23" s="196" t="s">
        <v>58</v>
      </c>
      <c r="O23" s="196" t="s">
        <v>58</v>
      </c>
      <c r="P23" s="191"/>
      <c r="Q23" s="196"/>
    </row>
    <row r="24" spans="1:17" ht="34" x14ac:dyDescent="0.2">
      <c r="A24" s="184">
        <v>261</v>
      </c>
      <c r="C24" s="184" t="s">
        <v>45</v>
      </c>
      <c r="D24" s="184">
        <v>439</v>
      </c>
      <c r="E24" s="184" t="s">
        <v>832</v>
      </c>
      <c r="F24" s="185" t="s">
        <v>853</v>
      </c>
      <c r="G24" s="186">
        <v>44629.794305555559</v>
      </c>
      <c r="H24" s="184">
        <v>10</v>
      </c>
      <c r="J24" s="184">
        <v>3</v>
      </c>
      <c r="K24" s="195" t="s">
        <v>52</v>
      </c>
      <c r="L24" s="185"/>
      <c r="M24" s="195" t="s">
        <v>52</v>
      </c>
      <c r="N24" s="185"/>
      <c r="O24" s="196"/>
      <c r="P24" s="191"/>
      <c r="Q24" s="196"/>
    </row>
    <row r="25" spans="1:17" ht="34" x14ac:dyDescent="0.2">
      <c r="A25" s="184">
        <v>261</v>
      </c>
      <c r="C25" s="184" t="s">
        <v>45</v>
      </c>
      <c r="D25" s="184">
        <v>444</v>
      </c>
      <c r="E25" s="184" t="s">
        <v>846</v>
      </c>
      <c r="F25" s="185" t="s">
        <v>854</v>
      </c>
      <c r="G25" s="186">
        <v>44629.794490740744</v>
      </c>
      <c r="H25" s="184">
        <v>8</v>
      </c>
      <c r="J25" s="184">
        <v>4</v>
      </c>
      <c r="K25" s="191" t="s">
        <v>638</v>
      </c>
      <c r="L25" s="185"/>
      <c r="M25" s="195" t="s">
        <v>638</v>
      </c>
      <c r="N25" s="185"/>
      <c r="O25" s="196"/>
      <c r="P25" s="191" t="s">
        <v>112</v>
      </c>
      <c r="Q25" s="196" t="s">
        <v>112</v>
      </c>
    </row>
    <row r="26" spans="1:17" ht="17" x14ac:dyDescent="0.2">
      <c r="A26" s="184">
        <v>261</v>
      </c>
      <c r="C26" s="184" t="s">
        <v>45</v>
      </c>
      <c r="D26" s="184">
        <v>439</v>
      </c>
      <c r="E26" s="184" t="s">
        <v>832</v>
      </c>
      <c r="F26" s="185" t="s">
        <v>855</v>
      </c>
      <c r="G26" s="186">
        <v>44629.794537037036</v>
      </c>
      <c r="H26" s="184">
        <v>10</v>
      </c>
      <c r="J26" s="184">
        <v>3</v>
      </c>
      <c r="K26" s="195" t="s">
        <v>52</v>
      </c>
      <c r="L26" s="185"/>
      <c r="M26" s="195" t="s">
        <v>52</v>
      </c>
      <c r="N26" s="185"/>
      <c r="O26" s="196"/>
      <c r="P26" s="191" t="s">
        <v>261</v>
      </c>
      <c r="Q26" s="196" t="s">
        <v>261</v>
      </c>
    </row>
    <row r="27" spans="1:17" ht="51" x14ac:dyDescent="0.2">
      <c r="A27" s="184">
        <v>261</v>
      </c>
      <c r="C27" s="184" t="s">
        <v>45</v>
      </c>
      <c r="D27" s="184">
        <v>443</v>
      </c>
      <c r="E27" s="184" t="s">
        <v>829</v>
      </c>
      <c r="F27" s="185" t="s">
        <v>856</v>
      </c>
      <c r="G27" s="186">
        <v>44629.794652777775</v>
      </c>
      <c r="H27" s="184">
        <v>10</v>
      </c>
      <c r="J27" s="184">
        <v>3</v>
      </c>
      <c r="K27" s="195" t="s">
        <v>52</v>
      </c>
      <c r="L27" s="185"/>
      <c r="M27" s="195" t="s">
        <v>52</v>
      </c>
      <c r="N27" s="185"/>
      <c r="O27" s="196"/>
      <c r="P27" s="191"/>
      <c r="Q27" s="196"/>
    </row>
    <row r="28" spans="1:17" ht="17" x14ac:dyDescent="0.2">
      <c r="A28" s="184">
        <v>261</v>
      </c>
      <c r="C28" s="184" t="s">
        <v>45</v>
      </c>
      <c r="D28" s="184">
        <v>439</v>
      </c>
      <c r="E28" s="184" t="s">
        <v>832</v>
      </c>
      <c r="F28" s="185" t="s">
        <v>857</v>
      </c>
      <c r="G28" s="186">
        <v>44629.794710648152</v>
      </c>
      <c r="H28" s="184">
        <v>10</v>
      </c>
      <c r="J28" s="184">
        <v>4</v>
      </c>
      <c r="K28" s="191" t="s">
        <v>68</v>
      </c>
      <c r="L28" s="185"/>
      <c r="M28" s="195" t="s">
        <v>52</v>
      </c>
      <c r="N28" s="185"/>
      <c r="O28" s="196"/>
      <c r="P28" s="191"/>
      <c r="Q28" s="196"/>
    </row>
    <row r="29" spans="1:17" ht="34" x14ac:dyDescent="0.2">
      <c r="A29" s="184">
        <v>261</v>
      </c>
      <c r="C29" s="184" t="s">
        <v>45</v>
      </c>
      <c r="D29" s="184">
        <v>439</v>
      </c>
      <c r="E29" s="184" t="s">
        <v>832</v>
      </c>
      <c r="F29" s="185" t="s">
        <v>858</v>
      </c>
      <c r="G29" s="186">
        <v>44629.795069444444</v>
      </c>
      <c r="H29" s="184">
        <v>10</v>
      </c>
      <c r="J29" s="184">
        <v>4</v>
      </c>
      <c r="K29" s="191" t="s">
        <v>638</v>
      </c>
      <c r="L29" s="185"/>
      <c r="M29" s="195" t="s">
        <v>638</v>
      </c>
      <c r="N29" s="185"/>
      <c r="O29" s="196"/>
      <c r="P29" s="191"/>
      <c r="Q29" s="196"/>
    </row>
    <row r="30" spans="1:17" ht="51" x14ac:dyDescent="0.2">
      <c r="A30" s="184">
        <v>261</v>
      </c>
      <c r="C30" s="184" t="s">
        <v>45</v>
      </c>
      <c r="D30" s="184">
        <v>443</v>
      </c>
      <c r="E30" s="184" t="s">
        <v>829</v>
      </c>
      <c r="F30" s="185" t="s">
        <v>859</v>
      </c>
      <c r="G30" s="186">
        <v>44629.795104166667</v>
      </c>
      <c r="H30" s="184">
        <v>10</v>
      </c>
      <c r="J30" s="184">
        <v>5</v>
      </c>
      <c r="K30" s="191" t="s">
        <v>638</v>
      </c>
      <c r="L30" s="185"/>
      <c r="M30" s="195" t="s">
        <v>638</v>
      </c>
      <c r="N30" s="185"/>
      <c r="O30" s="196"/>
      <c r="P30" s="191"/>
      <c r="Q30" s="196"/>
    </row>
    <row r="31" spans="1:17" ht="17" x14ac:dyDescent="0.2">
      <c r="A31" s="184">
        <v>261</v>
      </c>
      <c r="C31" s="184" t="s">
        <v>45</v>
      </c>
      <c r="D31" s="184">
        <v>443</v>
      </c>
      <c r="E31" s="184" t="s">
        <v>829</v>
      </c>
      <c r="F31" s="185" t="s">
        <v>860</v>
      </c>
      <c r="G31" s="186">
        <v>44629.795243055552</v>
      </c>
      <c r="H31" s="184">
        <v>10</v>
      </c>
      <c r="J31" s="184">
        <v>5</v>
      </c>
      <c r="K31" s="191" t="s">
        <v>638</v>
      </c>
      <c r="L31" s="185"/>
      <c r="M31" s="195" t="s">
        <v>638</v>
      </c>
      <c r="N31" s="185"/>
      <c r="O31" s="196"/>
      <c r="P31" s="191"/>
      <c r="Q31" s="196"/>
    </row>
    <row r="32" spans="1:17" ht="17" x14ac:dyDescent="0.2">
      <c r="A32" s="184">
        <v>261</v>
      </c>
      <c r="C32" s="184" t="s">
        <v>45</v>
      </c>
      <c r="D32" s="184">
        <v>443</v>
      </c>
      <c r="E32" s="184" t="s">
        <v>829</v>
      </c>
      <c r="F32" s="185" t="s">
        <v>861</v>
      </c>
      <c r="G32" s="186">
        <v>44629.795347222222</v>
      </c>
      <c r="H32" s="184">
        <v>10</v>
      </c>
      <c r="J32" s="184">
        <v>5</v>
      </c>
      <c r="K32" s="191" t="s">
        <v>638</v>
      </c>
      <c r="L32" s="185"/>
      <c r="M32" s="195" t="s">
        <v>638</v>
      </c>
      <c r="N32" s="185"/>
      <c r="O32" s="196"/>
      <c r="P32" s="191"/>
      <c r="Q32" s="196"/>
    </row>
    <row r="33" spans="1:17" ht="34" x14ac:dyDescent="0.2">
      <c r="A33" s="184">
        <v>261</v>
      </c>
      <c r="C33" s="184" t="s">
        <v>45</v>
      </c>
      <c r="D33" s="184">
        <v>444</v>
      </c>
      <c r="E33" s="184" t="s">
        <v>846</v>
      </c>
      <c r="F33" s="185" t="s">
        <v>862</v>
      </c>
      <c r="G33" s="186">
        <v>44629.795393518521</v>
      </c>
      <c r="H33" s="184">
        <v>8</v>
      </c>
      <c r="J33" s="184">
        <v>5</v>
      </c>
      <c r="K33" s="191" t="s">
        <v>638</v>
      </c>
      <c r="L33" s="185"/>
      <c r="M33" s="195" t="s">
        <v>638</v>
      </c>
      <c r="N33" s="185"/>
      <c r="O33" s="196"/>
      <c r="P33" s="191"/>
      <c r="Q33" s="196"/>
    </row>
    <row r="34" spans="1:17" ht="17" x14ac:dyDescent="0.2">
      <c r="A34" s="184">
        <v>261</v>
      </c>
      <c r="C34" s="184" t="s">
        <v>45</v>
      </c>
      <c r="D34" s="184">
        <v>443</v>
      </c>
      <c r="E34" s="184" t="s">
        <v>829</v>
      </c>
      <c r="F34" s="185" t="s">
        <v>863</v>
      </c>
      <c r="G34" s="186">
        <v>44629.795497685183</v>
      </c>
      <c r="H34" s="184">
        <v>10</v>
      </c>
      <c r="J34" s="184">
        <v>5</v>
      </c>
      <c r="K34" s="191" t="s">
        <v>638</v>
      </c>
      <c r="L34" s="185"/>
      <c r="M34" s="195" t="s">
        <v>638</v>
      </c>
      <c r="N34" s="185"/>
      <c r="O34" s="196"/>
      <c r="P34" s="191"/>
      <c r="Q34" s="196"/>
    </row>
    <row r="35" spans="1:17" ht="17" x14ac:dyDescent="0.2">
      <c r="A35" s="184">
        <v>261</v>
      </c>
      <c r="C35" s="184" t="s">
        <v>45</v>
      </c>
      <c r="D35" s="184">
        <v>443</v>
      </c>
      <c r="E35" s="184" t="s">
        <v>829</v>
      </c>
      <c r="F35" s="185" t="s">
        <v>864</v>
      </c>
      <c r="G35" s="186">
        <v>44629.795601851853</v>
      </c>
      <c r="H35" s="184">
        <v>10</v>
      </c>
      <c r="J35" s="184">
        <v>5</v>
      </c>
      <c r="K35" s="195" t="s">
        <v>49</v>
      </c>
      <c r="L35" s="185"/>
      <c r="M35" s="195" t="s">
        <v>49</v>
      </c>
      <c r="N35" s="185"/>
      <c r="O35" s="196"/>
      <c r="P35" s="191"/>
      <c r="Q35" s="196"/>
    </row>
    <row r="36" spans="1:17" ht="17" x14ac:dyDescent="0.2">
      <c r="A36" s="184">
        <v>261</v>
      </c>
      <c r="C36" s="184" t="s">
        <v>45</v>
      </c>
      <c r="D36" s="184">
        <v>443</v>
      </c>
      <c r="E36" s="184" t="s">
        <v>829</v>
      </c>
      <c r="F36" s="185" t="s">
        <v>865</v>
      </c>
      <c r="G36" s="186">
        <v>44629.795671296299</v>
      </c>
      <c r="H36" s="184">
        <v>10</v>
      </c>
      <c r="J36" s="184">
        <v>5</v>
      </c>
      <c r="K36" s="195" t="s">
        <v>49</v>
      </c>
      <c r="L36" s="185"/>
      <c r="M36" s="195" t="s">
        <v>49</v>
      </c>
      <c r="N36" s="185"/>
      <c r="O36" s="196"/>
      <c r="P36" s="191"/>
      <c r="Q36" s="196"/>
    </row>
    <row r="37" spans="1:17" ht="34" x14ac:dyDescent="0.2">
      <c r="A37" s="184">
        <v>261</v>
      </c>
      <c r="C37" s="184" t="s">
        <v>45</v>
      </c>
      <c r="D37" s="184">
        <v>439</v>
      </c>
      <c r="E37" s="184" t="s">
        <v>832</v>
      </c>
      <c r="F37" s="185" t="s">
        <v>866</v>
      </c>
      <c r="G37" s="186">
        <v>44629.795763888891</v>
      </c>
      <c r="H37" s="184">
        <v>10</v>
      </c>
      <c r="J37" s="184">
        <v>5</v>
      </c>
      <c r="K37" s="191" t="s">
        <v>638</v>
      </c>
      <c r="L37" s="191" t="s">
        <v>638</v>
      </c>
      <c r="M37" s="191" t="s">
        <v>638</v>
      </c>
      <c r="N37" s="185"/>
      <c r="O37" s="196"/>
      <c r="P37" s="191"/>
      <c r="Q37" s="196"/>
    </row>
    <row r="38" spans="1:17" ht="17" x14ac:dyDescent="0.2">
      <c r="A38" s="184">
        <v>261</v>
      </c>
      <c r="C38" s="184" t="s">
        <v>45</v>
      </c>
      <c r="D38" s="184">
        <v>444</v>
      </c>
      <c r="E38" s="184" t="s">
        <v>846</v>
      </c>
      <c r="F38" s="185" t="s">
        <v>867</v>
      </c>
      <c r="G38" s="186">
        <v>44629.795914351853</v>
      </c>
      <c r="H38" s="184">
        <v>8</v>
      </c>
      <c r="J38" s="184">
        <v>5</v>
      </c>
      <c r="K38" s="191" t="s">
        <v>638</v>
      </c>
      <c r="L38" s="185"/>
      <c r="M38" s="195" t="s">
        <v>638</v>
      </c>
      <c r="N38" s="185"/>
      <c r="O38" s="196"/>
      <c r="P38" s="191"/>
      <c r="Q38" s="196"/>
    </row>
    <row r="39" spans="1:17" ht="34" x14ac:dyDescent="0.2">
      <c r="A39" s="184">
        <v>261</v>
      </c>
      <c r="C39" s="184" t="s">
        <v>45</v>
      </c>
      <c r="D39" s="184">
        <v>443</v>
      </c>
      <c r="E39" s="184" t="s">
        <v>829</v>
      </c>
      <c r="F39" s="185" t="s">
        <v>868</v>
      </c>
      <c r="G39" s="186">
        <v>44629.796793981484</v>
      </c>
      <c r="H39" s="184">
        <v>10</v>
      </c>
      <c r="J39" s="184">
        <v>5</v>
      </c>
      <c r="K39" s="191" t="s">
        <v>638</v>
      </c>
      <c r="L39" s="185"/>
      <c r="M39" s="195" t="s">
        <v>638</v>
      </c>
      <c r="N39" s="185"/>
      <c r="O39" s="196"/>
      <c r="P39" s="191"/>
      <c r="Q39" s="196"/>
    </row>
    <row r="40" spans="1:17" ht="17" x14ac:dyDescent="0.2">
      <c r="A40" s="184">
        <v>261</v>
      </c>
      <c r="C40" s="184" t="s">
        <v>45</v>
      </c>
      <c r="D40" s="184">
        <v>444</v>
      </c>
      <c r="E40" s="184" t="s">
        <v>846</v>
      </c>
      <c r="F40" s="185" t="s">
        <v>869</v>
      </c>
      <c r="G40" s="186">
        <v>44629.797418981485</v>
      </c>
      <c r="H40" s="184">
        <v>8</v>
      </c>
      <c r="J40" s="184">
        <v>5</v>
      </c>
      <c r="K40" s="191" t="s">
        <v>638</v>
      </c>
      <c r="L40" s="185"/>
      <c r="M40" s="195" t="s">
        <v>638</v>
      </c>
      <c r="N40" s="185"/>
      <c r="O40" s="196"/>
      <c r="P40" s="191"/>
      <c r="Q40" s="196"/>
    </row>
    <row r="41" spans="1:17" ht="17" x14ac:dyDescent="0.2">
      <c r="A41" s="184">
        <v>261</v>
      </c>
      <c r="C41" s="184" t="s">
        <v>45</v>
      </c>
      <c r="D41" s="184">
        <v>443</v>
      </c>
      <c r="E41" s="184" t="s">
        <v>829</v>
      </c>
      <c r="F41" s="185" t="s">
        <v>870</v>
      </c>
      <c r="G41" s="186">
        <v>44629.797696759262</v>
      </c>
      <c r="H41" s="184">
        <v>10</v>
      </c>
      <c r="J41" s="184">
        <v>5</v>
      </c>
      <c r="K41" s="191" t="s">
        <v>638</v>
      </c>
      <c r="L41" s="185"/>
      <c r="M41" s="195" t="s">
        <v>638</v>
      </c>
      <c r="N41" s="185"/>
      <c r="O41" s="196"/>
      <c r="P41" s="191"/>
      <c r="Q41" s="196"/>
    </row>
    <row r="42" spans="1:17" ht="17" x14ac:dyDescent="0.2">
      <c r="A42" s="184">
        <v>261</v>
      </c>
      <c r="C42" s="184" t="s">
        <v>45</v>
      </c>
      <c r="D42" s="184">
        <v>443</v>
      </c>
      <c r="E42" s="184" t="s">
        <v>829</v>
      </c>
      <c r="F42" s="185" t="s">
        <v>871</v>
      </c>
      <c r="G42" s="186">
        <v>44629.798020833332</v>
      </c>
      <c r="H42" s="184">
        <v>10</v>
      </c>
      <c r="J42" s="184">
        <v>5</v>
      </c>
      <c r="K42" s="191" t="s">
        <v>638</v>
      </c>
      <c r="L42" s="185"/>
      <c r="M42" s="195" t="s">
        <v>638</v>
      </c>
      <c r="N42" s="185"/>
      <c r="O42" s="196"/>
      <c r="P42" s="191"/>
      <c r="Q42" s="196"/>
    </row>
    <row r="43" spans="1:17" ht="17" x14ac:dyDescent="0.2">
      <c r="A43" s="184">
        <v>261</v>
      </c>
      <c r="C43" s="184" t="s">
        <v>45</v>
      </c>
      <c r="D43" s="184">
        <v>443</v>
      </c>
      <c r="E43" s="184" t="s">
        <v>829</v>
      </c>
      <c r="F43" s="185" t="s">
        <v>872</v>
      </c>
      <c r="G43" s="186">
        <v>44629.798020833332</v>
      </c>
      <c r="H43" s="184">
        <v>10</v>
      </c>
      <c r="J43" s="184">
        <v>5</v>
      </c>
      <c r="K43" s="191" t="s">
        <v>638</v>
      </c>
      <c r="L43" s="185"/>
      <c r="M43" s="191" t="s">
        <v>638</v>
      </c>
      <c r="N43" s="185"/>
      <c r="O43" s="196"/>
      <c r="P43" s="191"/>
      <c r="Q43" s="196"/>
    </row>
    <row r="44" spans="1:17" ht="17" x14ac:dyDescent="0.2">
      <c r="A44" s="184">
        <v>261</v>
      </c>
      <c r="C44" s="184" t="s">
        <v>45</v>
      </c>
      <c r="D44" s="184">
        <v>444</v>
      </c>
      <c r="E44" s="184" t="s">
        <v>846</v>
      </c>
      <c r="F44" s="185" t="s">
        <v>873</v>
      </c>
      <c r="G44" s="186">
        <v>44629.798321759263</v>
      </c>
      <c r="H44" s="184">
        <v>8</v>
      </c>
      <c r="J44" s="184">
        <v>5</v>
      </c>
      <c r="K44" s="191" t="s">
        <v>638</v>
      </c>
      <c r="L44" s="185"/>
      <c r="M44" s="191" t="s">
        <v>638</v>
      </c>
      <c r="N44" s="185"/>
      <c r="O44" s="196"/>
      <c r="P44" s="191"/>
      <c r="Q44" s="196"/>
    </row>
    <row r="45" spans="1:17" ht="17" x14ac:dyDescent="0.2">
      <c r="A45" s="184">
        <v>261</v>
      </c>
      <c r="C45" s="184" t="s">
        <v>45</v>
      </c>
      <c r="D45" s="184">
        <v>439</v>
      </c>
      <c r="E45" s="184" t="s">
        <v>832</v>
      </c>
      <c r="F45" s="185" t="s">
        <v>874</v>
      </c>
      <c r="G45" s="186">
        <v>44629.798344907409</v>
      </c>
      <c r="H45" s="184">
        <v>10</v>
      </c>
      <c r="J45" s="184">
        <v>5</v>
      </c>
      <c r="K45" s="191" t="s">
        <v>638</v>
      </c>
      <c r="L45" s="185"/>
      <c r="M45" s="195" t="s">
        <v>638</v>
      </c>
      <c r="N45" s="185"/>
      <c r="O45" s="196"/>
      <c r="P45" s="191"/>
      <c r="Q45" s="196"/>
    </row>
    <row r="46" spans="1:17" ht="51" x14ac:dyDescent="0.2">
      <c r="A46" s="184">
        <v>261</v>
      </c>
      <c r="C46" s="184" t="s">
        <v>45</v>
      </c>
      <c r="D46" s="184">
        <v>444</v>
      </c>
      <c r="E46" s="184" t="s">
        <v>846</v>
      </c>
      <c r="F46" s="185" t="s">
        <v>875</v>
      </c>
      <c r="G46" s="186">
        <v>44629.799270833333</v>
      </c>
      <c r="H46" s="184">
        <v>8</v>
      </c>
      <c r="J46" s="184">
        <v>5</v>
      </c>
      <c r="K46" s="191" t="s">
        <v>638</v>
      </c>
      <c r="L46" s="185"/>
      <c r="M46" s="195" t="s">
        <v>638</v>
      </c>
      <c r="N46" s="185"/>
      <c r="O46" s="196"/>
      <c r="P46" s="191"/>
      <c r="Q46" s="196"/>
    </row>
    <row r="47" spans="1:17" ht="17" x14ac:dyDescent="0.2">
      <c r="A47" s="184">
        <v>261</v>
      </c>
      <c r="C47" s="184" t="s">
        <v>45</v>
      </c>
      <c r="D47" s="184">
        <v>439</v>
      </c>
      <c r="E47" s="184" t="s">
        <v>832</v>
      </c>
      <c r="F47" s="185" t="s">
        <v>876</v>
      </c>
      <c r="G47" s="186">
        <v>44629.799537037034</v>
      </c>
      <c r="H47" s="184">
        <v>10</v>
      </c>
      <c r="J47" s="184">
        <v>5</v>
      </c>
      <c r="K47" s="195" t="s">
        <v>49</v>
      </c>
      <c r="L47" s="185"/>
      <c r="M47" s="195" t="s">
        <v>49</v>
      </c>
      <c r="N47" s="185"/>
      <c r="O47" s="196"/>
      <c r="P47" s="191"/>
      <c r="Q47" s="196"/>
    </row>
    <row r="48" spans="1:17" ht="17" x14ac:dyDescent="0.2">
      <c r="A48" s="184">
        <v>261</v>
      </c>
      <c r="C48" s="184" t="s">
        <v>45</v>
      </c>
      <c r="D48" s="184">
        <v>444</v>
      </c>
      <c r="E48" s="184" t="s">
        <v>846</v>
      </c>
      <c r="F48" s="185" t="s">
        <v>877</v>
      </c>
      <c r="G48" s="186">
        <v>44629.802361111113</v>
      </c>
      <c r="H48" s="184">
        <v>10</v>
      </c>
      <c r="J48" s="184">
        <v>3</v>
      </c>
      <c r="K48" s="195" t="s">
        <v>52</v>
      </c>
      <c r="L48" s="185"/>
      <c r="M48" s="195" t="s">
        <v>52</v>
      </c>
      <c r="N48" s="196" t="s">
        <v>58</v>
      </c>
      <c r="O48" s="196" t="s">
        <v>58</v>
      </c>
      <c r="P48" s="191"/>
      <c r="Q48" s="196"/>
    </row>
    <row r="49" spans="1:17" ht="51" x14ac:dyDescent="0.2">
      <c r="A49" s="184">
        <v>261</v>
      </c>
      <c r="C49" s="184" t="s">
        <v>45</v>
      </c>
      <c r="D49" s="184">
        <v>439</v>
      </c>
      <c r="E49" s="184" t="s">
        <v>832</v>
      </c>
      <c r="F49" s="185" t="s">
        <v>878</v>
      </c>
      <c r="G49" s="186">
        <v>44629.802893518521</v>
      </c>
      <c r="H49" s="184">
        <v>10</v>
      </c>
      <c r="J49" s="184">
        <v>3</v>
      </c>
      <c r="K49" s="195" t="s">
        <v>52</v>
      </c>
      <c r="L49" s="185"/>
      <c r="M49" s="195" t="s">
        <v>52</v>
      </c>
      <c r="N49" s="185"/>
      <c r="O49" s="196"/>
      <c r="P49" s="191"/>
      <c r="Q49" s="196"/>
    </row>
    <row r="50" spans="1:17" ht="34" x14ac:dyDescent="0.2">
      <c r="A50" s="184">
        <v>261</v>
      </c>
      <c r="C50" s="184" t="s">
        <v>45</v>
      </c>
      <c r="D50" s="184">
        <v>443</v>
      </c>
      <c r="E50" s="184" t="s">
        <v>829</v>
      </c>
      <c r="F50" s="185" t="s">
        <v>879</v>
      </c>
      <c r="G50" s="186">
        <v>44629.802951388891</v>
      </c>
      <c r="H50" s="184">
        <v>10</v>
      </c>
      <c r="K50" s="195" t="s">
        <v>52</v>
      </c>
      <c r="L50" s="185"/>
      <c r="M50" s="195" t="s">
        <v>52</v>
      </c>
      <c r="N50" s="185"/>
      <c r="O50" s="196"/>
      <c r="P50" s="191" t="s">
        <v>261</v>
      </c>
      <c r="Q50" s="196" t="s">
        <v>112</v>
      </c>
    </row>
    <row r="51" spans="1:17" ht="34" x14ac:dyDescent="0.2">
      <c r="A51" s="184">
        <v>261</v>
      </c>
      <c r="C51" s="184" t="s">
        <v>45</v>
      </c>
      <c r="D51" s="184">
        <v>439</v>
      </c>
      <c r="E51" s="184" t="s">
        <v>832</v>
      </c>
      <c r="F51" s="185" t="s">
        <v>880</v>
      </c>
      <c r="G51" s="186">
        <v>44629.803854166668</v>
      </c>
      <c r="H51" s="184">
        <v>10</v>
      </c>
      <c r="K51" s="195" t="s">
        <v>52</v>
      </c>
      <c r="L51" s="185"/>
      <c r="M51" s="195" t="s">
        <v>52</v>
      </c>
      <c r="N51" s="191" t="s">
        <v>305</v>
      </c>
      <c r="O51" s="196"/>
      <c r="P51" s="191"/>
      <c r="Q51" s="196"/>
    </row>
    <row r="52" spans="1:17" ht="17" x14ac:dyDescent="0.2">
      <c r="A52" s="184">
        <v>261</v>
      </c>
      <c r="C52" s="184" t="s">
        <v>45</v>
      </c>
      <c r="D52" s="184">
        <v>443</v>
      </c>
      <c r="E52" s="184" t="s">
        <v>829</v>
      </c>
      <c r="F52" s="185" t="s">
        <v>881</v>
      </c>
      <c r="G52" s="186">
        <v>44629.804097222222</v>
      </c>
      <c r="H52" s="184">
        <v>10</v>
      </c>
      <c r="K52" s="195" t="s">
        <v>49</v>
      </c>
      <c r="L52" s="185"/>
      <c r="M52" s="195" t="s">
        <v>49</v>
      </c>
      <c r="N52" s="185"/>
      <c r="O52" s="196" t="s">
        <v>637</v>
      </c>
      <c r="P52" s="191"/>
      <c r="Q52" s="196"/>
    </row>
    <row r="53" spans="1:17" ht="192" customHeight="1" x14ac:dyDescent="0.2">
      <c r="A53" s="184">
        <v>261</v>
      </c>
      <c r="C53" s="184" t="s">
        <v>45</v>
      </c>
      <c r="D53" s="184">
        <v>444</v>
      </c>
      <c r="E53" s="184" t="s">
        <v>846</v>
      </c>
      <c r="F53" s="185" t="s">
        <v>882</v>
      </c>
      <c r="G53" s="186">
        <v>44629.804583333331</v>
      </c>
      <c r="H53" s="184">
        <v>10</v>
      </c>
      <c r="J53" s="184">
        <v>3</v>
      </c>
      <c r="K53" s="195" t="s">
        <v>52</v>
      </c>
      <c r="L53" s="185"/>
      <c r="M53" s="195" t="s">
        <v>52</v>
      </c>
      <c r="N53" s="191" t="s">
        <v>340</v>
      </c>
      <c r="O53" s="196"/>
      <c r="P53" s="191"/>
      <c r="Q53" s="196"/>
    </row>
    <row r="54" spans="1:17" ht="17" x14ac:dyDescent="0.2">
      <c r="A54" s="184">
        <v>261</v>
      </c>
      <c r="C54" s="184" t="s">
        <v>45</v>
      </c>
      <c r="D54" s="184">
        <v>439</v>
      </c>
      <c r="E54" s="184" t="s">
        <v>832</v>
      </c>
      <c r="F54" s="185" t="s">
        <v>883</v>
      </c>
      <c r="G54" s="186">
        <v>44629.805069444446</v>
      </c>
      <c r="H54" s="184">
        <v>10</v>
      </c>
      <c r="J54" s="184">
        <v>3</v>
      </c>
      <c r="K54" s="195" t="s">
        <v>52</v>
      </c>
      <c r="L54" s="185"/>
      <c r="M54" s="195" t="s">
        <v>52</v>
      </c>
      <c r="N54" s="196" t="s">
        <v>58</v>
      </c>
      <c r="O54" s="196" t="s">
        <v>58</v>
      </c>
      <c r="P54" s="191"/>
      <c r="Q54" s="196"/>
    </row>
    <row r="55" spans="1:17" ht="50.25" customHeight="1" x14ac:dyDescent="0.2">
      <c r="A55" s="184">
        <v>261</v>
      </c>
      <c r="C55" s="184" t="s">
        <v>45</v>
      </c>
      <c r="D55" s="184">
        <v>443</v>
      </c>
      <c r="E55" s="184" t="s">
        <v>829</v>
      </c>
      <c r="F55" s="185" t="s">
        <v>884</v>
      </c>
      <c r="G55" s="186">
        <v>44629.80541666667</v>
      </c>
      <c r="H55" s="184">
        <v>10</v>
      </c>
      <c r="J55" s="184">
        <v>3</v>
      </c>
      <c r="K55" s="195" t="s">
        <v>52</v>
      </c>
      <c r="L55" s="185"/>
      <c r="M55" s="195" t="s">
        <v>52</v>
      </c>
      <c r="N55" s="196" t="s">
        <v>58</v>
      </c>
      <c r="O55" s="196" t="s">
        <v>58</v>
      </c>
      <c r="P55" s="191"/>
      <c r="Q55" s="196"/>
    </row>
    <row r="56" spans="1:17" ht="34" x14ac:dyDescent="0.2">
      <c r="A56" s="184">
        <v>261</v>
      </c>
      <c r="C56" s="184" t="s">
        <v>45</v>
      </c>
      <c r="D56" s="184">
        <v>439</v>
      </c>
      <c r="E56" s="184" t="s">
        <v>832</v>
      </c>
      <c r="F56" s="185" t="s">
        <v>885</v>
      </c>
      <c r="G56" s="186">
        <v>44629.805891203701</v>
      </c>
      <c r="H56" s="184">
        <v>10</v>
      </c>
      <c r="J56" s="184">
        <v>6</v>
      </c>
      <c r="K56" s="195" t="s">
        <v>52</v>
      </c>
      <c r="L56" s="185"/>
      <c r="M56" s="195" t="s">
        <v>52</v>
      </c>
      <c r="N56" s="185"/>
      <c r="O56" s="196"/>
      <c r="P56" s="191" t="s">
        <v>120</v>
      </c>
      <c r="Q56" s="196" t="s">
        <v>120</v>
      </c>
    </row>
    <row r="57" spans="1:17" ht="51" x14ac:dyDescent="0.2">
      <c r="A57" s="184">
        <v>261</v>
      </c>
      <c r="C57" s="184" t="s">
        <v>45</v>
      </c>
      <c r="D57" s="184">
        <v>444</v>
      </c>
      <c r="E57" s="184" t="s">
        <v>846</v>
      </c>
      <c r="F57" s="185" t="s">
        <v>886</v>
      </c>
      <c r="G57" s="186">
        <v>44629.806435185186</v>
      </c>
      <c r="H57" s="184">
        <v>10</v>
      </c>
      <c r="J57" s="184">
        <v>6</v>
      </c>
      <c r="K57" s="195" t="s">
        <v>52</v>
      </c>
      <c r="L57" s="185"/>
      <c r="M57" s="195" t="s">
        <v>52</v>
      </c>
      <c r="N57" s="191" t="s">
        <v>305</v>
      </c>
      <c r="O57" s="196"/>
      <c r="P57" s="191"/>
      <c r="Q57" s="196"/>
    </row>
    <row r="58" spans="1:17" ht="34" x14ac:dyDescent="0.2">
      <c r="A58" s="184">
        <v>261</v>
      </c>
      <c r="C58" s="184" t="s">
        <v>45</v>
      </c>
      <c r="D58" s="184">
        <v>439</v>
      </c>
      <c r="E58" s="184" t="s">
        <v>832</v>
      </c>
      <c r="F58" s="185" t="s">
        <v>887</v>
      </c>
      <c r="G58" s="186">
        <v>44629.806469907409</v>
      </c>
      <c r="H58" s="184">
        <v>10</v>
      </c>
      <c r="J58" s="184">
        <v>6</v>
      </c>
      <c r="K58" s="195" t="s">
        <v>52</v>
      </c>
      <c r="L58" s="185"/>
      <c r="M58" s="195" t="s">
        <v>52</v>
      </c>
      <c r="N58" s="185"/>
      <c r="O58" s="196"/>
      <c r="P58" s="191"/>
      <c r="Q58" s="196"/>
    </row>
    <row r="59" spans="1:17" ht="34" x14ac:dyDescent="0.2">
      <c r="A59" s="184">
        <v>261</v>
      </c>
      <c r="C59" s="184" t="s">
        <v>45</v>
      </c>
      <c r="D59" s="184">
        <v>439</v>
      </c>
      <c r="E59" s="184" t="s">
        <v>832</v>
      </c>
      <c r="F59" s="185" t="s">
        <v>888</v>
      </c>
      <c r="G59" s="186">
        <v>44629.806805555556</v>
      </c>
      <c r="H59" s="184">
        <v>10</v>
      </c>
      <c r="J59" s="184">
        <v>6</v>
      </c>
      <c r="K59" s="191" t="s">
        <v>638</v>
      </c>
      <c r="L59" s="185"/>
      <c r="M59" s="195" t="s">
        <v>638</v>
      </c>
      <c r="N59" s="185"/>
      <c r="O59" s="196" t="s">
        <v>58</v>
      </c>
      <c r="P59" s="191"/>
      <c r="Q59" s="196"/>
    </row>
    <row r="60" spans="1:17" ht="85" x14ac:dyDescent="0.2">
      <c r="A60" s="184">
        <v>261</v>
      </c>
      <c r="C60" s="184" t="s">
        <v>45</v>
      </c>
      <c r="D60" s="184">
        <v>444</v>
      </c>
      <c r="E60" s="184" t="s">
        <v>846</v>
      </c>
      <c r="F60" s="185" t="s">
        <v>889</v>
      </c>
      <c r="G60" s="186">
        <v>44629.807511574072</v>
      </c>
      <c r="H60" s="184">
        <v>10</v>
      </c>
      <c r="J60" s="184">
        <v>6</v>
      </c>
      <c r="K60" s="195" t="s">
        <v>52</v>
      </c>
      <c r="L60" s="185"/>
      <c r="M60" s="195" t="s">
        <v>52</v>
      </c>
      <c r="N60" s="185"/>
      <c r="O60" s="196"/>
      <c r="P60" s="191"/>
      <c r="Q60" s="196"/>
    </row>
    <row r="61" spans="1:17" ht="68" x14ac:dyDescent="0.2">
      <c r="A61" s="184">
        <v>261</v>
      </c>
      <c r="C61" s="184" t="s">
        <v>45</v>
      </c>
      <c r="D61" s="184">
        <v>443</v>
      </c>
      <c r="E61" s="184" t="s">
        <v>829</v>
      </c>
      <c r="F61" s="185" t="s">
        <v>890</v>
      </c>
      <c r="G61" s="186">
        <v>44629.807974537034</v>
      </c>
      <c r="H61" s="184">
        <v>10</v>
      </c>
      <c r="J61" s="184">
        <v>6</v>
      </c>
      <c r="K61" s="195" t="s">
        <v>52</v>
      </c>
      <c r="L61" s="185"/>
      <c r="M61" s="195" t="s">
        <v>52</v>
      </c>
      <c r="N61" s="191" t="s">
        <v>58</v>
      </c>
      <c r="O61" s="196"/>
      <c r="P61" s="191"/>
      <c r="Q61" s="196"/>
    </row>
    <row r="62" spans="1:17" ht="17" x14ac:dyDescent="0.2">
      <c r="A62" s="184">
        <v>261</v>
      </c>
      <c r="C62" s="184" t="s">
        <v>45</v>
      </c>
      <c r="D62" s="184">
        <v>439</v>
      </c>
      <c r="E62" s="184" t="s">
        <v>832</v>
      </c>
      <c r="F62" s="185" t="s">
        <v>891</v>
      </c>
      <c r="G62" s="186">
        <v>44629.808009259257</v>
      </c>
      <c r="H62" s="184">
        <v>10</v>
      </c>
      <c r="J62" s="184">
        <v>6</v>
      </c>
      <c r="K62" s="195" t="s">
        <v>49</v>
      </c>
      <c r="L62" s="185"/>
      <c r="M62" s="195" t="s">
        <v>49</v>
      </c>
      <c r="N62" s="196" t="s">
        <v>637</v>
      </c>
      <c r="O62" s="196" t="s">
        <v>637</v>
      </c>
      <c r="P62" s="191"/>
      <c r="Q62" s="196"/>
    </row>
    <row r="63" spans="1:17" ht="111.75" customHeight="1" x14ac:dyDescent="0.2">
      <c r="A63" s="184">
        <v>261</v>
      </c>
      <c r="C63" s="184" t="s">
        <v>45</v>
      </c>
      <c r="D63" s="184">
        <v>444</v>
      </c>
      <c r="E63" s="184" t="s">
        <v>846</v>
      </c>
      <c r="F63" s="185" t="s">
        <v>892</v>
      </c>
      <c r="G63" s="186">
        <v>44629.808877314812</v>
      </c>
      <c r="H63" s="184">
        <v>10</v>
      </c>
      <c r="J63" s="184">
        <v>7</v>
      </c>
      <c r="K63" s="195" t="s">
        <v>52</v>
      </c>
      <c r="L63" s="185"/>
      <c r="M63" s="195" t="s">
        <v>893</v>
      </c>
      <c r="N63" s="185"/>
      <c r="O63" s="196"/>
      <c r="P63" s="191" t="s">
        <v>120</v>
      </c>
      <c r="Q63" s="196" t="s">
        <v>120</v>
      </c>
    </row>
    <row r="64" spans="1:17" ht="34" x14ac:dyDescent="0.2">
      <c r="A64" s="184">
        <v>261</v>
      </c>
      <c r="C64" s="184" t="s">
        <v>45</v>
      </c>
      <c r="D64" s="184">
        <v>443</v>
      </c>
      <c r="E64" s="184" t="s">
        <v>829</v>
      </c>
      <c r="F64" s="185" t="s">
        <v>894</v>
      </c>
      <c r="G64" s="186">
        <v>44629.809189814812</v>
      </c>
      <c r="H64" s="184">
        <v>10</v>
      </c>
      <c r="J64" s="184">
        <v>7</v>
      </c>
      <c r="K64" s="195" t="s">
        <v>52</v>
      </c>
      <c r="L64" s="185"/>
      <c r="M64" s="195" t="s">
        <v>52</v>
      </c>
      <c r="N64" s="185"/>
      <c r="O64" s="196"/>
      <c r="P64" s="191"/>
      <c r="Q64" s="196"/>
    </row>
    <row r="65" spans="1:17" ht="34" x14ac:dyDescent="0.2">
      <c r="A65" s="184">
        <v>261</v>
      </c>
      <c r="C65" s="184" t="s">
        <v>45</v>
      </c>
      <c r="D65" s="184">
        <v>443</v>
      </c>
      <c r="E65" s="184" t="s">
        <v>829</v>
      </c>
      <c r="F65" s="185" t="s">
        <v>895</v>
      </c>
      <c r="G65" s="186">
        <v>44629.80945601852</v>
      </c>
      <c r="H65" s="184">
        <v>10</v>
      </c>
      <c r="J65" s="184">
        <v>7</v>
      </c>
      <c r="K65" s="195" t="s">
        <v>52</v>
      </c>
      <c r="L65" s="185"/>
      <c r="M65" s="195" t="s">
        <v>52</v>
      </c>
      <c r="N65" s="185"/>
      <c r="O65" s="196"/>
      <c r="P65" s="191"/>
      <c r="Q65" s="196"/>
    </row>
    <row r="66" spans="1:17" ht="51" x14ac:dyDescent="0.2">
      <c r="A66" s="184">
        <v>261</v>
      </c>
      <c r="C66" s="184" t="s">
        <v>45</v>
      </c>
      <c r="D66" s="184">
        <v>439</v>
      </c>
      <c r="E66" s="184" t="s">
        <v>832</v>
      </c>
      <c r="F66" s="185" t="s">
        <v>896</v>
      </c>
      <c r="G66" s="186">
        <v>44629.809548611112</v>
      </c>
      <c r="H66" s="184">
        <v>10</v>
      </c>
      <c r="J66" s="184">
        <v>7</v>
      </c>
      <c r="K66" s="195" t="s">
        <v>52</v>
      </c>
      <c r="L66" s="185"/>
      <c r="M66" s="195" t="s">
        <v>52</v>
      </c>
      <c r="N66" s="191" t="s">
        <v>302</v>
      </c>
      <c r="O66" s="196"/>
      <c r="P66" s="191"/>
      <c r="Q66" s="196"/>
    </row>
    <row r="67" spans="1:17" ht="17" x14ac:dyDescent="0.2">
      <c r="A67" s="184">
        <v>261</v>
      </c>
      <c r="C67" s="184" t="s">
        <v>45</v>
      </c>
      <c r="D67" s="184">
        <v>439</v>
      </c>
      <c r="E67" s="184" t="s">
        <v>832</v>
      </c>
      <c r="F67" s="185" t="s">
        <v>897</v>
      </c>
      <c r="G67" s="186">
        <v>44629.810081018521</v>
      </c>
      <c r="H67" s="184">
        <v>10</v>
      </c>
      <c r="J67" s="184">
        <v>7</v>
      </c>
      <c r="K67" s="191" t="s">
        <v>68</v>
      </c>
      <c r="L67" s="185"/>
      <c r="M67" s="195" t="s">
        <v>52</v>
      </c>
      <c r="N67" s="185"/>
      <c r="O67" s="196"/>
      <c r="P67" s="191"/>
      <c r="Q67" s="196"/>
    </row>
    <row r="68" spans="1:17" ht="17" x14ac:dyDescent="0.2">
      <c r="A68" s="184">
        <v>261</v>
      </c>
      <c r="C68" s="184" t="s">
        <v>45</v>
      </c>
      <c r="D68" s="184">
        <v>444</v>
      </c>
      <c r="E68" s="184" t="s">
        <v>846</v>
      </c>
      <c r="F68" s="185" t="s">
        <v>898</v>
      </c>
      <c r="G68" s="186">
        <v>44629.810428240744</v>
      </c>
      <c r="H68" s="184">
        <v>10</v>
      </c>
      <c r="K68" s="195" t="s">
        <v>638</v>
      </c>
      <c r="L68" s="185"/>
      <c r="M68" s="195" t="s">
        <v>638</v>
      </c>
      <c r="N68" s="185"/>
      <c r="O68" s="196"/>
      <c r="P68" s="196" t="s">
        <v>112</v>
      </c>
      <c r="Q68" s="196" t="s">
        <v>112</v>
      </c>
    </row>
    <row r="69" spans="1:17" ht="34" x14ac:dyDescent="0.2">
      <c r="A69" s="184">
        <v>261</v>
      </c>
      <c r="C69" s="184" t="s">
        <v>45</v>
      </c>
      <c r="D69" s="184">
        <v>439</v>
      </c>
      <c r="E69" s="184" t="s">
        <v>832</v>
      </c>
      <c r="F69" s="185" t="s">
        <v>899</v>
      </c>
      <c r="G69" s="186">
        <v>44629.811990740738</v>
      </c>
      <c r="H69" s="184">
        <v>10</v>
      </c>
      <c r="J69" s="184">
        <v>7</v>
      </c>
      <c r="K69" s="195" t="s">
        <v>52</v>
      </c>
      <c r="L69" s="185"/>
      <c r="M69" s="195" t="s">
        <v>52</v>
      </c>
      <c r="N69" s="185"/>
      <c r="O69" s="196"/>
      <c r="P69" s="191" t="s">
        <v>112</v>
      </c>
      <c r="Q69" s="191" t="s">
        <v>112</v>
      </c>
    </row>
    <row r="70" spans="1:17" ht="85" x14ac:dyDescent="0.2">
      <c r="A70" s="184">
        <v>261</v>
      </c>
      <c r="C70" s="184" t="s">
        <v>45</v>
      </c>
      <c r="D70" s="184">
        <v>444</v>
      </c>
      <c r="E70" s="184" t="s">
        <v>846</v>
      </c>
      <c r="F70" s="185" t="s">
        <v>900</v>
      </c>
      <c r="G70" s="186">
        <v>44629.812268518515</v>
      </c>
      <c r="H70" s="184">
        <v>10</v>
      </c>
      <c r="J70" s="184">
        <v>7</v>
      </c>
      <c r="K70" s="195" t="s">
        <v>52</v>
      </c>
      <c r="L70" s="185"/>
      <c r="M70" s="195" t="s">
        <v>52</v>
      </c>
      <c r="N70" s="191" t="s">
        <v>58</v>
      </c>
      <c r="O70" s="196" t="s">
        <v>58</v>
      </c>
      <c r="P70" s="191"/>
      <c r="Q70" s="196"/>
    </row>
    <row r="71" spans="1:17" ht="34" x14ac:dyDescent="0.2">
      <c r="A71" s="184">
        <v>261</v>
      </c>
      <c r="C71" s="184" t="s">
        <v>45</v>
      </c>
      <c r="D71" s="184">
        <v>444</v>
      </c>
      <c r="E71" s="184" t="s">
        <v>846</v>
      </c>
      <c r="F71" s="185" t="s">
        <v>901</v>
      </c>
      <c r="G71" s="186">
        <v>44629.812534722223</v>
      </c>
      <c r="H71" s="184">
        <v>10</v>
      </c>
      <c r="J71" s="184">
        <v>7</v>
      </c>
      <c r="K71" s="195" t="s">
        <v>52</v>
      </c>
      <c r="L71" s="185"/>
      <c r="M71" s="195" t="s">
        <v>52</v>
      </c>
      <c r="N71" s="185"/>
      <c r="O71" s="196"/>
      <c r="P71" s="191"/>
      <c r="Q71" s="196"/>
    </row>
    <row r="72" spans="1:17" ht="119" x14ac:dyDescent="0.2">
      <c r="A72" s="184">
        <v>261</v>
      </c>
      <c r="C72" s="184" t="s">
        <v>45</v>
      </c>
      <c r="D72" s="184">
        <v>444</v>
      </c>
      <c r="E72" s="184" t="s">
        <v>846</v>
      </c>
      <c r="F72" s="185" t="s">
        <v>902</v>
      </c>
      <c r="G72" s="186">
        <v>44629.813877314817</v>
      </c>
      <c r="H72" s="184">
        <v>10</v>
      </c>
      <c r="J72" s="184">
        <v>7</v>
      </c>
      <c r="K72" s="195" t="s">
        <v>52</v>
      </c>
      <c r="L72" s="185"/>
      <c r="M72" s="195" t="s">
        <v>52</v>
      </c>
      <c r="N72" s="185"/>
      <c r="O72" s="196"/>
      <c r="P72" s="191"/>
      <c r="Q72" s="196"/>
    </row>
    <row r="73" spans="1:17" ht="34" x14ac:dyDescent="0.2">
      <c r="A73" s="184">
        <v>261</v>
      </c>
      <c r="C73" s="184" t="s">
        <v>45</v>
      </c>
      <c r="D73" s="184">
        <v>439</v>
      </c>
      <c r="E73" s="184" t="s">
        <v>832</v>
      </c>
      <c r="F73" s="185" t="s">
        <v>903</v>
      </c>
      <c r="G73" s="186">
        <v>44629.814513888887</v>
      </c>
      <c r="H73" s="184">
        <v>10</v>
      </c>
      <c r="J73" s="184">
        <v>8</v>
      </c>
      <c r="K73" s="195" t="s">
        <v>52</v>
      </c>
      <c r="L73" s="185"/>
      <c r="M73" s="195" t="s">
        <v>52</v>
      </c>
      <c r="N73" s="185"/>
      <c r="O73" s="196"/>
      <c r="P73" s="191"/>
      <c r="Q73" s="196"/>
    </row>
    <row r="74" spans="1:17" ht="17" x14ac:dyDescent="0.2">
      <c r="A74" s="184">
        <v>261</v>
      </c>
      <c r="C74" s="184" t="s">
        <v>45</v>
      </c>
      <c r="D74" s="184">
        <v>439</v>
      </c>
      <c r="E74" s="184" t="s">
        <v>832</v>
      </c>
      <c r="F74" s="185" t="s">
        <v>904</v>
      </c>
      <c r="G74" s="186">
        <v>44629.81459490741</v>
      </c>
      <c r="H74" s="184">
        <v>10</v>
      </c>
      <c r="J74" s="184">
        <v>8</v>
      </c>
      <c r="K74" s="195" t="s">
        <v>52</v>
      </c>
      <c r="L74" s="185"/>
      <c r="M74" s="195" t="s">
        <v>52</v>
      </c>
      <c r="N74" s="185"/>
      <c r="O74" s="191"/>
      <c r="P74" s="191" t="s">
        <v>112</v>
      </c>
      <c r="Q74" s="191" t="s">
        <v>112</v>
      </c>
    </row>
    <row r="75" spans="1:17" ht="51" x14ac:dyDescent="0.2">
      <c r="A75" s="184">
        <v>261</v>
      </c>
      <c r="C75" s="184" t="s">
        <v>45</v>
      </c>
      <c r="D75" s="184">
        <v>444</v>
      </c>
      <c r="E75" s="184" t="s">
        <v>846</v>
      </c>
      <c r="F75" s="185" t="s">
        <v>905</v>
      </c>
      <c r="G75" s="186">
        <v>44629.814918981479</v>
      </c>
      <c r="H75" s="184">
        <v>10</v>
      </c>
      <c r="J75" s="184">
        <v>8</v>
      </c>
      <c r="K75" s="195" t="s">
        <v>52</v>
      </c>
      <c r="L75" s="185"/>
      <c r="M75" s="195" t="s">
        <v>52</v>
      </c>
      <c r="N75" s="191" t="s">
        <v>58</v>
      </c>
      <c r="O75" s="196"/>
      <c r="P75" s="191"/>
      <c r="Q75" s="196"/>
    </row>
    <row r="76" spans="1:17" ht="17" x14ac:dyDescent="0.2">
      <c r="A76" s="184">
        <v>261</v>
      </c>
      <c r="C76" s="184" t="s">
        <v>45</v>
      </c>
      <c r="D76" s="184">
        <v>439</v>
      </c>
      <c r="E76" s="184" t="s">
        <v>832</v>
      </c>
      <c r="F76" s="185" t="s">
        <v>906</v>
      </c>
      <c r="G76" s="186">
        <v>44629.815567129626</v>
      </c>
      <c r="H76" s="184">
        <v>10</v>
      </c>
      <c r="J76" s="184">
        <v>8</v>
      </c>
      <c r="K76" s="195" t="s">
        <v>52</v>
      </c>
      <c r="L76" s="185"/>
      <c r="M76" s="195" t="s">
        <v>52</v>
      </c>
      <c r="N76" s="196" t="s">
        <v>58</v>
      </c>
      <c r="O76" s="196"/>
      <c r="P76" s="191"/>
      <c r="Q76" s="196"/>
    </row>
    <row r="77" spans="1:17" ht="17" x14ac:dyDescent="0.2">
      <c r="A77" s="184">
        <v>261</v>
      </c>
      <c r="C77" s="184" t="s">
        <v>45</v>
      </c>
      <c r="D77" s="184">
        <v>439</v>
      </c>
      <c r="E77" s="184" t="s">
        <v>832</v>
      </c>
      <c r="F77" s="185" t="s">
        <v>907</v>
      </c>
      <c r="G77" s="186">
        <v>44629.815717592595</v>
      </c>
      <c r="H77" s="184">
        <v>10</v>
      </c>
      <c r="K77" s="195" t="s">
        <v>49</v>
      </c>
      <c r="L77" s="185"/>
      <c r="M77" s="195" t="s">
        <v>49</v>
      </c>
      <c r="N77" s="185"/>
      <c r="O77" s="196"/>
      <c r="P77" s="191"/>
      <c r="Q77" s="196"/>
    </row>
    <row r="78" spans="1:17" ht="34" x14ac:dyDescent="0.2">
      <c r="A78" s="184">
        <v>261</v>
      </c>
      <c r="C78" s="184" t="s">
        <v>45</v>
      </c>
      <c r="D78" s="184">
        <v>444</v>
      </c>
      <c r="E78" s="184" t="s">
        <v>846</v>
      </c>
      <c r="F78" s="185" t="s">
        <v>908</v>
      </c>
      <c r="G78" s="186">
        <v>44629.816770833335</v>
      </c>
      <c r="H78" s="184">
        <v>10</v>
      </c>
      <c r="J78" s="184">
        <v>9</v>
      </c>
      <c r="K78" s="191" t="s">
        <v>68</v>
      </c>
      <c r="L78" s="185"/>
      <c r="M78" s="191" t="s">
        <v>68</v>
      </c>
      <c r="N78" s="185"/>
      <c r="O78" s="196"/>
      <c r="P78" s="191"/>
      <c r="Q78" s="196"/>
    </row>
    <row r="79" spans="1:17" ht="17" x14ac:dyDescent="0.2">
      <c r="A79" s="184">
        <v>261</v>
      </c>
      <c r="C79" s="184" t="s">
        <v>45</v>
      </c>
      <c r="D79" s="184">
        <v>439</v>
      </c>
      <c r="E79" s="184" t="s">
        <v>832</v>
      </c>
      <c r="F79" s="185" t="s">
        <v>909</v>
      </c>
      <c r="G79" s="186">
        <v>44629.81695601852</v>
      </c>
      <c r="H79" s="184">
        <v>10</v>
      </c>
      <c r="J79" s="184">
        <v>9</v>
      </c>
      <c r="K79" s="195" t="s">
        <v>49</v>
      </c>
      <c r="L79" s="185"/>
      <c r="M79" s="195" t="s">
        <v>49</v>
      </c>
      <c r="N79" s="185"/>
      <c r="O79" s="196"/>
      <c r="P79" s="191"/>
      <c r="Q79" s="196"/>
    </row>
    <row r="80" spans="1:17" ht="17" x14ac:dyDescent="0.2">
      <c r="A80" s="184">
        <v>261</v>
      </c>
      <c r="C80" s="184" t="s">
        <v>45</v>
      </c>
      <c r="D80" s="184">
        <v>439</v>
      </c>
      <c r="E80" s="184" t="s">
        <v>832</v>
      </c>
      <c r="F80" s="185" t="s">
        <v>910</v>
      </c>
      <c r="G80" s="186">
        <v>44629.817048611112</v>
      </c>
      <c r="H80" s="184">
        <v>10</v>
      </c>
      <c r="J80" s="184">
        <v>9</v>
      </c>
      <c r="K80" s="195" t="s">
        <v>49</v>
      </c>
      <c r="L80" s="185"/>
      <c r="M80" s="195" t="s">
        <v>49</v>
      </c>
      <c r="N80" s="185"/>
      <c r="O80" s="196"/>
      <c r="P80" s="191"/>
      <c r="Q80" s="196"/>
    </row>
    <row r="81" spans="1:17" ht="17" x14ac:dyDescent="0.2">
      <c r="A81" s="184">
        <v>261</v>
      </c>
      <c r="C81" s="184" t="s">
        <v>45</v>
      </c>
      <c r="D81" s="184">
        <v>439</v>
      </c>
      <c r="E81" s="184" t="s">
        <v>832</v>
      </c>
      <c r="F81" s="185" t="s">
        <v>911</v>
      </c>
      <c r="G81" s="186">
        <v>44629.817256944443</v>
      </c>
      <c r="H81" s="184">
        <v>10</v>
      </c>
      <c r="J81" s="184">
        <v>9</v>
      </c>
      <c r="K81" s="195" t="s">
        <v>49</v>
      </c>
      <c r="L81" s="185"/>
      <c r="M81" s="195" t="s">
        <v>49</v>
      </c>
      <c r="N81" s="185"/>
      <c r="O81" s="196"/>
      <c r="P81" s="191"/>
      <c r="Q81" s="196"/>
    </row>
    <row r="82" spans="1:17" ht="34" x14ac:dyDescent="0.2">
      <c r="A82" s="184">
        <v>261</v>
      </c>
      <c r="C82" s="184" t="s">
        <v>45</v>
      </c>
      <c r="D82" s="184">
        <v>444</v>
      </c>
      <c r="E82" s="184" t="s">
        <v>846</v>
      </c>
      <c r="F82" s="185" t="s">
        <v>912</v>
      </c>
      <c r="G82" s="186">
        <v>44629.817361111112</v>
      </c>
      <c r="H82" s="184">
        <v>10</v>
      </c>
      <c r="J82" s="184">
        <v>9</v>
      </c>
      <c r="K82" s="195" t="s">
        <v>49</v>
      </c>
      <c r="L82" s="185"/>
      <c r="M82" s="195" t="s">
        <v>49</v>
      </c>
      <c r="N82" s="185"/>
      <c r="O82" s="196"/>
      <c r="P82" s="191"/>
      <c r="Q82" s="196"/>
    </row>
    <row r="83" spans="1:17" ht="17" x14ac:dyDescent="0.2">
      <c r="A83" s="184">
        <v>261</v>
      </c>
      <c r="C83" s="184" t="s">
        <v>45</v>
      </c>
      <c r="D83" s="184">
        <v>444</v>
      </c>
      <c r="E83" s="184" t="s">
        <v>846</v>
      </c>
      <c r="F83" s="185" t="s">
        <v>913</v>
      </c>
      <c r="G83" s="186">
        <v>44629.817511574074</v>
      </c>
      <c r="H83" s="184">
        <v>10</v>
      </c>
      <c r="J83" s="184">
        <v>9</v>
      </c>
      <c r="K83" s="195" t="s">
        <v>49</v>
      </c>
      <c r="L83" s="185"/>
      <c r="M83" s="195" t="s">
        <v>49</v>
      </c>
      <c r="N83" s="185"/>
      <c r="O83" s="196"/>
      <c r="P83" s="191"/>
      <c r="Q83" s="196"/>
    </row>
    <row r="84" spans="1:17" ht="17" x14ac:dyDescent="0.2">
      <c r="A84" s="184">
        <v>261</v>
      </c>
      <c r="C84" s="184" t="s">
        <v>45</v>
      </c>
      <c r="D84" s="184">
        <v>439</v>
      </c>
      <c r="E84" s="184" t="s">
        <v>832</v>
      </c>
      <c r="F84" s="185" t="s">
        <v>914</v>
      </c>
      <c r="G84" s="186">
        <v>44629.81763888889</v>
      </c>
      <c r="H84" s="184">
        <v>10</v>
      </c>
      <c r="J84" s="184">
        <v>9</v>
      </c>
      <c r="K84" s="195" t="s">
        <v>49</v>
      </c>
      <c r="L84" s="185"/>
      <c r="M84" s="195" t="s">
        <v>49</v>
      </c>
      <c r="N84" s="185"/>
      <c r="O84" s="196"/>
      <c r="P84" s="191"/>
      <c r="Q84" s="196"/>
    </row>
    <row r="85" spans="1:17" ht="17" x14ac:dyDescent="0.2">
      <c r="A85" s="184">
        <v>261</v>
      </c>
      <c r="C85" s="184" t="s">
        <v>45</v>
      </c>
      <c r="D85" s="184">
        <v>443</v>
      </c>
      <c r="E85" s="184" t="s">
        <v>829</v>
      </c>
      <c r="F85" s="185" t="s">
        <v>915</v>
      </c>
      <c r="G85" s="186">
        <v>44629.819467592592</v>
      </c>
      <c r="H85" s="184">
        <v>10</v>
      </c>
      <c r="K85" s="191" t="s">
        <v>638</v>
      </c>
      <c r="L85" s="185"/>
      <c r="M85" s="191" t="s">
        <v>638</v>
      </c>
      <c r="N85" s="185"/>
      <c r="O85" s="196"/>
      <c r="P85" s="191"/>
      <c r="Q85" s="196"/>
    </row>
    <row r="86" spans="1:17" ht="17" x14ac:dyDescent="0.2">
      <c r="A86" s="184">
        <v>261</v>
      </c>
      <c r="C86" s="184" t="s">
        <v>45</v>
      </c>
      <c r="D86" s="184">
        <v>443</v>
      </c>
      <c r="E86" s="184" t="s">
        <v>829</v>
      </c>
      <c r="F86" s="185" t="s">
        <v>916</v>
      </c>
      <c r="G86" s="186">
        <v>44629.820138888892</v>
      </c>
      <c r="H86" s="184">
        <v>10</v>
      </c>
      <c r="K86" s="195" t="s">
        <v>49</v>
      </c>
      <c r="L86" s="185"/>
      <c r="M86" s="195" t="s">
        <v>49</v>
      </c>
      <c r="N86" s="185"/>
      <c r="O86" s="196"/>
      <c r="P86" s="191"/>
      <c r="Q86" s="196"/>
    </row>
    <row r="87" spans="1:17" ht="34" x14ac:dyDescent="0.2">
      <c r="A87" s="184">
        <v>261</v>
      </c>
      <c r="C87" s="184" t="s">
        <v>45</v>
      </c>
      <c r="D87" s="184">
        <v>443</v>
      </c>
      <c r="E87" s="184" t="s">
        <v>829</v>
      </c>
      <c r="F87" s="185" t="s">
        <v>917</v>
      </c>
      <c r="G87" s="186">
        <v>44629.820254629631</v>
      </c>
      <c r="H87" s="184">
        <v>10</v>
      </c>
      <c r="J87" s="184">
        <v>8</v>
      </c>
      <c r="K87" s="195" t="s">
        <v>52</v>
      </c>
      <c r="L87" s="185"/>
      <c r="M87" s="195" t="s">
        <v>52</v>
      </c>
      <c r="N87" s="191" t="s">
        <v>58</v>
      </c>
      <c r="O87" s="196"/>
      <c r="P87" s="191"/>
      <c r="Q87" s="196"/>
    </row>
    <row r="88" spans="1:17" ht="34" x14ac:dyDescent="0.2">
      <c r="A88" s="184">
        <v>261</v>
      </c>
      <c r="C88" s="184" t="s">
        <v>45</v>
      </c>
      <c r="D88" s="184">
        <v>443</v>
      </c>
      <c r="E88" s="184" t="s">
        <v>829</v>
      </c>
      <c r="F88" s="185" t="s">
        <v>918</v>
      </c>
      <c r="G88" s="186">
        <v>44629.820659722223</v>
      </c>
      <c r="H88" s="184">
        <v>10</v>
      </c>
      <c r="J88" s="184">
        <v>8</v>
      </c>
      <c r="K88" s="195" t="s">
        <v>52</v>
      </c>
      <c r="L88" s="185"/>
      <c r="M88" s="195" t="s">
        <v>52</v>
      </c>
      <c r="N88" s="185"/>
      <c r="O88" s="196"/>
      <c r="P88" s="191"/>
      <c r="Q88" s="196"/>
    </row>
    <row r="89" spans="1:17" ht="17" x14ac:dyDescent="0.2">
      <c r="A89" s="184">
        <v>261</v>
      </c>
      <c r="C89" s="184" t="s">
        <v>45</v>
      </c>
      <c r="D89" s="184">
        <v>443</v>
      </c>
      <c r="E89" s="184" t="s">
        <v>829</v>
      </c>
      <c r="F89" s="185" t="s">
        <v>919</v>
      </c>
      <c r="G89" s="186">
        <v>44629.820694444446</v>
      </c>
      <c r="H89" s="184">
        <v>10</v>
      </c>
      <c r="J89" s="184">
        <v>9</v>
      </c>
      <c r="K89" s="195" t="s">
        <v>49</v>
      </c>
      <c r="L89" s="185"/>
      <c r="M89" s="195" t="s">
        <v>49</v>
      </c>
      <c r="N89" s="185"/>
      <c r="O89" s="196"/>
      <c r="P89" s="191"/>
      <c r="Q89" s="196"/>
    </row>
    <row r="90" spans="1:17" ht="17" x14ac:dyDescent="0.2">
      <c r="A90" s="184">
        <v>261</v>
      </c>
      <c r="C90" s="184" t="s">
        <v>45</v>
      </c>
      <c r="D90" s="184">
        <v>443</v>
      </c>
      <c r="E90" s="184" t="s">
        <v>829</v>
      </c>
      <c r="F90" s="185" t="s">
        <v>920</v>
      </c>
      <c r="G90" s="186">
        <v>44629.820763888885</v>
      </c>
      <c r="H90" s="184">
        <v>10</v>
      </c>
      <c r="J90" s="184">
        <v>9</v>
      </c>
      <c r="K90" s="195" t="s">
        <v>49</v>
      </c>
      <c r="L90" s="185"/>
      <c r="M90" s="195" t="s">
        <v>49</v>
      </c>
      <c r="N90" s="185"/>
      <c r="O90" s="196"/>
      <c r="P90" s="191"/>
      <c r="Q90" s="196"/>
    </row>
    <row r="91" spans="1:17" ht="17" x14ac:dyDescent="0.2">
      <c r="A91" s="184">
        <v>261</v>
      </c>
      <c r="C91" s="184" t="s">
        <v>45</v>
      </c>
      <c r="D91" s="184">
        <v>443</v>
      </c>
      <c r="E91" s="184" t="s">
        <v>829</v>
      </c>
      <c r="F91" s="185" t="s">
        <v>921</v>
      </c>
      <c r="G91" s="186">
        <v>44629.820821759262</v>
      </c>
      <c r="H91" s="184">
        <v>10</v>
      </c>
      <c r="J91" s="184">
        <v>9</v>
      </c>
      <c r="K91" s="195" t="s">
        <v>49</v>
      </c>
      <c r="L91" s="185"/>
      <c r="M91" s="195" t="s">
        <v>49</v>
      </c>
      <c r="N91" s="185"/>
      <c r="O91" s="196"/>
      <c r="P91" s="191"/>
      <c r="Q91" s="196"/>
    </row>
    <row r="92" spans="1:17" ht="17" x14ac:dyDescent="0.2">
      <c r="A92" s="184">
        <v>261</v>
      </c>
      <c r="C92" s="184" t="s">
        <v>45</v>
      </c>
      <c r="D92" s="184">
        <v>439</v>
      </c>
      <c r="E92" s="184" t="s">
        <v>832</v>
      </c>
      <c r="F92" s="185" t="s">
        <v>922</v>
      </c>
      <c r="G92" s="186">
        <v>44629.820844907408</v>
      </c>
      <c r="H92" s="184">
        <v>10</v>
      </c>
      <c r="J92" s="184">
        <v>9</v>
      </c>
      <c r="K92" s="195" t="s">
        <v>49</v>
      </c>
      <c r="L92" s="185"/>
      <c r="M92" s="195" t="s">
        <v>49</v>
      </c>
      <c r="N92" s="185"/>
      <c r="O92" s="196"/>
      <c r="P92" s="191"/>
      <c r="Q92" s="196"/>
    </row>
    <row r="93" spans="1:17" ht="68" x14ac:dyDescent="0.2">
      <c r="A93" s="184">
        <v>261</v>
      </c>
      <c r="C93" s="184" t="s">
        <v>45</v>
      </c>
      <c r="D93" s="184">
        <v>440</v>
      </c>
      <c r="E93" s="184" t="s">
        <v>923</v>
      </c>
      <c r="F93" s="185" t="s">
        <v>924</v>
      </c>
      <c r="G93" s="186">
        <v>44629.931608796294</v>
      </c>
      <c r="H93" s="184">
        <v>9</v>
      </c>
      <c r="K93" s="195" t="s">
        <v>49</v>
      </c>
      <c r="L93" s="185"/>
      <c r="M93" s="195" t="s">
        <v>49</v>
      </c>
      <c r="N93" s="185"/>
      <c r="O93" s="196"/>
      <c r="P93" s="191"/>
      <c r="Q93" s="196"/>
    </row>
    <row r="94" spans="1:17" ht="51" x14ac:dyDescent="0.2">
      <c r="A94" s="184">
        <v>261</v>
      </c>
      <c r="C94" s="184" t="s">
        <v>45</v>
      </c>
      <c r="D94" s="184">
        <v>440</v>
      </c>
      <c r="E94" s="184" t="s">
        <v>923</v>
      </c>
      <c r="F94" s="185" t="s">
        <v>925</v>
      </c>
      <c r="G94" s="186">
        <v>44629.931932870371</v>
      </c>
      <c r="H94" s="184">
        <v>9</v>
      </c>
      <c r="K94" s="197" t="s">
        <v>52</v>
      </c>
      <c r="L94" s="185"/>
      <c r="M94" s="195" t="s">
        <v>52</v>
      </c>
      <c r="N94" s="196" t="s">
        <v>58</v>
      </c>
      <c r="O94" s="196"/>
      <c r="P94" s="191"/>
      <c r="Q94" s="196"/>
    </row>
    <row r="95" spans="1:17" ht="128.25" customHeight="1" x14ac:dyDescent="0.2">
      <c r="A95" s="184">
        <v>261</v>
      </c>
      <c r="C95" s="184" t="s">
        <v>45</v>
      </c>
      <c r="D95" s="184">
        <v>440</v>
      </c>
      <c r="E95" s="184" t="s">
        <v>923</v>
      </c>
      <c r="F95" s="185" t="s">
        <v>926</v>
      </c>
      <c r="G95" s="186">
        <v>44629.932650462964</v>
      </c>
      <c r="H95" s="184">
        <v>9</v>
      </c>
      <c r="K95" s="195" t="s">
        <v>52</v>
      </c>
      <c r="L95" s="185"/>
      <c r="M95" s="195" t="s">
        <v>52</v>
      </c>
      <c r="N95" s="185"/>
      <c r="O95" s="196"/>
      <c r="P95" s="191"/>
      <c r="Q95" s="196"/>
    </row>
    <row r="96" spans="1:17" ht="68" x14ac:dyDescent="0.2">
      <c r="A96" s="184">
        <v>261</v>
      </c>
      <c r="C96" s="184" t="s">
        <v>45</v>
      </c>
      <c r="D96" s="184">
        <v>440</v>
      </c>
      <c r="E96" s="184" t="s">
        <v>923</v>
      </c>
      <c r="F96" s="185" t="s">
        <v>927</v>
      </c>
      <c r="G96" s="186">
        <v>44629.934733796297</v>
      </c>
      <c r="H96" s="184">
        <v>9</v>
      </c>
      <c r="K96" s="195" t="s">
        <v>52</v>
      </c>
      <c r="L96" s="185"/>
      <c r="M96" s="195" t="s">
        <v>52</v>
      </c>
      <c r="N96" s="191" t="s">
        <v>340</v>
      </c>
      <c r="O96" s="196"/>
      <c r="P96" s="191"/>
      <c r="Q96" s="196"/>
    </row>
    <row r="97" spans="1:17" ht="102" x14ac:dyDescent="0.2">
      <c r="A97" s="184">
        <v>261</v>
      </c>
      <c r="C97" s="184" t="s">
        <v>45</v>
      </c>
      <c r="D97" s="184">
        <v>440</v>
      </c>
      <c r="E97" s="184" t="s">
        <v>923</v>
      </c>
      <c r="F97" s="185" t="s">
        <v>928</v>
      </c>
      <c r="G97" s="186">
        <v>44629.93550925926</v>
      </c>
      <c r="H97" s="184">
        <v>9</v>
      </c>
      <c r="K97" s="195" t="s">
        <v>52</v>
      </c>
      <c r="L97" s="185"/>
      <c r="M97" s="195" t="s">
        <v>52</v>
      </c>
      <c r="N97" s="185"/>
      <c r="O97" s="196"/>
      <c r="P97" s="191"/>
      <c r="Q97" s="196"/>
    </row>
    <row r="98" spans="1:17" ht="68" x14ac:dyDescent="0.2">
      <c r="A98" s="184">
        <v>261</v>
      </c>
      <c r="C98" s="184" t="s">
        <v>45</v>
      </c>
      <c r="D98" s="184">
        <v>440</v>
      </c>
      <c r="E98" s="184" t="s">
        <v>923</v>
      </c>
      <c r="F98" s="185" t="s">
        <v>929</v>
      </c>
      <c r="G98" s="186">
        <v>44629.936990740738</v>
      </c>
      <c r="H98" s="184">
        <v>10</v>
      </c>
      <c r="K98" s="195" t="s">
        <v>52</v>
      </c>
      <c r="L98" s="185"/>
      <c r="M98" s="195" t="s">
        <v>52</v>
      </c>
      <c r="N98" s="191" t="s">
        <v>58</v>
      </c>
      <c r="O98" s="196" t="s">
        <v>58</v>
      </c>
      <c r="P98" s="191"/>
      <c r="Q98" s="196"/>
    </row>
    <row r="99" spans="1:17" ht="51" x14ac:dyDescent="0.2">
      <c r="A99" s="184">
        <v>261</v>
      </c>
      <c r="C99" s="184" t="s">
        <v>45</v>
      </c>
      <c r="D99" s="184">
        <v>440</v>
      </c>
      <c r="E99" s="184" t="s">
        <v>923</v>
      </c>
      <c r="F99" s="185" t="s">
        <v>930</v>
      </c>
      <c r="G99" s="186">
        <v>44629.937372685185</v>
      </c>
      <c r="H99" s="184">
        <v>10</v>
      </c>
      <c r="K99" s="195" t="s">
        <v>52</v>
      </c>
      <c r="L99" s="185"/>
      <c r="M99" s="195" t="s">
        <v>52</v>
      </c>
      <c r="N99" s="185"/>
      <c r="O99" s="196"/>
      <c r="P99" s="191"/>
      <c r="Q99" s="196"/>
    </row>
    <row r="100" spans="1:17" ht="51" x14ac:dyDescent="0.2">
      <c r="A100" s="184">
        <v>261</v>
      </c>
      <c r="C100" s="184" t="s">
        <v>45</v>
      </c>
      <c r="D100" s="184">
        <v>440</v>
      </c>
      <c r="E100" s="184" t="s">
        <v>923</v>
      </c>
      <c r="F100" s="185" t="s">
        <v>931</v>
      </c>
      <c r="G100" s="186">
        <v>44629.937743055554</v>
      </c>
      <c r="H100" s="184">
        <v>10</v>
      </c>
      <c r="K100" s="195" t="s">
        <v>49</v>
      </c>
      <c r="L100" s="185"/>
      <c r="M100" s="195" t="s">
        <v>49</v>
      </c>
      <c r="N100" s="185"/>
      <c r="O100" s="196"/>
      <c r="P100" s="191"/>
      <c r="Q100" s="19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D6E14-DB51-48D4-BF83-D859260B192C}">
  <dimension ref="A1:O10"/>
  <sheetViews>
    <sheetView topLeftCell="A2" workbookViewId="0">
      <selection activeCell="J3" sqref="J3:J10"/>
    </sheetView>
  </sheetViews>
  <sheetFormatPr baseColWidth="10" defaultColWidth="8.6640625" defaultRowHeight="16" x14ac:dyDescent="0.2"/>
  <cols>
    <col min="1" max="1" width="8.6640625" style="184"/>
    <col min="2" max="2" width="33.5" style="184" customWidth="1"/>
    <col min="3" max="5" width="8.6640625" style="184"/>
    <col min="6" max="6" width="48" style="184" customWidth="1"/>
    <col min="7" max="7" width="18.33203125" style="184" customWidth="1"/>
    <col min="8" max="8" width="8.6640625" style="184"/>
    <col min="9" max="9" width="15.5" style="184" customWidth="1"/>
    <col min="10" max="10" width="19.6640625" style="184" customWidth="1"/>
    <col min="11" max="11" width="16.5" style="184" customWidth="1"/>
    <col min="12" max="12" width="15.1640625" style="184" customWidth="1"/>
    <col min="13" max="13" width="16.5" style="184" customWidth="1"/>
    <col min="14" max="14" width="17.5" style="184" customWidth="1"/>
    <col min="15" max="15" width="17.1640625" style="184" customWidth="1"/>
    <col min="16" max="16384" width="8.6640625" style="184"/>
  </cols>
  <sheetData>
    <row r="1" spans="1:15" x14ac:dyDescent="0.2">
      <c r="A1" s="190" t="s">
        <v>22</v>
      </c>
      <c r="B1" s="191" t="s">
        <v>819</v>
      </c>
      <c r="C1" s="190" t="s">
        <v>24</v>
      </c>
      <c r="D1" s="190" t="s">
        <v>820</v>
      </c>
      <c r="E1" s="190" t="s">
        <v>662</v>
      </c>
      <c r="F1" s="191" t="s">
        <v>26</v>
      </c>
      <c r="G1" s="190" t="s">
        <v>27</v>
      </c>
      <c r="H1" s="190" t="s">
        <v>29</v>
      </c>
      <c r="I1" s="190" t="s">
        <v>821</v>
      </c>
      <c r="J1" s="190" t="s">
        <v>822</v>
      </c>
      <c r="K1" s="190" t="s">
        <v>824</v>
      </c>
      <c r="L1" s="190" t="s">
        <v>825</v>
      </c>
      <c r="M1" s="190" t="s">
        <v>826</v>
      </c>
      <c r="N1" s="190" t="s">
        <v>827</v>
      </c>
      <c r="O1" s="190" t="s">
        <v>828</v>
      </c>
    </row>
    <row r="2" spans="1:15" ht="123" customHeight="1" x14ac:dyDescent="0.2">
      <c r="A2" s="190"/>
      <c r="B2" s="185" t="s">
        <v>586</v>
      </c>
      <c r="C2" s="190"/>
      <c r="D2" s="190"/>
      <c r="E2" s="190"/>
      <c r="F2" s="191"/>
      <c r="G2" s="190"/>
      <c r="H2" s="190"/>
      <c r="I2" s="190"/>
      <c r="J2" s="190"/>
      <c r="K2" s="190"/>
      <c r="L2" s="190"/>
      <c r="M2" s="190"/>
      <c r="N2" s="190"/>
      <c r="O2" s="190"/>
    </row>
    <row r="3" spans="1:15" ht="17" x14ac:dyDescent="0.2">
      <c r="A3" s="184">
        <v>261</v>
      </c>
      <c r="B3" s="185"/>
      <c r="C3" s="184" t="s">
        <v>45</v>
      </c>
      <c r="D3" s="184">
        <v>434</v>
      </c>
      <c r="E3" s="184" t="s">
        <v>932</v>
      </c>
      <c r="F3" s="185" t="s">
        <v>933</v>
      </c>
      <c r="G3" s="186">
        <v>44623.446574074071</v>
      </c>
      <c r="H3" s="184">
        <v>10</v>
      </c>
      <c r="J3" s="190" t="s">
        <v>52</v>
      </c>
      <c r="K3" s="190" t="s">
        <v>52</v>
      </c>
    </row>
    <row r="4" spans="1:15" ht="114" customHeight="1" x14ac:dyDescent="0.2">
      <c r="A4" s="184">
        <v>261</v>
      </c>
      <c r="B4" s="185"/>
      <c r="C4" s="184" t="s">
        <v>45</v>
      </c>
      <c r="D4" s="184">
        <v>434</v>
      </c>
      <c r="E4" s="184" t="s">
        <v>932</v>
      </c>
      <c r="F4" s="185" t="s">
        <v>934</v>
      </c>
      <c r="G4" s="186">
        <v>44623.447650462964</v>
      </c>
      <c r="H4" s="184">
        <v>10</v>
      </c>
      <c r="J4" s="190" t="s">
        <v>52</v>
      </c>
      <c r="K4" s="190" t="s">
        <v>52</v>
      </c>
    </row>
    <row r="5" spans="1:15" ht="99" customHeight="1" x14ac:dyDescent="0.2">
      <c r="A5" s="184">
        <v>261</v>
      </c>
      <c r="B5" s="185"/>
      <c r="C5" s="184" t="s">
        <v>45</v>
      </c>
      <c r="D5" s="184">
        <v>437</v>
      </c>
      <c r="E5" s="184" t="s">
        <v>935</v>
      </c>
      <c r="F5" s="185" t="s">
        <v>936</v>
      </c>
      <c r="G5" s="186">
        <v>44627.847418981481</v>
      </c>
      <c r="H5" s="184">
        <v>8</v>
      </c>
      <c r="J5" s="190" t="s">
        <v>52</v>
      </c>
      <c r="K5" s="190" t="s">
        <v>52</v>
      </c>
    </row>
    <row r="6" spans="1:15" ht="130.5" customHeight="1" x14ac:dyDescent="0.2">
      <c r="A6" s="184">
        <v>261</v>
      </c>
      <c r="B6" s="185"/>
      <c r="C6" s="184" t="s">
        <v>45</v>
      </c>
      <c r="D6" s="184">
        <v>437</v>
      </c>
      <c r="E6" s="184" t="s">
        <v>935</v>
      </c>
      <c r="F6" s="185" t="s">
        <v>937</v>
      </c>
      <c r="G6" s="186">
        <v>44627.848761574074</v>
      </c>
      <c r="H6" s="184">
        <v>8</v>
      </c>
      <c r="J6" s="190" t="s">
        <v>52</v>
      </c>
      <c r="K6" s="190" t="s">
        <v>52</v>
      </c>
    </row>
    <row r="7" spans="1:15" ht="141" customHeight="1" x14ac:dyDescent="0.2">
      <c r="A7" s="184">
        <v>261</v>
      </c>
      <c r="B7" s="185"/>
      <c r="C7" s="184" t="s">
        <v>45</v>
      </c>
      <c r="D7" s="185">
        <v>435</v>
      </c>
      <c r="E7" s="184" t="s">
        <v>938</v>
      </c>
      <c r="F7" s="185" t="s">
        <v>939</v>
      </c>
      <c r="G7" s="186">
        <v>44628.926435185182</v>
      </c>
      <c r="H7" s="184">
        <v>10</v>
      </c>
      <c r="J7" s="190" t="s">
        <v>52</v>
      </c>
      <c r="K7" s="190" t="s">
        <v>52</v>
      </c>
    </row>
    <row r="8" spans="1:15" ht="129" customHeight="1" x14ac:dyDescent="0.2">
      <c r="A8" s="184">
        <v>261</v>
      </c>
      <c r="B8" s="185"/>
      <c r="C8" s="184" t="s">
        <v>45</v>
      </c>
      <c r="D8" s="184">
        <v>435</v>
      </c>
      <c r="E8" s="184" t="s">
        <v>938</v>
      </c>
      <c r="F8" s="185" t="s">
        <v>940</v>
      </c>
      <c r="G8" s="186">
        <v>44628.928587962961</v>
      </c>
      <c r="H8" s="184">
        <v>10</v>
      </c>
      <c r="J8" s="190" t="s">
        <v>52</v>
      </c>
      <c r="K8" s="190" t="s">
        <v>52</v>
      </c>
    </row>
    <row r="9" spans="1:15" ht="162" customHeight="1" x14ac:dyDescent="0.2">
      <c r="A9" s="184">
        <v>261</v>
      </c>
      <c r="B9" s="185"/>
      <c r="C9" s="184" t="s">
        <v>45</v>
      </c>
      <c r="D9" s="184">
        <v>436</v>
      </c>
      <c r="E9" s="184" t="s">
        <v>941</v>
      </c>
      <c r="F9" s="185" t="s">
        <v>942</v>
      </c>
      <c r="G9" s="186">
        <v>44631.742939814816</v>
      </c>
      <c r="H9" s="184">
        <v>10</v>
      </c>
      <c r="J9" s="190" t="s">
        <v>52</v>
      </c>
      <c r="K9" s="190" t="s">
        <v>52</v>
      </c>
    </row>
    <row r="10" spans="1:15" ht="167.25" customHeight="1" x14ac:dyDescent="0.2">
      <c r="A10" s="184">
        <v>261</v>
      </c>
      <c r="B10" s="185"/>
      <c r="C10" s="184" t="s">
        <v>45</v>
      </c>
      <c r="D10" s="184">
        <v>436</v>
      </c>
      <c r="E10" s="184" t="s">
        <v>941</v>
      </c>
      <c r="F10" s="185" t="s">
        <v>943</v>
      </c>
      <c r="G10" s="186">
        <v>44631.746817129628</v>
      </c>
      <c r="H10" s="184">
        <v>10</v>
      </c>
      <c r="J10" s="190" t="s">
        <v>52</v>
      </c>
      <c r="K10" s="190" t="s">
        <v>52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AE704-8378-48C1-AF62-9836A4A781D4}">
  <dimension ref="A1:Q83"/>
  <sheetViews>
    <sheetView workbookViewId="0">
      <pane ySplit="1" topLeftCell="A9" activePane="bottomLeft" state="frozen"/>
      <selection pane="bottomLeft" activeCell="M83" sqref="M2:M83"/>
    </sheetView>
  </sheetViews>
  <sheetFormatPr baseColWidth="10" defaultColWidth="12" defaultRowHeight="16" x14ac:dyDescent="0.2"/>
  <cols>
    <col min="1" max="1" width="12" style="184"/>
    <col min="2" max="2" width="12.1640625" style="184" customWidth="1"/>
    <col min="3" max="3" width="22.5" style="184" customWidth="1"/>
    <col min="4" max="5" width="12" style="184"/>
    <col min="6" max="6" width="46.6640625" style="185" customWidth="1"/>
    <col min="7" max="7" width="16.5" style="184" customWidth="1"/>
    <col min="8" max="8" width="9.83203125" style="184" customWidth="1"/>
    <col min="9" max="9" width="5.6640625" style="184" customWidth="1"/>
    <col min="10" max="10" width="13.1640625" style="184" customWidth="1"/>
    <col min="11" max="11" width="13.6640625" style="185" customWidth="1"/>
    <col min="12" max="12" width="13.5" style="184" customWidth="1"/>
    <col min="13" max="13" width="10.83203125" style="185" customWidth="1"/>
    <col min="14" max="14" width="10.5" style="184" customWidth="1"/>
    <col min="15" max="15" width="12.83203125" style="184" customWidth="1"/>
    <col min="16" max="16" width="12.33203125" style="180" customWidth="1"/>
    <col min="17" max="16384" width="12" style="184"/>
  </cols>
  <sheetData>
    <row r="1" spans="1:17" s="180" customFormat="1" ht="51" x14ac:dyDescent="0.2">
      <c r="A1" s="180" t="s">
        <v>22</v>
      </c>
      <c r="B1" s="180" t="s">
        <v>23</v>
      </c>
      <c r="C1" s="180" t="s">
        <v>24</v>
      </c>
      <c r="D1" s="180" t="s">
        <v>820</v>
      </c>
      <c r="E1" s="180" t="s">
        <v>662</v>
      </c>
      <c r="F1" s="181" t="s">
        <v>26</v>
      </c>
      <c r="G1" s="180" t="s">
        <v>27</v>
      </c>
      <c r="H1" s="180" t="s">
        <v>28</v>
      </c>
      <c r="I1" s="180" t="s">
        <v>29</v>
      </c>
      <c r="J1" s="180" t="s">
        <v>821</v>
      </c>
      <c r="K1" s="182" t="s">
        <v>944</v>
      </c>
      <c r="L1" s="180" t="s">
        <v>945</v>
      </c>
      <c r="M1" s="182" t="s">
        <v>946</v>
      </c>
      <c r="N1" s="180" t="s">
        <v>947</v>
      </c>
      <c r="O1" s="183" t="s">
        <v>948</v>
      </c>
      <c r="P1" s="180" t="s">
        <v>949</v>
      </c>
      <c r="Q1" s="181" t="s">
        <v>950</v>
      </c>
    </row>
    <row r="2" spans="1:17" ht="34" x14ac:dyDescent="0.2">
      <c r="A2" s="184">
        <v>260</v>
      </c>
      <c r="B2" s="184" t="s">
        <v>44</v>
      </c>
      <c r="C2" s="184" t="s">
        <v>45</v>
      </c>
      <c r="D2" s="184">
        <v>455</v>
      </c>
      <c r="E2" s="184" t="s">
        <v>951</v>
      </c>
      <c r="F2" s="185" t="s">
        <v>952</v>
      </c>
      <c r="G2" s="186">
        <v>44625.625451388885</v>
      </c>
      <c r="H2" s="184" t="s">
        <v>48</v>
      </c>
      <c r="I2" s="184">
        <v>10</v>
      </c>
      <c r="J2" s="184">
        <v>1</v>
      </c>
      <c r="K2" s="187" t="s">
        <v>49</v>
      </c>
      <c r="L2" s="187" t="s">
        <v>49</v>
      </c>
      <c r="M2" s="188"/>
      <c r="N2" s="188"/>
      <c r="P2" s="187"/>
      <c r="Q2" s="188" t="s">
        <v>953</v>
      </c>
    </row>
    <row r="3" spans="1:17" ht="17" x14ac:dyDescent="0.2">
      <c r="A3" s="184">
        <v>260</v>
      </c>
      <c r="B3" s="184" t="s">
        <v>44</v>
      </c>
      <c r="C3" s="184" t="s">
        <v>45</v>
      </c>
      <c r="D3" s="184">
        <v>453</v>
      </c>
      <c r="E3" s="184" t="s">
        <v>954</v>
      </c>
      <c r="F3" s="185" t="s">
        <v>772</v>
      </c>
      <c r="G3" s="186">
        <v>44625.625763888886</v>
      </c>
      <c r="H3" s="184" t="s">
        <v>48</v>
      </c>
      <c r="I3" s="184">
        <v>10</v>
      </c>
      <c r="J3" s="184">
        <v>1</v>
      </c>
      <c r="K3" s="187" t="s">
        <v>49</v>
      </c>
      <c r="L3" s="187" t="s">
        <v>49</v>
      </c>
      <c r="N3" s="185"/>
      <c r="P3" s="187"/>
      <c r="Q3" s="185"/>
    </row>
    <row r="4" spans="1:17" ht="17" x14ac:dyDescent="0.2">
      <c r="A4" s="184">
        <v>260</v>
      </c>
      <c r="B4" s="184" t="s">
        <v>44</v>
      </c>
      <c r="C4" s="184" t="s">
        <v>45</v>
      </c>
      <c r="D4" s="184">
        <v>454</v>
      </c>
      <c r="E4" s="184" t="s">
        <v>955</v>
      </c>
      <c r="F4" s="185" t="s">
        <v>956</v>
      </c>
      <c r="G4" s="186">
        <v>44625.625949074078</v>
      </c>
      <c r="H4" s="184" t="s">
        <v>48</v>
      </c>
      <c r="I4" s="184">
        <v>10</v>
      </c>
      <c r="J4" s="184">
        <v>1</v>
      </c>
      <c r="K4" s="187" t="s">
        <v>49</v>
      </c>
      <c r="L4" s="187" t="s">
        <v>49</v>
      </c>
      <c r="N4" s="185"/>
      <c r="P4" s="187"/>
      <c r="Q4" s="185"/>
    </row>
    <row r="5" spans="1:17" ht="17" x14ac:dyDescent="0.2">
      <c r="A5" s="184">
        <v>260</v>
      </c>
      <c r="B5" s="184" t="s">
        <v>44</v>
      </c>
      <c r="C5" s="184" t="s">
        <v>45</v>
      </c>
      <c r="D5" s="184">
        <v>455</v>
      </c>
      <c r="E5" s="184" t="s">
        <v>951</v>
      </c>
      <c r="F5" s="185" t="s">
        <v>957</v>
      </c>
      <c r="G5" s="186">
        <v>44625.62672453704</v>
      </c>
      <c r="H5" s="184" t="s">
        <v>48</v>
      </c>
      <c r="I5" s="184">
        <v>10</v>
      </c>
      <c r="J5" s="184">
        <v>1</v>
      </c>
      <c r="K5" s="187" t="s">
        <v>49</v>
      </c>
      <c r="L5" s="187" t="s">
        <v>49</v>
      </c>
      <c r="N5" s="185"/>
      <c r="P5" s="181"/>
      <c r="Q5" s="185"/>
    </row>
    <row r="6" spans="1:17" ht="17" x14ac:dyDescent="0.2">
      <c r="A6" s="184">
        <v>260</v>
      </c>
      <c r="B6" s="184" t="s">
        <v>44</v>
      </c>
      <c r="C6" s="184" t="s">
        <v>45</v>
      </c>
      <c r="D6" s="184">
        <v>453</v>
      </c>
      <c r="E6" s="184" t="s">
        <v>954</v>
      </c>
      <c r="F6" s="185" t="s">
        <v>958</v>
      </c>
      <c r="G6" s="186">
        <v>44625.627291666664</v>
      </c>
      <c r="H6" s="184" t="s">
        <v>48</v>
      </c>
      <c r="I6" s="184">
        <v>10</v>
      </c>
      <c r="J6" s="184">
        <v>1</v>
      </c>
      <c r="K6" s="187" t="s">
        <v>49</v>
      </c>
      <c r="L6" s="187" t="s">
        <v>49</v>
      </c>
      <c r="N6" s="185"/>
      <c r="P6" s="181"/>
      <c r="Q6" s="185"/>
    </row>
    <row r="7" spans="1:17" ht="34" x14ac:dyDescent="0.2">
      <c r="A7" s="184">
        <v>260</v>
      </c>
      <c r="B7" s="184" t="s">
        <v>44</v>
      </c>
      <c r="C7" s="184" t="s">
        <v>45</v>
      </c>
      <c r="D7" s="184">
        <v>454</v>
      </c>
      <c r="E7" s="184" t="s">
        <v>955</v>
      </c>
      <c r="F7" s="185" t="s">
        <v>959</v>
      </c>
      <c r="G7" s="186">
        <v>44625.627824074072</v>
      </c>
      <c r="H7" s="184" t="s">
        <v>48</v>
      </c>
      <c r="I7" s="184">
        <v>10</v>
      </c>
      <c r="J7" s="184">
        <v>1</v>
      </c>
      <c r="K7" s="181" t="s">
        <v>68</v>
      </c>
      <c r="L7" s="181" t="s">
        <v>68</v>
      </c>
      <c r="N7" s="185"/>
      <c r="P7" s="181"/>
      <c r="Q7" s="185"/>
    </row>
    <row r="8" spans="1:17" ht="17" x14ac:dyDescent="0.2">
      <c r="A8" s="184">
        <v>260</v>
      </c>
      <c r="B8" s="184" t="s">
        <v>44</v>
      </c>
      <c r="C8" s="184" t="s">
        <v>45</v>
      </c>
      <c r="D8" s="184">
        <v>457</v>
      </c>
      <c r="E8" s="184" t="s">
        <v>960</v>
      </c>
      <c r="F8" s="185" t="s">
        <v>961</v>
      </c>
      <c r="G8" s="186">
        <v>44625.628368055557</v>
      </c>
      <c r="H8" s="184" t="s">
        <v>48</v>
      </c>
      <c r="I8" s="184">
        <v>10</v>
      </c>
      <c r="J8" s="184">
        <v>1</v>
      </c>
      <c r="K8" s="181" t="s">
        <v>638</v>
      </c>
      <c r="L8" s="181" t="s">
        <v>638</v>
      </c>
      <c r="N8" s="185"/>
      <c r="P8" s="181"/>
      <c r="Q8" s="185"/>
    </row>
    <row r="9" spans="1:17" ht="51" x14ac:dyDescent="0.2">
      <c r="A9" s="184">
        <v>260</v>
      </c>
      <c r="B9" s="184" t="s">
        <v>44</v>
      </c>
      <c r="C9" s="184" t="s">
        <v>45</v>
      </c>
      <c r="D9" s="184">
        <v>455</v>
      </c>
      <c r="E9" s="184" t="s">
        <v>951</v>
      </c>
      <c r="F9" s="185" t="s">
        <v>962</v>
      </c>
      <c r="G9" s="186">
        <v>44625.628530092596</v>
      </c>
      <c r="H9" s="184" t="s">
        <v>48</v>
      </c>
      <c r="I9" s="184">
        <v>10</v>
      </c>
      <c r="J9" s="184">
        <v>2</v>
      </c>
      <c r="K9" s="181" t="s">
        <v>108</v>
      </c>
      <c r="L9" s="181" t="s">
        <v>108</v>
      </c>
      <c r="N9" s="185"/>
      <c r="P9" s="181" t="s">
        <v>261</v>
      </c>
    </row>
    <row r="10" spans="1:17" ht="34" x14ac:dyDescent="0.2">
      <c r="A10" s="184">
        <v>260</v>
      </c>
      <c r="B10" s="184" t="s">
        <v>44</v>
      </c>
      <c r="C10" s="184" t="s">
        <v>45</v>
      </c>
      <c r="D10" s="184">
        <v>455</v>
      </c>
      <c r="E10" s="184" t="s">
        <v>951</v>
      </c>
      <c r="F10" s="185" t="s">
        <v>963</v>
      </c>
      <c r="G10" s="186">
        <v>44625.628796296296</v>
      </c>
      <c r="H10" s="184" t="s">
        <v>48</v>
      </c>
      <c r="I10" s="184">
        <v>10</v>
      </c>
      <c r="J10" s="184">
        <v>2</v>
      </c>
      <c r="K10" s="187" t="s">
        <v>49</v>
      </c>
      <c r="L10" s="187" t="s">
        <v>49</v>
      </c>
      <c r="N10" s="185"/>
      <c r="P10" s="181"/>
    </row>
    <row r="11" spans="1:17" ht="17" x14ac:dyDescent="0.2">
      <c r="A11" s="184">
        <v>260</v>
      </c>
      <c r="B11" s="184" t="s">
        <v>44</v>
      </c>
      <c r="C11" s="184" t="s">
        <v>45</v>
      </c>
      <c r="D11" s="184">
        <v>454</v>
      </c>
      <c r="E11" s="184" t="s">
        <v>955</v>
      </c>
      <c r="F11" s="185" t="s">
        <v>964</v>
      </c>
      <c r="G11" s="186">
        <v>44625.628842592596</v>
      </c>
      <c r="H11" s="184" t="s">
        <v>48</v>
      </c>
      <c r="I11" s="184">
        <v>10</v>
      </c>
      <c r="J11" s="184">
        <v>2</v>
      </c>
      <c r="K11" s="181" t="s">
        <v>52</v>
      </c>
      <c r="L11" s="181" t="s">
        <v>52</v>
      </c>
      <c r="N11" s="181" t="s">
        <v>637</v>
      </c>
      <c r="P11" s="181"/>
    </row>
    <row r="12" spans="1:17" ht="34" x14ac:dyDescent="0.2">
      <c r="A12" s="184">
        <v>260</v>
      </c>
      <c r="B12" s="184" t="s">
        <v>44</v>
      </c>
      <c r="C12" s="184" t="s">
        <v>45</v>
      </c>
      <c r="D12" s="184">
        <v>453</v>
      </c>
      <c r="E12" s="184" t="s">
        <v>954</v>
      </c>
      <c r="F12" s="185" t="s">
        <v>965</v>
      </c>
      <c r="G12" s="186">
        <v>44625.628923611112</v>
      </c>
      <c r="H12" s="184" t="s">
        <v>48</v>
      </c>
      <c r="I12" s="184">
        <v>10</v>
      </c>
      <c r="J12" s="184">
        <v>2</v>
      </c>
      <c r="K12" s="181" t="s">
        <v>52</v>
      </c>
      <c r="L12" s="181" t="s">
        <v>52</v>
      </c>
      <c r="N12" s="181" t="s">
        <v>637</v>
      </c>
      <c r="P12" s="181"/>
    </row>
    <row r="13" spans="1:17" ht="17" x14ac:dyDescent="0.2">
      <c r="A13" s="184">
        <v>260</v>
      </c>
      <c r="B13" s="184" t="s">
        <v>44</v>
      </c>
      <c r="C13" s="184" t="s">
        <v>45</v>
      </c>
      <c r="D13" s="184">
        <v>457</v>
      </c>
      <c r="E13" s="184" t="s">
        <v>960</v>
      </c>
      <c r="F13" s="185" t="s">
        <v>966</v>
      </c>
      <c r="G13" s="186">
        <v>44625.629212962966</v>
      </c>
      <c r="H13" s="184" t="s">
        <v>48</v>
      </c>
      <c r="I13" s="184">
        <v>10</v>
      </c>
      <c r="J13" s="184">
        <v>2</v>
      </c>
      <c r="K13" s="181" t="s">
        <v>52</v>
      </c>
      <c r="L13" s="181" t="s">
        <v>52</v>
      </c>
      <c r="M13" s="181" t="s">
        <v>58</v>
      </c>
      <c r="N13" s="181" t="s">
        <v>58</v>
      </c>
      <c r="P13" s="181"/>
    </row>
    <row r="14" spans="1:17" ht="34" x14ac:dyDescent="0.2">
      <c r="A14" s="184">
        <v>260</v>
      </c>
      <c r="B14" s="184" t="s">
        <v>44</v>
      </c>
      <c r="C14" s="184" t="s">
        <v>45</v>
      </c>
      <c r="D14" s="184">
        <v>454</v>
      </c>
      <c r="E14" s="184" t="s">
        <v>955</v>
      </c>
      <c r="F14" s="185" t="s">
        <v>967</v>
      </c>
      <c r="G14" s="186">
        <v>44625.629513888889</v>
      </c>
      <c r="H14" s="184" t="s">
        <v>48</v>
      </c>
      <c r="I14" s="184">
        <v>10</v>
      </c>
      <c r="J14" s="184">
        <v>2</v>
      </c>
      <c r="K14" s="181" t="s">
        <v>52</v>
      </c>
      <c r="L14" s="181" t="s">
        <v>52</v>
      </c>
      <c r="M14" s="181" t="s">
        <v>58</v>
      </c>
      <c r="N14" s="181" t="s">
        <v>58</v>
      </c>
      <c r="P14" s="181"/>
    </row>
    <row r="15" spans="1:17" ht="34" x14ac:dyDescent="0.2">
      <c r="A15" s="184">
        <v>260</v>
      </c>
      <c r="B15" s="184" t="s">
        <v>44</v>
      </c>
      <c r="C15" s="184" t="s">
        <v>45</v>
      </c>
      <c r="D15" s="184">
        <v>457</v>
      </c>
      <c r="E15" s="184" t="s">
        <v>960</v>
      </c>
      <c r="F15" s="185" t="s">
        <v>968</v>
      </c>
      <c r="G15" s="186">
        <v>44625.629699074074</v>
      </c>
      <c r="H15" s="184" t="s">
        <v>48</v>
      </c>
      <c r="I15" s="184">
        <v>10</v>
      </c>
      <c r="J15" s="184">
        <v>2</v>
      </c>
      <c r="K15" s="181" t="s">
        <v>893</v>
      </c>
      <c r="L15" s="181" t="s">
        <v>893</v>
      </c>
      <c r="M15" s="181" t="s">
        <v>305</v>
      </c>
      <c r="N15" s="181" t="s">
        <v>305</v>
      </c>
      <c r="P15" s="181"/>
    </row>
    <row r="16" spans="1:17" ht="34" x14ac:dyDescent="0.2">
      <c r="A16" s="184">
        <v>260</v>
      </c>
      <c r="B16" s="184" t="s">
        <v>44</v>
      </c>
      <c r="C16" s="184" t="s">
        <v>45</v>
      </c>
      <c r="D16" s="184">
        <v>455</v>
      </c>
      <c r="E16" s="184" t="s">
        <v>951</v>
      </c>
      <c r="F16" s="185" t="s">
        <v>969</v>
      </c>
      <c r="G16" s="186">
        <v>44625.630289351851</v>
      </c>
      <c r="H16" s="184" t="s">
        <v>48</v>
      </c>
      <c r="I16" s="184">
        <v>10</v>
      </c>
      <c r="J16" s="184">
        <v>3</v>
      </c>
      <c r="K16" s="181" t="s">
        <v>108</v>
      </c>
      <c r="L16" s="181" t="s">
        <v>108</v>
      </c>
      <c r="N16" s="185"/>
      <c r="P16" s="181" t="s">
        <v>112</v>
      </c>
    </row>
    <row r="17" spans="1:16" ht="17" x14ac:dyDescent="0.2">
      <c r="A17" s="184">
        <v>260</v>
      </c>
      <c r="B17" s="184" t="s">
        <v>44</v>
      </c>
      <c r="C17" s="184" t="s">
        <v>45</v>
      </c>
      <c r="D17" s="184">
        <v>454</v>
      </c>
      <c r="E17" s="184" t="s">
        <v>955</v>
      </c>
      <c r="F17" s="185" t="s">
        <v>970</v>
      </c>
      <c r="G17" s="186">
        <v>44625.630312499998</v>
      </c>
      <c r="H17" s="184" t="s">
        <v>48</v>
      </c>
      <c r="I17" s="184">
        <v>10</v>
      </c>
      <c r="J17" s="184">
        <v>2</v>
      </c>
      <c r="K17" s="181" t="s">
        <v>52</v>
      </c>
      <c r="L17" s="181" t="s">
        <v>52</v>
      </c>
      <c r="M17" s="181" t="s">
        <v>58</v>
      </c>
      <c r="N17" s="181" t="s">
        <v>58</v>
      </c>
      <c r="P17" s="181"/>
    </row>
    <row r="18" spans="1:16" ht="51" x14ac:dyDescent="0.2">
      <c r="A18" s="184">
        <v>260</v>
      </c>
      <c r="B18" s="184" t="s">
        <v>44</v>
      </c>
      <c r="C18" s="184" t="s">
        <v>45</v>
      </c>
      <c r="D18" s="184">
        <v>457</v>
      </c>
      <c r="E18" s="184" t="s">
        <v>960</v>
      </c>
      <c r="F18" s="185" t="s">
        <v>971</v>
      </c>
      <c r="G18" s="186">
        <v>44625.630486111113</v>
      </c>
      <c r="H18" s="184" t="s">
        <v>48</v>
      </c>
      <c r="I18" s="184">
        <v>10</v>
      </c>
      <c r="J18" s="184">
        <v>3</v>
      </c>
      <c r="K18" s="181" t="s">
        <v>52</v>
      </c>
      <c r="L18" s="181" t="s">
        <v>52</v>
      </c>
      <c r="M18" s="181" t="s">
        <v>305</v>
      </c>
      <c r="N18" s="181" t="s">
        <v>305</v>
      </c>
      <c r="P18" s="181"/>
    </row>
    <row r="19" spans="1:16" ht="34" x14ac:dyDescent="0.2">
      <c r="A19" s="184">
        <v>260</v>
      </c>
      <c r="B19" s="184" t="s">
        <v>44</v>
      </c>
      <c r="C19" s="184" t="s">
        <v>45</v>
      </c>
      <c r="D19" s="184">
        <v>454</v>
      </c>
      <c r="E19" s="184" t="s">
        <v>955</v>
      </c>
      <c r="F19" s="185" t="s">
        <v>972</v>
      </c>
      <c r="G19" s="186">
        <v>44625.630659722221</v>
      </c>
      <c r="H19" s="184" t="s">
        <v>48</v>
      </c>
      <c r="I19" s="184">
        <v>10</v>
      </c>
      <c r="J19" s="184">
        <v>3</v>
      </c>
      <c r="K19" s="181" t="s">
        <v>52</v>
      </c>
      <c r="L19" s="181" t="s">
        <v>52</v>
      </c>
      <c r="N19" s="185"/>
      <c r="P19" s="181" t="s">
        <v>112</v>
      </c>
    </row>
    <row r="20" spans="1:16" ht="17" x14ac:dyDescent="0.2">
      <c r="A20" s="184">
        <v>260</v>
      </c>
      <c r="B20" s="184" t="s">
        <v>44</v>
      </c>
      <c r="C20" s="184" t="s">
        <v>45</v>
      </c>
      <c r="D20" s="184">
        <v>457</v>
      </c>
      <c r="E20" s="184" t="s">
        <v>960</v>
      </c>
      <c r="F20" s="185" t="s">
        <v>973</v>
      </c>
      <c r="G20" s="186">
        <v>44625.630856481483</v>
      </c>
      <c r="H20" s="184" t="s">
        <v>48</v>
      </c>
      <c r="I20" s="184">
        <v>10</v>
      </c>
      <c r="J20" s="184">
        <v>3</v>
      </c>
      <c r="K20" s="181" t="s">
        <v>52</v>
      </c>
      <c r="L20" s="181" t="s">
        <v>52</v>
      </c>
      <c r="M20" s="181" t="s">
        <v>58</v>
      </c>
      <c r="N20" s="181" t="s">
        <v>58</v>
      </c>
      <c r="P20" s="181"/>
    </row>
    <row r="21" spans="1:16" ht="136" x14ac:dyDescent="0.2">
      <c r="A21" s="184">
        <v>260</v>
      </c>
      <c r="B21" s="184" t="s">
        <v>44</v>
      </c>
      <c r="C21" s="184" t="s">
        <v>45</v>
      </c>
      <c r="D21" s="184">
        <v>455</v>
      </c>
      <c r="E21" s="184" t="s">
        <v>951</v>
      </c>
      <c r="F21" s="185" t="s">
        <v>974</v>
      </c>
      <c r="G21" s="186">
        <v>44625.631377314814</v>
      </c>
      <c r="H21" s="184" t="s">
        <v>48</v>
      </c>
      <c r="I21" s="184">
        <v>10</v>
      </c>
      <c r="J21" s="184">
        <v>3</v>
      </c>
      <c r="K21" s="181" t="s">
        <v>52</v>
      </c>
      <c r="L21" s="181" t="s">
        <v>52</v>
      </c>
      <c r="M21" s="181" t="s">
        <v>305</v>
      </c>
      <c r="N21" s="181" t="s">
        <v>305</v>
      </c>
      <c r="P21" s="181"/>
    </row>
    <row r="22" spans="1:16" ht="17" x14ac:dyDescent="0.2">
      <c r="A22" s="184">
        <v>260</v>
      </c>
      <c r="B22" s="184" t="s">
        <v>44</v>
      </c>
      <c r="C22" s="184" t="s">
        <v>45</v>
      </c>
      <c r="D22" s="184">
        <v>457</v>
      </c>
      <c r="E22" s="184" t="s">
        <v>960</v>
      </c>
      <c r="F22" s="185" t="s">
        <v>975</v>
      </c>
      <c r="G22" s="186">
        <v>44625.631620370368</v>
      </c>
      <c r="H22" s="184" t="s">
        <v>48</v>
      </c>
      <c r="I22" s="184">
        <v>10</v>
      </c>
      <c r="J22" s="184">
        <v>3</v>
      </c>
      <c r="K22" s="181" t="s">
        <v>108</v>
      </c>
      <c r="L22" s="181" t="s">
        <v>108</v>
      </c>
      <c r="M22" s="181" t="s">
        <v>331</v>
      </c>
      <c r="N22" s="181"/>
      <c r="P22" s="181" t="s">
        <v>112</v>
      </c>
    </row>
    <row r="23" spans="1:16" ht="17" x14ac:dyDescent="0.2">
      <c r="A23" s="184">
        <v>260</v>
      </c>
      <c r="B23" s="184" t="s">
        <v>44</v>
      </c>
      <c r="C23" s="184" t="s">
        <v>45</v>
      </c>
      <c r="D23" s="184">
        <v>453</v>
      </c>
      <c r="E23" s="184" t="s">
        <v>954</v>
      </c>
      <c r="F23" s="185" t="s">
        <v>976</v>
      </c>
      <c r="G23" s="186">
        <v>44625.631932870368</v>
      </c>
      <c r="H23" s="184" t="s">
        <v>48</v>
      </c>
      <c r="I23" s="184">
        <v>10</v>
      </c>
      <c r="J23" s="184">
        <v>3</v>
      </c>
      <c r="K23" s="181" t="s">
        <v>52</v>
      </c>
      <c r="L23" s="181" t="s">
        <v>52</v>
      </c>
      <c r="M23" s="181" t="s">
        <v>58</v>
      </c>
      <c r="N23" s="181" t="s">
        <v>58</v>
      </c>
      <c r="P23" s="181"/>
    </row>
    <row r="24" spans="1:16" ht="34" x14ac:dyDescent="0.2">
      <c r="A24" s="184">
        <v>260</v>
      </c>
      <c r="B24" s="184" t="s">
        <v>44</v>
      </c>
      <c r="C24" s="184" t="s">
        <v>45</v>
      </c>
      <c r="D24" s="184">
        <v>457</v>
      </c>
      <c r="E24" s="184" t="s">
        <v>960</v>
      </c>
      <c r="F24" s="185" t="s">
        <v>977</v>
      </c>
      <c r="G24" s="186">
        <v>44625.632175925923</v>
      </c>
      <c r="H24" s="184" t="s">
        <v>48</v>
      </c>
      <c r="I24" s="184">
        <v>10</v>
      </c>
      <c r="J24" s="184">
        <v>3</v>
      </c>
      <c r="K24" s="181" t="s">
        <v>52</v>
      </c>
      <c r="L24" s="181" t="s">
        <v>52</v>
      </c>
      <c r="M24" s="181" t="s">
        <v>58</v>
      </c>
      <c r="N24" s="181" t="s">
        <v>58</v>
      </c>
      <c r="P24" s="181"/>
    </row>
    <row r="25" spans="1:16" ht="51" x14ac:dyDescent="0.2">
      <c r="A25" s="184">
        <v>260</v>
      </c>
      <c r="B25" s="184" t="s">
        <v>44</v>
      </c>
      <c r="C25" s="184" t="s">
        <v>45</v>
      </c>
      <c r="D25" s="184">
        <v>453</v>
      </c>
      <c r="E25" s="184" t="s">
        <v>954</v>
      </c>
      <c r="F25" s="185" t="s">
        <v>978</v>
      </c>
      <c r="G25" s="186">
        <v>44625.632337962961</v>
      </c>
      <c r="H25" s="184" t="s">
        <v>48</v>
      </c>
      <c r="I25" s="184">
        <v>10</v>
      </c>
      <c r="J25" s="184">
        <v>3</v>
      </c>
      <c r="K25" s="181" t="s">
        <v>52</v>
      </c>
      <c r="L25" s="181" t="s">
        <v>52</v>
      </c>
      <c r="N25" s="181" t="s">
        <v>305</v>
      </c>
      <c r="P25" s="181"/>
    </row>
    <row r="26" spans="1:16" ht="34" x14ac:dyDescent="0.2">
      <c r="A26" s="184">
        <v>260</v>
      </c>
      <c r="B26" s="184" t="s">
        <v>44</v>
      </c>
      <c r="C26" s="184" t="s">
        <v>45</v>
      </c>
      <c r="D26" s="184">
        <v>457</v>
      </c>
      <c r="E26" s="184" t="s">
        <v>960</v>
      </c>
      <c r="F26" s="185" t="s">
        <v>979</v>
      </c>
      <c r="G26" s="186">
        <v>44625.6325</v>
      </c>
      <c r="H26" s="184" t="s">
        <v>48</v>
      </c>
      <c r="I26" s="184">
        <v>10</v>
      </c>
      <c r="J26" s="184">
        <v>3</v>
      </c>
      <c r="K26" s="181" t="s">
        <v>52</v>
      </c>
      <c r="L26" s="181" t="s">
        <v>52</v>
      </c>
      <c r="N26" s="181" t="s">
        <v>305</v>
      </c>
      <c r="P26" s="181"/>
    </row>
    <row r="27" spans="1:16" ht="51" x14ac:dyDescent="0.2">
      <c r="A27" s="184">
        <v>260</v>
      </c>
      <c r="B27" s="184" t="s">
        <v>44</v>
      </c>
      <c r="C27" s="184" t="s">
        <v>45</v>
      </c>
      <c r="D27" s="184">
        <v>454</v>
      </c>
      <c r="E27" s="184" t="s">
        <v>955</v>
      </c>
      <c r="F27" s="185" t="s">
        <v>980</v>
      </c>
      <c r="G27" s="186">
        <v>44625.632523148146</v>
      </c>
      <c r="H27" s="184" t="s">
        <v>48</v>
      </c>
      <c r="I27" s="184">
        <v>7</v>
      </c>
      <c r="J27" s="184">
        <v>3</v>
      </c>
      <c r="K27" s="181" t="s">
        <v>52</v>
      </c>
      <c r="L27" s="181" t="s">
        <v>52</v>
      </c>
      <c r="M27" s="181" t="s">
        <v>58</v>
      </c>
      <c r="N27" s="181" t="s">
        <v>427</v>
      </c>
      <c r="P27" s="181"/>
    </row>
    <row r="28" spans="1:16" ht="17" x14ac:dyDescent="0.2">
      <c r="A28" s="184">
        <v>260</v>
      </c>
      <c r="B28" s="184" t="s">
        <v>44</v>
      </c>
      <c r="C28" s="184" t="s">
        <v>45</v>
      </c>
      <c r="D28" s="184">
        <v>454</v>
      </c>
      <c r="E28" s="184" t="s">
        <v>955</v>
      </c>
      <c r="F28" s="185" t="s">
        <v>981</v>
      </c>
      <c r="G28" s="186">
        <v>44625.632696759261</v>
      </c>
      <c r="H28" s="184" t="s">
        <v>48</v>
      </c>
      <c r="I28" s="184">
        <v>7</v>
      </c>
      <c r="J28" s="184">
        <v>3</v>
      </c>
      <c r="K28" s="181" t="s">
        <v>49</v>
      </c>
      <c r="L28" s="181" t="s">
        <v>49</v>
      </c>
      <c r="M28" s="181" t="s">
        <v>637</v>
      </c>
      <c r="N28" s="181" t="s">
        <v>637</v>
      </c>
      <c r="P28" s="181"/>
    </row>
    <row r="29" spans="1:16" ht="17" x14ac:dyDescent="0.2">
      <c r="A29" s="184">
        <v>260</v>
      </c>
      <c r="B29" s="184" t="s">
        <v>44</v>
      </c>
      <c r="C29" s="184" t="s">
        <v>45</v>
      </c>
      <c r="D29" s="184">
        <v>454</v>
      </c>
      <c r="E29" s="184" t="s">
        <v>955</v>
      </c>
      <c r="F29" s="185" t="s">
        <v>982</v>
      </c>
      <c r="G29" s="186">
        <v>44625.632905092592</v>
      </c>
      <c r="H29" s="184" t="s">
        <v>48</v>
      </c>
      <c r="I29" s="184">
        <v>7</v>
      </c>
      <c r="J29" s="184">
        <v>3</v>
      </c>
      <c r="K29" s="181" t="s">
        <v>52</v>
      </c>
      <c r="L29" s="181" t="s">
        <v>52</v>
      </c>
      <c r="M29" s="181" t="s">
        <v>637</v>
      </c>
      <c r="N29" s="181" t="s">
        <v>58</v>
      </c>
      <c r="P29" s="181"/>
    </row>
    <row r="30" spans="1:16" ht="34" x14ac:dyDescent="0.2">
      <c r="A30" s="184">
        <v>260</v>
      </c>
      <c r="B30" s="184" t="s">
        <v>44</v>
      </c>
      <c r="C30" s="184" t="s">
        <v>45</v>
      </c>
      <c r="D30" s="184">
        <v>455</v>
      </c>
      <c r="E30" s="184" t="s">
        <v>951</v>
      </c>
      <c r="F30" s="185" t="s">
        <v>983</v>
      </c>
      <c r="G30" s="186">
        <v>44625.63318287037</v>
      </c>
      <c r="H30" s="184" t="s">
        <v>48</v>
      </c>
      <c r="I30" s="184">
        <v>10</v>
      </c>
      <c r="J30" s="184">
        <v>3</v>
      </c>
      <c r="K30" s="181" t="s">
        <v>52</v>
      </c>
      <c r="L30" s="181" t="s">
        <v>52</v>
      </c>
      <c r="M30" s="181" t="s">
        <v>58</v>
      </c>
      <c r="N30" s="181" t="s">
        <v>58</v>
      </c>
      <c r="P30" s="181"/>
    </row>
    <row r="31" spans="1:16" ht="68" x14ac:dyDescent="0.2">
      <c r="A31" s="184">
        <v>260</v>
      </c>
      <c r="B31" s="184" t="s">
        <v>44</v>
      </c>
      <c r="C31" s="184" t="s">
        <v>45</v>
      </c>
      <c r="D31" s="184">
        <v>453</v>
      </c>
      <c r="E31" s="184" t="s">
        <v>954</v>
      </c>
      <c r="F31" s="185" t="s">
        <v>984</v>
      </c>
      <c r="G31" s="186">
        <v>44625.633368055554</v>
      </c>
      <c r="H31" s="184" t="s">
        <v>48</v>
      </c>
      <c r="I31" s="184">
        <v>10</v>
      </c>
      <c r="J31" s="184">
        <v>4</v>
      </c>
      <c r="K31" s="181" t="s">
        <v>108</v>
      </c>
      <c r="L31" s="181" t="s">
        <v>108</v>
      </c>
      <c r="N31" s="185"/>
      <c r="O31" s="180" t="s">
        <v>112</v>
      </c>
      <c r="P31" s="181" t="s">
        <v>112</v>
      </c>
    </row>
    <row r="32" spans="1:16" ht="34" x14ac:dyDescent="0.2">
      <c r="A32" s="184">
        <v>260</v>
      </c>
      <c r="B32" s="184" t="s">
        <v>44</v>
      </c>
      <c r="C32" s="184" t="s">
        <v>45</v>
      </c>
      <c r="D32" s="184">
        <v>457</v>
      </c>
      <c r="E32" s="184" t="s">
        <v>960</v>
      </c>
      <c r="F32" s="185" t="s">
        <v>985</v>
      </c>
      <c r="G32" s="186">
        <v>44625.63349537037</v>
      </c>
      <c r="H32" s="184" t="s">
        <v>48</v>
      </c>
      <c r="I32" s="184">
        <v>10</v>
      </c>
      <c r="J32" s="184">
        <v>3</v>
      </c>
      <c r="K32" s="181" t="s">
        <v>52</v>
      </c>
      <c r="L32" s="181" t="s">
        <v>52</v>
      </c>
      <c r="N32" s="185"/>
      <c r="P32" s="181"/>
    </row>
    <row r="33" spans="1:16" ht="34" x14ac:dyDescent="0.2">
      <c r="A33" s="184">
        <v>260</v>
      </c>
      <c r="B33" s="184" t="s">
        <v>44</v>
      </c>
      <c r="C33" s="184" t="s">
        <v>45</v>
      </c>
      <c r="D33" s="184">
        <v>455</v>
      </c>
      <c r="E33" s="184" t="s">
        <v>951</v>
      </c>
      <c r="F33" s="185" t="s">
        <v>986</v>
      </c>
      <c r="G33" s="186">
        <v>44625.634201388886</v>
      </c>
      <c r="H33" s="184" t="s">
        <v>48</v>
      </c>
      <c r="I33" s="184">
        <v>10</v>
      </c>
      <c r="J33" s="184">
        <v>4</v>
      </c>
      <c r="K33" s="181" t="s">
        <v>638</v>
      </c>
      <c r="L33" s="181" t="s">
        <v>638</v>
      </c>
      <c r="N33" s="185"/>
      <c r="O33" s="180" t="s">
        <v>112</v>
      </c>
      <c r="P33" s="181" t="s">
        <v>112</v>
      </c>
    </row>
    <row r="34" spans="1:16" ht="34" x14ac:dyDescent="0.2">
      <c r="A34" s="184">
        <v>260</v>
      </c>
      <c r="B34" s="184" t="s">
        <v>44</v>
      </c>
      <c r="C34" s="184" t="s">
        <v>45</v>
      </c>
      <c r="D34" s="184">
        <v>454</v>
      </c>
      <c r="E34" s="184" t="s">
        <v>955</v>
      </c>
      <c r="F34" s="185" t="s">
        <v>987</v>
      </c>
      <c r="G34" s="186">
        <v>44625.634432870371</v>
      </c>
      <c r="H34" s="184" t="s">
        <v>48</v>
      </c>
      <c r="I34" s="184">
        <v>7</v>
      </c>
      <c r="J34" s="184">
        <v>4</v>
      </c>
      <c r="K34" s="181" t="s">
        <v>108</v>
      </c>
      <c r="L34" s="181" t="s">
        <v>108</v>
      </c>
      <c r="N34" s="185"/>
      <c r="O34" s="180" t="s">
        <v>112</v>
      </c>
      <c r="P34" s="181"/>
    </row>
    <row r="35" spans="1:16" ht="34" x14ac:dyDescent="0.2">
      <c r="A35" s="184">
        <v>260</v>
      </c>
      <c r="B35" s="184" t="s">
        <v>44</v>
      </c>
      <c r="C35" s="184" t="s">
        <v>45</v>
      </c>
      <c r="D35" s="184">
        <v>454</v>
      </c>
      <c r="E35" s="184" t="s">
        <v>955</v>
      </c>
      <c r="F35" s="185" t="s">
        <v>988</v>
      </c>
      <c r="G35" s="186">
        <v>44625.634745370371</v>
      </c>
      <c r="H35" s="184" t="s">
        <v>48</v>
      </c>
      <c r="I35" s="184">
        <v>7</v>
      </c>
      <c r="J35" s="184">
        <v>4</v>
      </c>
      <c r="K35" s="181" t="s">
        <v>52</v>
      </c>
      <c r="L35" s="181" t="s">
        <v>49</v>
      </c>
      <c r="N35" s="185"/>
      <c r="P35" s="181"/>
    </row>
    <row r="36" spans="1:16" ht="34" x14ac:dyDescent="0.2">
      <c r="A36" s="184">
        <v>260</v>
      </c>
      <c r="B36" s="184" t="s">
        <v>44</v>
      </c>
      <c r="C36" s="184" t="s">
        <v>45</v>
      </c>
      <c r="D36" s="184">
        <v>454</v>
      </c>
      <c r="E36" s="184" t="s">
        <v>955</v>
      </c>
      <c r="F36" s="185" t="s">
        <v>989</v>
      </c>
      <c r="G36" s="186">
        <v>44625.635023148148</v>
      </c>
      <c r="H36" s="184" t="s">
        <v>48</v>
      </c>
      <c r="I36" s="184">
        <v>7</v>
      </c>
      <c r="J36" s="184">
        <v>4</v>
      </c>
      <c r="K36" s="181" t="s">
        <v>108</v>
      </c>
      <c r="L36" s="181" t="s">
        <v>108</v>
      </c>
      <c r="N36" s="185"/>
      <c r="P36" s="181"/>
    </row>
    <row r="37" spans="1:16" ht="17" x14ac:dyDescent="0.2">
      <c r="A37" s="184">
        <v>260</v>
      </c>
      <c r="B37" s="184" t="s">
        <v>44</v>
      </c>
      <c r="C37" s="184" t="s">
        <v>45</v>
      </c>
      <c r="D37" s="184">
        <v>457</v>
      </c>
      <c r="E37" s="184" t="s">
        <v>960</v>
      </c>
      <c r="F37" s="185" t="s">
        <v>990</v>
      </c>
      <c r="G37" s="186">
        <v>44625.63826388889</v>
      </c>
      <c r="H37" s="184" t="s">
        <v>48</v>
      </c>
      <c r="I37" s="184">
        <v>10</v>
      </c>
      <c r="J37" s="184">
        <v>4</v>
      </c>
      <c r="K37" s="181" t="s">
        <v>108</v>
      </c>
      <c r="L37" s="181" t="s">
        <v>108</v>
      </c>
      <c r="M37" s="181" t="s">
        <v>637</v>
      </c>
      <c r="N37" s="181" t="s">
        <v>637</v>
      </c>
      <c r="P37" s="181"/>
    </row>
    <row r="38" spans="1:16" ht="17" x14ac:dyDescent="0.2">
      <c r="A38" s="184">
        <v>260</v>
      </c>
      <c r="B38" s="184" t="s">
        <v>44</v>
      </c>
      <c r="C38" s="184" t="s">
        <v>45</v>
      </c>
      <c r="D38" s="184">
        <v>454</v>
      </c>
      <c r="E38" s="184" t="s">
        <v>955</v>
      </c>
      <c r="F38" s="185" t="s">
        <v>991</v>
      </c>
      <c r="G38" s="186">
        <v>44625.638807870368</v>
      </c>
      <c r="H38" s="184" t="s">
        <v>48</v>
      </c>
      <c r="I38" s="184">
        <v>7</v>
      </c>
      <c r="J38" s="184">
        <v>4</v>
      </c>
      <c r="K38" s="181" t="s">
        <v>108</v>
      </c>
      <c r="L38" s="181" t="s">
        <v>108</v>
      </c>
      <c r="N38" s="185"/>
      <c r="O38" s="180" t="s">
        <v>112</v>
      </c>
      <c r="P38" s="181" t="s">
        <v>112</v>
      </c>
    </row>
    <row r="39" spans="1:16" ht="51" x14ac:dyDescent="0.2">
      <c r="A39" s="184">
        <v>260</v>
      </c>
      <c r="B39" s="184" t="s">
        <v>44</v>
      </c>
      <c r="C39" s="184" t="s">
        <v>45</v>
      </c>
      <c r="D39" s="184">
        <v>453</v>
      </c>
      <c r="E39" s="184" t="s">
        <v>954</v>
      </c>
      <c r="F39" s="185" t="s">
        <v>992</v>
      </c>
      <c r="G39" s="186">
        <v>44625.638969907406</v>
      </c>
      <c r="H39" s="184" t="s">
        <v>48</v>
      </c>
      <c r="I39" s="184">
        <v>10</v>
      </c>
      <c r="J39" s="184">
        <v>5</v>
      </c>
      <c r="K39" s="181" t="s">
        <v>108</v>
      </c>
      <c r="L39" s="187" t="s">
        <v>108</v>
      </c>
      <c r="N39" s="185"/>
      <c r="O39" s="180" t="s">
        <v>112</v>
      </c>
      <c r="P39" s="181" t="s">
        <v>112</v>
      </c>
    </row>
    <row r="40" spans="1:16" ht="17" x14ac:dyDescent="0.2">
      <c r="A40" s="184">
        <v>260</v>
      </c>
      <c r="B40" s="184" t="s">
        <v>44</v>
      </c>
      <c r="C40" s="184" t="s">
        <v>45</v>
      </c>
      <c r="D40" s="184">
        <v>454</v>
      </c>
      <c r="E40" s="184" t="s">
        <v>955</v>
      </c>
      <c r="F40" s="185" t="s">
        <v>993</v>
      </c>
      <c r="G40" s="186">
        <v>44625.639108796298</v>
      </c>
      <c r="H40" s="184" t="s">
        <v>48</v>
      </c>
      <c r="I40" s="184">
        <v>7</v>
      </c>
      <c r="J40" s="184">
        <v>5</v>
      </c>
      <c r="K40" s="181" t="s">
        <v>108</v>
      </c>
      <c r="L40" s="181" t="s">
        <v>108</v>
      </c>
      <c r="M40" s="181" t="s">
        <v>58</v>
      </c>
      <c r="N40" s="185"/>
      <c r="P40" s="181"/>
    </row>
    <row r="41" spans="1:16" ht="17" x14ac:dyDescent="0.2">
      <c r="A41" s="184">
        <v>260</v>
      </c>
      <c r="B41" s="184" t="s">
        <v>44</v>
      </c>
      <c r="C41" s="184" t="s">
        <v>45</v>
      </c>
      <c r="D41" s="184">
        <v>454</v>
      </c>
      <c r="E41" s="184" t="s">
        <v>955</v>
      </c>
      <c r="F41" s="185" t="s">
        <v>994</v>
      </c>
      <c r="G41" s="186">
        <v>44625.639467592591</v>
      </c>
      <c r="H41" s="184" t="s">
        <v>48</v>
      </c>
      <c r="I41" s="184">
        <v>7</v>
      </c>
      <c r="J41" s="184">
        <v>5</v>
      </c>
      <c r="K41" s="181" t="s">
        <v>52</v>
      </c>
      <c r="L41" s="181" t="s">
        <v>52</v>
      </c>
      <c r="N41" s="185"/>
      <c r="P41" s="181"/>
    </row>
    <row r="42" spans="1:16" ht="51" x14ac:dyDescent="0.2">
      <c r="A42" s="184">
        <v>260</v>
      </c>
      <c r="B42" s="184" t="s">
        <v>44</v>
      </c>
      <c r="C42" s="184" t="s">
        <v>45</v>
      </c>
      <c r="D42" s="184">
        <v>455</v>
      </c>
      <c r="E42" s="184" t="s">
        <v>951</v>
      </c>
      <c r="F42" s="185" t="s">
        <v>995</v>
      </c>
      <c r="G42" s="186">
        <v>44625.640034722222</v>
      </c>
      <c r="H42" s="184" t="s">
        <v>48</v>
      </c>
      <c r="I42" s="184">
        <v>10</v>
      </c>
      <c r="J42" s="184">
        <v>5</v>
      </c>
      <c r="K42" s="181" t="s">
        <v>52</v>
      </c>
      <c r="L42" s="181" t="s">
        <v>52</v>
      </c>
      <c r="N42" s="185"/>
      <c r="P42" s="181"/>
    </row>
    <row r="43" spans="1:16" ht="17" x14ac:dyDescent="0.2">
      <c r="A43" s="184">
        <v>260</v>
      </c>
      <c r="B43" s="184" t="s">
        <v>44</v>
      </c>
      <c r="C43" s="184" t="s">
        <v>45</v>
      </c>
      <c r="D43" s="184">
        <v>457</v>
      </c>
      <c r="E43" s="184" t="s">
        <v>960</v>
      </c>
      <c r="F43" s="185" t="s">
        <v>996</v>
      </c>
      <c r="G43" s="186">
        <v>44625.640231481484</v>
      </c>
      <c r="H43" s="184" t="s">
        <v>48</v>
      </c>
      <c r="I43" s="184">
        <v>10</v>
      </c>
      <c r="J43" s="184">
        <v>6</v>
      </c>
      <c r="K43" s="181" t="s">
        <v>108</v>
      </c>
      <c r="L43" s="181" t="s">
        <v>108</v>
      </c>
      <c r="N43" s="185"/>
      <c r="O43" s="181" t="s">
        <v>112</v>
      </c>
      <c r="P43" s="181" t="s">
        <v>112</v>
      </c>
    </row>
    <row r="44" spans="1:16" ht="34" x14ac:dyDescent="0.2">
      <c r="A44" s="184">
        <v>260</v>
      </c>
      <c r="B44" s="184" t="s">
        <v>44</v>
      </c>
      <c r="C44" s="184" t="s">
        <v>45</v>
      </c>
      <c r="D44" s="184">
        <v>454</v>
      </c>
      <c r="E44" s="184" t="s">
        <v>955</v>
      </c>
      <c r="F44" s="185" t="s">
        <v>997</v>
      </c>
      <c r="G44" s="186">
        <v>44625.640694444446</v>
      </c>
      <c r="H44" s="184" t="s">
        <v>48</v>
      </c>
      <c r="I44" s="184">
        <v>7</v>
      </c>
      <c r="J44" s="184">
        <v>5</v>
      </c>
      <c r="K44" s="181" t="s">
        <v>49</v>
      </c>
      <c r="L44" s="181" t="s">
        <v>49</v>
      </c>
      <c r="M44" s="181" t="s">
        <v>637</v>
      </c>
      <c r="N44" s="185"/>
      <c r="P44" s="181"/>
    </row>
    <row r="45" spans="1:16" ht="34" x14ac:dyDescent="0.2">
      <c r="A45" s="184">
        <v>260</v>
      </c>
      <c r="B45" s="184" t="s">
        <v>44</v>
      </c>
      <c r="C45" s="184" t="s">
        <v>45</v>
      </c>
      <c r="D45" s="184">
        <v>454</v>
      </c>
      <c r="E45" s="184" t="s">
        <v>955</v>
      </c>
      <c r="F45" s="185" t="s">
        <v>998</v>
      </c>
      <c r="G45" s="186">
        <v>44625.640960648147</v>
      </c>
      <c r="H45" s="184" t="s">
        <v>48</v>
      </c>
      <c r="I45" s="184">
        <v>7</v>
      </c>
      <c r="J45" s="184">
        <v>6</v>
      </c>
      <c r="K45" s="181" t="s">
        <v>52</v>
      </c>
      <c r="L45" s="181" t="s">
        <v>52</v>
      </c>
      <c r="N45" s="185"/>
      <c r="P45" s="181"/>
    </row>
    <row r="46" spans="1:16" ht="17" x14ac:dyDescent="0.2">
      <c r="A46" s="184">
        <v>260</v>
      </c>
      <c r="B46" s="184" t="s">
        <v>44</v>
      </c>
      <c r="C46" s="184" t="s">
        <v>45</v>
      </c>
      <c r="D46" s="184">
        <v>454</v>
      </c>
      <c r="E46" s="184" t="s">
        <v>955</v>
      </c>
      <c r="F46" s="185" t="s">
        <v>999</v>
      </c>
      <c r="G46" s="186">
        <v>44625.641064814816</v>
      </c>
      <c r="H46" s="184" t="s">
        <v>48</v>
      </c>
      <c r="I46" s="184">
        <v>7</v>
      </c>
      <c r="J46" s="184">
        <v>6</v>
      </c>
      <c r="K46" s="181" t="s">
        <v>52</v>
      </c>
      <c r="L46" s="181" t="s">
        <v>52</v>
      </c>
      <c r="N46" s="185"/>
      <c r="P46" s="181"/>
    </row>
    <row r="47" spans="1:16" ht="34" x14ac:dyDescent="0.2">
      <c r="A47" s="184">
        <v>260</v>
      </c>
      <c r="B47" s="184" t="s">
        <v>44</v>
      </c>
      <c r="C47" s="184" t="s">
        <v>45</v>
      </c>
      <c r="D47" s="184">
        <v>455</v>
      </c>
      <c r="E47" s="184" t="s">
        <v>951</v>
      </c>
      <c r="F47" s="185" t="s">
        <v>1000</v>
      </c>
      <c r="G47" s="186">
        <v>44625.641296296293</v>
      </c>
      <c r="H47" s="184" t="s">
        <v>48</v>
      </c>
      <c r="I47" s="184">
        <v>10</v>
      </c>
      <c r="J47" s="184">
        <v>6</v>
      </c>
      <c r="K47" s="181" t="s">
        <v>893</v>
      </c>
      <c r="L47" s="181" t="s">
        <v>893</v>
      </c>
      <c r="M47" s="181" t="s">
        <v>58</v>
      </c>
      <c r="N47" s="181" t="s">
        <v>58</v>
      </c>
      <c r="O47" s="181" t="s">
        <v>120</v>
      </c>
      <c r="P47" s="181" t="s">
        <v>120</v>
      </c>
    </row>
    <row r="48" spans="1:16" ht="153" x14ac:dyDescent="0.2">
      <c r="A48" s="184">
        <v>260</v>
      </c>
      <c r="B48" s="184" t="s">
        <v>44</v>
      </c>
      <c r="C48" s="184" t="s">
        <v>45</v>
      </c>
      <c r="D48" s="184">
        <v>455</v>
      </c>
      <c r="E48" s="184" t="s">
        <v>951</v>
      </c>
      <c r="F48" s="185" t="s">
        <v>1001</v>
      </c>
      <c r="G48" s="186">
        <v>44625.641516203701</v>
      </c>
      <c r="H48" s="184" t="s">
        <v>48</v>
      </c>
      <c r="I48" s="184">
        <v>10</v>
      </c>
      <c r="J48" s="184">
        <v>6</v>
      </c>
      <c r="K48" s="181" t="s">
        <v>52</v>
      </c>
      <c r="L48" s="181" t="s">
        <v>52</v>
      </c>
      <c r="N48" s="185"/>
      <c r="P48" s="181"/>
    </row>
    <row r="49" spans="1:16" ht="68" x14ac:dyDescent="0.2">
      <c r="A49" s="184">
        <v>260</v>
      </c>
      <c r="B49" s="184" t="s">
        <v>44</v>
      </c>
      <c r="C49" s="184" t="s">
        <v>45</v>
      </c>
      <c r="D49" s="184">
        <v>453</v>
      </c>
      <c r="E49" s="184" t="s">
        <v>954</v>
      </c>
      <c r="F49" s="185" t="s">
        <v>1002</v>
      </c>
      <c r="G49" s="186">
        <v>44625.641909722224</v>
      </c>
      <c r="H49" s="184" t="s">
        <v>48</v>
      </c>
      <c r="I49" s="184">
        <v>10</v>
      </c>
      <c r="J49" s="184">
        <v>6</v>
      </c>
      <c r="K49" s="181" t="s">
        <v>52</v>
      </c>
      <c r="L49" s="181" t="s">
        <v>52</v>
      </c>
      <c r="M49" s="181" t="s">
        <v>58</v>
      </c>
      <c r="N49" s="181" t="s">
        <v>58</v>
      </c>
      <c r="O49" s="180" t="s">
        <v>120</v>
      </c>
      <c r="P49" s="181"/>
    </row>
    <row r="50" spans="1:16" ht="17" x14ac:dyDescent="0.2">
      <c r="A50" s="184">
        <v>260</v>
      </c>
      <c r="B50" s="184" t="s">
        <v>44</v>
      </c>
      <c r="C50" s="184" t="s">
        <v>45</v>
      </c>
      <c r="D50" s="184">
        <v>454</v>
      </c>
      <c r="E50" s="184" t="s">
        <v>955</v>
      </c>
      <c r="F50" s="185" t="s">
        <v>1003</v>
      </c>
      <c r="G50" s="186">
        <v>44625.645208333335</v>
      </c>
      <c r="H50" s="184" t="s">
        <v>48</v>
      </c>
      <c r="I50" s="184">
        <v>7</v>
      </c>
      <c r="J50" s="184">
        <v>6</v>
      </c>
      <c r="K50" s="181" t="s">
        <v>52</v>
      </c>
      <c r="L50" s="181" t="s">
        <v>49</v>
      </c>
      <c r="M50" s="181" t="s">
        <v>637</v>
      </c>
      <c r="N50" s="185"/>
      <c r="P50" s="181"/>
    </row>
    <row r="51" spans="1:16" ht="17" x14ac:dyDescent="0.2">
      <c r="A51" s="184">
        <v>260</v>
      </c>
      <c r="B51" s="184" t="s">
        <v>44</v>
      </c>
      <c r="C51" s="184" t="s">
        <v>45</v>
      </c>
      <c r="D51" s="184">
        <v>454</v>
      </c>
      <c r="E51" s="184" t="s">
        <v>955</v>
      </c>
      <c r="F51" s="185" t="s">
        <v>1004</v>
      </c>
      <c r="G51" s="186">
        <v>44625.645439814813</v>
      </c>
      <c r="H51" s="184" t="s">
        <v>48</v>
      </c>
      <c r="I51" s="184">
        <v>7</v>
      </c>
      <c r="J51" s="184">
        <v>7</v>
      </c>
      <c r="K51" s="181" t="s">
        <v>638</v>
      </c>
      <c r="L51" s="181" t="s">
        <v>638</v>
      </c>
      <c r="M51" s="181"/>
      <c r="N51" s="185"/>
      <c r="P51" s="181"/>
    </row>
    <row r="52" spans="1:16" ht="51" x14ac:dyDescent="0.2">
      <c r="A52" s="184">
        <v>260</v>
      </c>
      <c r="B52" s="184" t="s">
        <v>44</v>
      </c>
      <c r="C52" s="184" t="s">
        <v>45</v>
      </c>
      <c r="D52" s="184">
        <v>453</v>
      </c>
      <c r="E52" s="184" t="s">
        <v>954</v>
      </c>
      <c r="F52" s="185" t="s">
        <v>1005</v>
      </c>
      <c r="G52" s="186">
        <v>44625.645844907405</v>
      </c>
      <c r="H52" s="184" t="s">
        <v>48</v>
      </c>
      <c r="I52" s="184">
        <v>10</v>
      </c>
      <c r="J52" s="184">
        <v>7</v>
      </c>
      <c r="K52" s="181" t="s">
        <v>638</v>
      </c>
      <c r="L52" s="181" t="s">
        <v>638</v>
      </c>
      <c r="N52" s="185"/>
      <c r="P52" s="181"/>
    </row>
    <row r="53" spans="1:16" ht="17" x14ac:dyDescent="0.2">
      <c r="A53" s="184">
        <v>260</v>
      </c>
      <c r="B53" s="184" t="s">
        <v>44</v>
      </c>
      <c r="C53" s="184" t="s">
        <v>45</v>
      </c>
      <c r="D53" s="184">
        <v>457</v>
      </c>
      <c r="E53" s="184" t="s">
        <v>960</v>
      </c>
      <c r="F53" s="185" t="s">
        <v>1006</v>
      </c>
      <c r="G53" s="186">
        <v>44625.646284722221</v>
      </c>
      <c r="H53" s="184" t="s">
        <v>48</v>
      </c>
      <c r="I53" s="184">
        <v>10</v>
      </c>
      <c r="J53" s="184">
        <v>7</v>
      </c>
      <c r="K53" s="181" t="s">
        <v>638</v>
      </c>
      <c r="L53" s="181" t="s">
        <v>638</v>
      </c>
      <c r="N53" s="185"/>
      <c r="P53" s="181"/>
    </row>
    <row r="54" spans="1:16" ht="17" x14ac:dyDescent="0.2">
      <c r="A54" s="184">
        <v>260</v>
      </c>
      <c r="B54" s="184" t="s">
        <v>44</v>
      </c>
      <c r="C54" s="184" t="s">
        <v>45</v>
      </c>
      <c r="D54" s="184">
        <v>453</v>
      </c>
      <c r="E54" s="184" t="s">
        <v>954</v>
      </c>
      <c r="F54" s="185" t="s">
        <v>1007</v>
      </c>
      <c r="G54" s="186">
        <v>44625.646550925929</v>
      </c>
      <c r="H54" s="184" t="s">
        <v>48</v>
      </c>
      <c r="I54" s="184">
        <v>10</v>
      </c>
      <c r="J54" s="184">
        <v>6</v>
      </c>
      <c r="K54" s="181" t="s">
        <v>52</v>
      </c>
      <c r="L54" s="181" t="s">
        <v>52</v>
      </c>
      <c r="M54" s="181" t="s">
        <v>58</v>
      </c>
      <c r="N54" s="181" t="s">
        <v>58</v>
      </c>
      <c r="P54" s="181"/>
    </row>
    <row r="55" spans="1:16" ht="34" x14ac:dyDescent="0.2">
      <c r="A55" s="184">
        <v>260</v>
      </c>
      <c r="B55" s="184" t="s">
        <v>44</v>
      </c>
      <c r="C55" s="184" t="s">
        <v>45</v>
      </c>
      <c r="D55" s="184">
        <v>457</v>
      </c>
      <c r="E55" s="184" t="s">
        <v>960</v>
      </c>
      <c r="F55" s="185" t="s">
        <v>1008</v>
      </c>
      <c r="G55" s="186">
        <v>44625.647060185183</v>
      </c>
      <c r="H55" s="184" t="s">
        <v>48</v>
      </c>
      <c r="I55" s="184">
        <v>10</v>
      </c>
      <c r="J55" s="184">
        <v>6</v>
      </c>
      <c r="K55" s="181" t="s">
        <v>52</v>
      </c>
      <c r="L55" s="181" t="s">
        <v>52</v>
      </c>
      <c r="N55" s="181" t="s">
        <v>58</v>
      </c>
      <c r="P55" s="181"/>
    </row>
    <row r="56" spans="1:16" ht="69" customHeight="1" x14ac:dyDescent="0.2">
      <c r="A56" s="184">
        <v>260</v>
      </c>
      <c r="B56" s="184" t="s">
        <v>44</v>
      </c>
      <c r="C56" s="184" t="s">
        <v>45</v>
      </c>
      <c r="D56" s="184">
        <v>455</v>
      </c>
      <c r="E56" s="184" t="s">
        <v>951</v>
      </c>
      <c r="F56" s="185" t="s">
        <v>1009</v>
      </c>
      <c r="G56" s="186">
        <v>44625.647060185183</v>
      </c>
      <c r="H56" s="184" t="s">
        <v>48</v>
      </c>
      <c r="I56" s="184">
        <v>10</v>
      </c>
      <c r="J56" s="184">
        <v>7</v>
      </c>
      <c r="K56" s="181" t="s">
        <v>638</v>
      </c>
      <c r="L56" s="181" t="s">
        <v>638</v>
      </c>
      <c r="M56" s="181" t="s">
        <v>58</v>
      </c>
      <c r="N56" s="181" t="s">
        <v>58</v>
      </c>
      <c r="P56" s="181"/>
    </row>
    <row r="57" spans="1:16" ht="51" x14ac:dyDescent="0.2">
      <c r="A57" s="184">
        <v>260</v>
      </c>
      <c r="B57" s="184" t="s">
        <v>44</v>
      </c>
      <c r="C57" s="184" t="s">
        <v>45</v>
      </c>
      <c r="D57" s="184">
        <v>455</v>
      </c>
      <c r="E57" s="184" t="s">
        <v>951</v>
      </c>
      <c r="F57" s="185" t="s">
        <v>1010</v>
      </c>
      <c r="G57" s="186">
        <v>44625.647662037038</v>
      </c>
      <c r="H57" s="184" t="s">
        <v>48</v>
      </c>
      <c r="I57" s="184">
        <v>10</v>
      </c>
      <c r="J57" s="184">
        <v>6</v>
      </c>
      <c r="K57" s="181" t="s">
        <v>52</v>
      </c>
      <c r="L57" s="181" t="s">
        <v>52</v>
      </c>
      <c r="N57" s="181"/>
      <c r="P57" s="181"/>
    </row>
    <row r="58" spans="1:16" ht="17" x14ac:dyDescent="0.2">
      <c r="A58" s="184">
        <v>260</v>
      </c>
      <c r="B58" s="184" t="s">
        <v>44</v>
      </c>
      <c r="C58" s="184" t="s">
        <v>45</v>
      </c>
      <c r="D58" s="184">
        <v>457</v>
      </c>
      <c r="E58" s="184" t="s">
        <v>960</v>
      </c>
      <c r="F58" s="185" t="s">
        <v>1011</v>
      </c>
      <c r="G58" s="186">
        <v>44625.647928240738</v>
      </c>
      <c r="H58" s="184" t="s">
        <v>48</v>
      </c>
      <c r="I58" s="184">
        <v>10</v>
      </c>
      <c r="J58" s="184">
        <v>6</v>
      </c>
      <c r="K58" s="181" t="s">
        <v>52</v>
      </c>
      <c r="L58" s="181" t="s">
        <v>52</v>
      </c>
      <c r="M58" s="181" t="s">
        <v>58</v>
      </c>
      <c r="N58" s="181" t="s">
        <v>58</v>
      </c>
      <c r="P58" s="181"/>
    </row>
    <row r="59" spans="1:16" ht="17" x14ac:dyDescent="0.2">
      <c r="A59" s="184">
        <v>260</v>
      </c>
      <c r="B59" s="184" t="s">
        <v>44</v>
      </c>
      <c r="C59" s="184" t="s">
        <v>45</v>
      </c>
      <c r="D59" s="184">
        <v>454</v>
      </c>
      <c r="E59" s="184" t="s">
        <v>955</v>
      </c>
      <c r="F59" s="185" t="s">
        <v>1012</v>
      </c>
      <c r="G59" s="186">
        <v>44625.648136574076</v>
      </c>
      <c r="H59" s="184" t="s">
        <v>48</v>
      </c>
      <c r="I59" s="184">
        <v>7</v>
      </c>
      <c r="J59" s="184">
        <v>6</v>
      </c>
      <c r="K59" s="181" t="s">
        <v>49</v>
      </c>
      <c r="L59" s="181" t="s">
        <v>49</v>
      </c>
      <c r="M59" s="181"/>
      <c r="N59" s="185"/>
      <c r="P59" s="181"/>
    </row>
    <row r="60" spans="1:16" ht="17" x14ac:dyDescent="0.2">
      <c r="A60" s="184">
        <v>260</v>
      </c>
      <c r="B60" s="184" t="s">
        <v>44</v>
      </c>
      <c r="C60" s="184" t="s">
        <v>45</v>
      </c>
      <c r="D60" s="184">
        <v>454</v>
      </c>
      <c r="E60" s="184" t="s">
        <v>955</v>
      </c>
      <c r="F60" s="185" t="s">
        <v>1013</v>
      </c>
      <c r="G60" s="186">
        <v>44625.6484837963</v>
      </c>
      <c r="H60" s="184" t="s">
        <v>48</v>
      </c>
      <c r="I60" s="184">
        <v>7</v>
      </c>
      <c r="J60" s="184">
        <v>6</v>
      </c>
      <c r="K60" s="181" t="s">
        <v>49</v>
      </c>
      <c r="L60" s="181" t="s">
        <v>1014</v>
      </c>
      <c r="M60" s="181"/>
      <c r="N60" s="185"/>
      <c r="P60" s="181"/>
    </row>
    <row r="61" spans="1:16" ht="17" x14ac:dyDescent="0.2">
      <c r="A61" s="184">
        <v>260</v>
      </c>
      <c r="B61" s="184" t="s">
        <v>44</v>
      </c>
      <c r="C61" s="184" t="s">
        <v>45</v>
      </c>
      <c r="D61" s="184">
        <v>455</v>
      </c>
      <c r="E61" s="184" t="s">
        <v>951</v>
      </c>
      <c r="F61" s="185" t="s">
        <v>1015</v>
      </c>
      <c r="G61" s="186">
        <v>44625.648680555554</v>
      </c>
      <c r="H61" s="184" t="s">
        <v>48</v>
      </c>
      <c r="I61" s="184">
        <v>10</v>
      </c>
      <c r="J61" s="184">
        <v>6</v>
      </c>
      <c r="K61" s="181" t="s">
        <v>49</v>
      </c>
      <c r="L61" s="181" t="s">
        <v>49</v>
      </c>
      <c r="M61" s="181"/>
      <c r="N61" s="185"/>
      <c r="P61" s="181"/>
    </row>
    <row r="62" spans="1:16" ht="17" x14ac:dyDescent="0.2">
      <c r="A62" s="184">
        <v>260</v>
      </c>
      <c r="B62" s="184" t="s">
        <v>44</v>
      </c>
      <c r="C62" s="184" t="s">
        <v>45</v>
      </c>
      <c r="D62" s="184">
        <v>457</v>
      </c>
      <c r="E62" s="184" t="s">
        <v>960</v>
      </c>
      <c r="F62" s="185" t="s">
        <v>1016</v>
      </c>
      <c r="G62" s="186">
        <v>44625.648761574077</v>
      </c>
      <c r="H62" s="184" t="s">
        <v>48</v>
      </c>
      <c r="I62" s="184">
        <v>10</v>
      </c>
      <c r="J62" s="184">
        <v>6</v>
      </c>
      <c r="K62" s="181" t="s">
        <v>49</v>
      </c>
      <c r="L62" s="181" t="s">
        <v>49</v>
      </c>
      <c r="M62" s="181"/>
      <c r="N62" s="185"/>
      <c r="P62" s="181"/>
    </row>
    <row r="63" spans="1:16" ht="17" x14ac:dyDescent="0.2">
      <c r="A63" s="184">
        <v>260</v>
      </c>
      <c r="B63" s="184" t="s">
        <v>44</v>
      </c>
      <c r="C63" s="184" t="s">
        <v>45</v>
      </c>
      <c r="D63" s="184">
        <v>455</v>
      </c>
      <c r="E63" s="184" t="s">
        <v>951</v>
      </c>
      <c r="F63" s="185" t="s">
        <v>1017</v>
      </c>
      <c r="G63" s="186">
        <v>44625.649131944447</v>
      </c>
      <c r="H63" s="184" t="s">
        <v>48</v>
      </c>
      <c r="I63" s="184">
        <v>10</v>
      </c>
      <c r="J63" s="184">
        <v>6</v>
      </c>
      <c r="K63" s="181" t="s">
        <v>49</v>
      </c>
      <c r="L63" s="181" t="s">
        <v>49</v>
      </c>
      <c r="M63" s="181"/>
      <c r="N63" s="185"/>
      <c r="P63" s="181"/>
    </row>
    <row r="64" spans="1:16" ht="51" x14ac:dyDescent="0.2">
      <c r="A64" s="184">
        <v>260</v>
      </c>
      <c r="B64" s="184" t="s">
        <v>44</v>
      </c>
      <c r="C64" s="184" t="s">
        <v>45</v>
      </c>
      <c r="D64" s="184">
        <v>453</v>
      </c>
      <c r="E64" s="184" t="s">
        <v>954</v>
      </c>
      <c r="F64" s="185" t="s">
        <v>1018</v>
      </c>
      <c r="G64" s="186">
        <v>44625.649236111109</v>
      </c>
      <c r="H64" s="184" t="s">
        <v>48</v>
      </c>
      <c r="I64" s="184">
        <v>10</v>
      </c>
      <c r="J64" s="184">
        <v>6</v>
      </c>
      <c r="K64" s="181" t="s">
        <v>52</v>
      </c>
      <c r="L64" s="181" t="s">
        <v>52</v>
      </c>
      <c r="M64" s="181"/>
      <c r="N64" s="185"/>
      <c r="P64" s="181"/>
    </row>
    <row r="65" spans="1:16" ht="17" x14ac:dyDescent="0.2">
      <c r="A65" s="184">
        <v>260</v>
      </c>
      <c r="B65" s="184" t="s">
        <v>44</v>
      </c>
      <c r="C65" s="184" t="s">
        <v>45</v>
      </c>
      <c r="D65" s="184">
        <v>454</v>
      </c>
      <c r="E65" s="184" t="s">
        <v>955</v>
      </c>
      <c r="F65" s="185" t="s">
        <v>1019</v>
      </c>
      <c r="G65" s="186">
        <v>44625.649375000001</v>
      </c>
      <c r="H65" s="184" t="s">
        <v>48</v>
      </c>
      <c r="I65" s="184">
        <v>7</v>
      </c>
      <c r="J65" s="184">
        <v>6</v>
      </c>
      <c r="K65" s="181" t="s">
        <v>49</v>
      </c>
      <c r="L65" s="181" t="s">
        <v>49</v>
      </c>
      <c r="N65" s="185"/>
      <c r="P65" s="181"/>
    </row>
    <row r="66" spans="1:16" ht="34" x14ac:dyDescent="0.2">
      <c r="A66" s="184">
        <v>260</v>
      </c>
      <c r="B66" s="184" t="s">
        <v>44</v>
      </c>
      <c r="C66" s="184" t="s">
        <v>45</v>
      </c>
      <c r="D66" s="184">
        <v>455</v>
      </c>
      <c r="E66" s="184" t="s">
        <v>951</v>
      </c>
      <c r="F66" s="185" t="s">
        <v>1020</v>
      </c>
      <c r="G66" s="186">
        <v>44625.64949074074</v>
      </c>
      <c r="H66" s="184" t="s">
        <v>48</v>
      </c>
      <c r="I66" s="184">
        <v>10</v>
      </c>
      <c r="J66" s="184">
        <v>8</v>
      </c>
      <c r="K66" s="181" t="s">
        <v>108</v>
      </c>
      <c r="L66" s="181" t="s">
        <v>108</v>
      </c>
      <c r="N66" s="185"/>
      <c r="P66" s="181" t="s">
        <v>261</v>
      </c>
    </row>
    <row r="67" spans="1:16" ht="17" x14ac:dyDescent="0.2">
      <c r="A67" s="184">
        <v>260</v>
      </c>
      <c r="B67" s="184" t="s">
        <v>44</v>
      </c>
      <c r="C67" s="184" t="s">
        <v>45</v>
      </c>
      <c r="D67" s="184">
        <v>454</v>
      </c>
      <c r="E67" s="184" t="s">
        <v>955</v>
      </c>
      <c r="F67" s="185" t="s">
        <v>1021</v>
      </c>
      <c r="G67" s="186">
        <v>44625.649722222224</v>
      </c>
      <c r="H67" s="184" t="s">
        <v>48</v>
      </c>
      <c r="I67" s="184">
        <v>7</v>
      </c>
      <c r="J67" s="184">
        <v>8</v>
      </c>
      <c r="K67" s="181" t="s">
        <v>108</v>
      </c>
      <c r="L67" s="181" t="s">
        <v>108</v>
      </c>
      <c r="M67" s="181" t="s">
        <v>58</v>
      </c>
      <c r="N67" s="185"/>
      <c r="P67" s="181"/>
    </row>
    <row r="68" spans="1:16" ht="17" x14ac:dyDescent="0.2">
      <c r="A68" s="184">
        <v>260</v>
      </c>
      <c r="B68" s="184" t="s">
        <v>44</v>
      </c>
      <c r="C68" s="184" t="s">
        <v>45</v>
      </c>
      <c r="D68" s="184">
        <v>453</v>
      </c>
      <c r="E68" s="184" t="s">
        <v>954</v>
      </c>
      <c r="F68" s="185" t="s">
        <v>1022</v>
      </c>
      <c r="G68" s="186">
        <v>44625.650324074071</v>
      </c>
      <c r="H68" s="184" t="s">
        <v>48</v>
      </c>
      <c r="I68" s="184">
        <v>10</v>
      </c>
      <c r="J68" s="184">
        <v>8</v>
      </c>
      <c r="K68" s="181" t="s">
        <v>108</v>
      </c>
      <c r="L68" s="181" t="s">
        <v>108</v>
      </c>
      <c r="N68" s="185"/>
      <c r="P68" s="181"/>
    </row>
    <row r="69" spans="1:16" ht="17" x14ac:dyDescent="0.2">
      <c r="A69" s="184">
        <v>260</v>
      </c>
      <c r="B69" s="184" t="s">
        <v>44</v>
      </c>
      <c r="C69" s="184" t="s">
        <v>45</v>
      </c>
      <c r="D69" s="184">
        <v>457</v>
      </c>
      <c r="E69" s="184" t="s">
        <v>960</v>
      </c>
      <c r="F69" s="185" t="s">
        <v>1023</v>
      </c>
      <c r="G69" s="186">
        <v>44625.650590277779</v>
      </c>
      <c r="H69" s="184" t="s">
        <v>48</v>
      </c>
      <c r="I69" s="184">
        <v>10</v>
      </c>
      <c r="J69" s="184">
        <v>8</v>
      </c>
      <c r="K69" s="181" t="s">
        <v>108</v>
      </c>
      <c r="L69" s="181" t="s">
        <v>108</v>
      </c>
      <c r="N69" s="185"/>
      <c r="P69" s="181"/>
    </row>
    <row r="70" spans="1:16" ht="17" x14ac:dyDescent="0.2">
      <c r="A70" s="184">
        <v>260</v>
      </c>
      <c r="B70" s="184" t="s">
        <v>44</v>
      </c>
      <c r="C70" s="184" t="s">
        <v>45</v>
      </c>
      <c r="D70" s="184">
        <v>455</v>
      </c>
      <c r="E70" s="184" t="s">
        <v>951</v>
      </c>
      <c r="F70" s="185" t="s">
        <v>1024</v>
      </c>
      <c r="G70" s="186">
        <v>44625.651145833333</v>
      </c>
      <c r="H70" s="184" t="s">
        <v>48</v>
      </c>
      <c r="I70" s="184">
        <v>10</v>
      </c>
      <c r="J70" s="184">
        <v>8</v>
      </c>
      <c r="K70" s="181" t="s">
        <v>638</v>
      </c>
      <c r="L70" s="181" t="s">
        <v>638</v>
      </c>
      <c r="N70" s="185"/>
      <c r="P70" s="181"/>
    </row>
    <row r="71" spans="1:16" ht="17" x14ac:dyDescent="0.2">
      <c r="A71" s="184">
        <v>260</v>
      </c>
      <c r="B71" s="184" t="s">
        <v>44</v>
      </c>
      <c r="C71" s="184" t="s">
        <v>45</v>
      </c>
      <c r="D71" s="184">
        <v>453</v>
      </c>
      <c r="E71" s="184" t="s">
        <v>954</v>
      </c>
      <c r="F71" s="185" t="s">
        <v>1025</v>
      </c>
      <c r="G71" s="186">
        <v>44625.65121527778</v>
      </c>
      <c r="H71" s="184" t="s">
        <v>48</v>
      </c>
      <c r="I71" s="184">
        <v>10</v>
      </c>
      <c r="J71" s="184">
        <v>8</v>
      </c>
      <c r="K71" s="181" t="s">
        <v>638</v>
      </c>
      <c r="L71" s="181" t="s">
        <v>638</v>
      </c>
      <c r="N71" s="185"/>
      <c r="P71" s="181"/>
    </row>
    <row r="72" spans="1:16" ht="17" x14ac:dyDescent="0.2">
      <c r="A72" s="184">
        <v>260</v>
      </c>
      <c r="B72" s="184" t="s">
        <v>44</v>
      </c>
      <c r="C72" s="184" t="s">
        <v>45</v>
      </c>
      <c r="D72" s="184">
        <v>457</v>
      </c>
      <c r="E72" s="184" t="s">
        <v>960</v>
      </c>
      <c r="F72" s="185" t="s">
        <v>1026</v>
      </c>
      <c r="G72" s="186">
        <v>44625.651666666665</v>
      </c>
      <c r="H72" s="184" t="s">
        <v>48</v>
      </c>
      <c r="I72" s="184">
        <v>10</v>
      </c>
      <c r="J72" s="184">
        <v>8</v>
      </c>
      <c r="K72" s="181" t="s">
        <v>638</v>
      </c>
      <c r="L72" s="181" t="s">
        <v>638</v>
      </c>
      <c r="M72" s="181"/>
      <c r="N72" s="185"/>
      <c r="P72" s="181"/>
    </row>
    <row r="73" spans="1:16" ht="17" x14ac:dyDescent="0.2">
      <c r="A73" s="184">
        <v>260</v>
      </c>
      <c r="B73" s="184" t="s">
        <v>44</v>
      </c>
      <c r="C73" s="184" t="s">
        <v>45</v>
      </c>
      <c r="D73" s="184">
        <v>454</v>
      </c>
      <c r="E73" s="184" t="s">
        <v>955</v>
      </c>
      <c r="F73" s="185" t="s">
        <v>1027</v>
      </c>
      <c r="G73" s="186">
        <v>44625.651689814818</v>
      </c>
      <c r="H73" s="184" t="s">
        <v>48</v>
      </c>
      <c r="I73" s="184">
        <v>7</v>
      </c>
      <c r="J73" s="184">
        <v>8</v>
      </c>
      <c r="K73" s="181" t="s">
        <v>638</v>
      </c>
      <c r="L73" s="181" t="s">
        <v>638</v>
      </c>
      <c r="M73" s="181"/>
      <c r="N73" s="185"/>
      <c r="P73" s="181"/>
    </row>
    <row r="74" spans="1:16" ht="68" x14ac:dyDescent="0.2">
      <c r="A74" s="184">
        <v>260</v>
      </c>
      <c r="B74" s="184" t="s">
        <v>44</v>
      </c>
      <c r="C74" s="184" t="s">
        <v>45</v>
      </c>
      <c r="D74" s="184">
        <v>455</v>
      </c>
      <c r="E74" s="184" t="s">
        <v>951</v>
      </c>
      <c r="F74" s="185" t="s">
        <v>1028</v>
      </c>
      <c r="G74" s="186">
        <v>44625.651990740742</v>
      </c>
      <c r="H74" s="184" t="s">
        <v>48</v>
      </c>
      <c r="I74" s="184">
        <v>10</v>
      </c>
      <c r="J74" s="184">
        <v>8</v>
      </c>
      <c r="K74" s="181" t="s">
        <v>638</v>
      </c>
      <c r="L74" s="181" t="s">
        <v>638</v>
      </c>
      <c r="N74" s="185"/>
      <c r="P74" s="181"/>
    </row>
    <row r="75" spans="1:16" ht="17" x14ac:dyDescent="0.2">
      <c r="A75" s="184">
        <v>260</v>
      </c>
      <c r="B75" s="184" t="s">
        <v>44</v>
      </c>
      <c r="C75" s="184" t="s">
        <v>45</v>
      </c>
      <c r="D75" s="184">
        <v>454</v>
      </c>
      <c r="E75" s="184" t="s">
        <v>955</v>
      </c>
      <c r="F75" s="185" t="s">
        <v>1029</v>
      </c>
      <c r="G75" s="186">
        <v>44625.652002314811</v>
      </c>
      <c r="H75" s="184" t="s">
        <v>48</v>
      </c>
      <c r="I75" s="184">
        <v>7</v>
      </c>
      <c r="J75" s="184">
        <v>8</v>
      </c>
      <c r="K75" s="181" t="s">
        <v>108</v>
      </c>
      <c r="L75" s="181" t="s">
        <v>108</v>
      </c>
      <c r="N75" s="185"/>
      <c r="P75" s="181"/>
    </row>
    <row r="76" spans="1:16" ht="17" x14ac:dyDescent="0.2">
      <c r="A76" s="184">
        <v>260</v>
      </c>
      <c r="B76" s="184" t="s">
        <v>44</v>
      </c>
      <c r="C76" s="184" t="s">
        <v>45</v>
      </c>
      <c r="D76" s="184">
        <v>454</v>
      </c>
      <c r="E76" s="184" t="s">
        <v>955</v>
      </c>
      <c r="F76" s="185" t="s">
        <v>1030</v>
      </c>
      <c r="G76" s="186">
        <v>44625.652187500003</v>
      </c>
      <c r="H76" s="184" t="s">
        <v>48</v>
      </c>
      <c r="I76" s="184">
        <v>7</v>
      </c>
      <c r="J76" s="184">
        <v>8</v>
      </c>
      <c r="K76" s="187" t="s">
        <v>49</v>
      </c>
      <c r="L76" s="187" t="s">
        <v>49</v>
      </c>
      <c r="M76" s="181"/>
      <c r="N76" s="185"/>
      <c r="P76" s="181"/>
    </row>
    <row r="77" spans="1:16" ht="51" x14ac:dyDescent="0.2">
      <c r="A77" s="184">
        <v>260</v>
      </c>
      <c r="B77" s="184" t="s">
        <v>44</v>
      </c>
      <c r="C77" s="184" t="s">
        <v>45</v>
      </c>
      <c r="D77" s="184">
        <v>455</v>
      </c>
      <c r="E77" s="184" t="s">
        <v>951</v>
      </c>
      <c r="F77" s="185" t="s">
        <v>1031</v>
      </c>
      <c r="G77" s="186">
        <v>44625.652696759258</v>
      </c>
      <c r="H77" s="184" t="s">
        <v>48</v>
      </c>
      <c r="I77" s="184">
        <v>10</v>
      </c>
      <c r="J77" s="184">
        <v>9</v>
      </c>
      <c r="K77" s="187" t="s">
        <v>49</v>
      </c>
      <c r="L77" s="187" t="s">
        <v>49</v>
      </c>
      <c r="M77" s="181"/>
      <c r="N77" s="185"/>
      <c r="P77" s="181"/>
    </row>
    <row r="78" spans="1:16" ht="17" x14ac:dyDescent="0.2">
      <c r="A78" s="184">
        <v>260</v>
      </c>
      <c r="B78" s="184" t="s">
        <v>44</v>
      </c>
      <c r="C78" s="184" t="s">
        <v>45</v>
      </c>
      <c r="D78" s="184">
        <v>454</v>
      </c>
      <c r="E78" s="184" t="s">
        <v>955</v>
      </c>
      <c r="F78" s="185" t="s">
        <v>1032</v>
      </c>
      <c r="G78" s="186">
        <v>44625.653020833335</v>
      </c>
      <c r="H78" s="184" t="s">
        <v>48</v>
      </c>
      <c r="I78" s="184">
        <v>7</v>
      </c>
      <c r="J78" s="184">
        <v>9</v>
      </c>
      <c r="K78" s="187" t="s">
        <v>49</v>
      </c>
      <c r="L78" s="187" t="s">
        <v>49</v>
      </c>
      <c r="M78" s="181"/>
      <c r="N78" s="185"/>
      <c r="P78" s="181"/>
    </row>
    <row r="79" spans="1:16" ht="34" x14ac:dyDescent="0.2">
      <c r="A79" s="184">
        <v>260</v>
      </c>
      <c r="B79" s="184" t="s">
        <v>44</v>
      </c>
      <c r="C79" s="184" t="s">
        <v>45</v>
      </c>
      <c r="D79" s="184">
        <v>453</v>
      </c>
      <c r="E79" s="184" t="s">
        <v>954</v>
      </c>
      <c r="F79" s="185" t="s">
        <v>1033</v>
      </c>
      <c r="G79" s="186">
        <v>44625.653124999997</v>
      </c>
      <c r="H79" s="184" t="s">
        <v>48</v>
      </c>
      <c r="I79" s="184">
        <v>10</v>
      </c>
      <c r="J79" s="184">
        <v>9</v>
      </c>
      <c r="K79" s="187" t="s">
        <v>49</v>
      </c>
      <c r="L79" s="187" t="s">
        <v>49</v>
      </c>
      <c r="M79" s="181"/>
      <c r="N79" s="185"/>
      <c r="P79" s="181"/>
    </row>
    <row r="80" spans="1:16" ht="17" x14ac:dyDescent="0.2">
      <c r="A80" s="184">
        <v>260</v>
      </c>
      <c r="B80" s="184" t="s">
        <v>44</v>
      </c>
      <c r="C80" s="184" t="s">
        <v>45</v>
      </c>
      <c r="D80" s="184">
        <v>457</v>
      </c>
      <c r="E80" s="184" t="s">
        <v>960</v>
      </c>
      <c r="F80" s="185" t="s">
        <v>1034</v>
      </c>
      <c r="G80" s="186">
        <v>44625.653229166666</v>
      </c>
      <c r="H80" s="184" t="s">
        <v>48</v>
      </c>
      <c r="I80" s="184">
        <v>10</v>
      </c>
      <c r="J80" s="184">
        <v>9</v>
      </c>
      <c r="K80" s="187" t="s">
        <v>49</v>
      </c>
      <c r="L80" s="187" t="s">
        <v>49</v>
      </c>
      <c r="M80" s="181"/>
      <c r="N80" s="185"/>
      <c r="P80" s="181"/>
    </row>
    <row r="81" spans="1:16" ht="17" x14ac:dyDescent="0.2">
      <c r="A81" s="184">
        <v>260</v>
      </c>
      <c r="B81" s="184" t="s">
        <v>44</v>
      </c>
      <c r="C81" s="184" t="s">
        <v>45</v>
      </c>
      <c r="D81" s="184">
        <v>455</v>
      </c>
      <c r="E81" s="184" t="s">
        <v>951</v>
      </c>
      <c r="F81" s="185" t="s">
        <v>1035</v>
      </c>
      <c r="G81" s="186">
        <v>44625.65351851852</v>
      </c>
      <c r="H81" s="184" t="s">
        <v>48</v>
      </c>
      <c r="I81" s="184">
        <v>10</v>
      </c>
      <c r="J81" s="184">
        <v>9</v>
      </c>
      <c r="K81" s="187" t="s">
        <v>49</v>
      </c>
      <c r="L81" s="187" t="s">
        <v>49</v>
      </c>
      <c r="M81" s="181"/>
      <c r="N81" s="185"/>
      <c r="P81" s="181"/>
    </row>
    <row r="82" spans="1:16" ht="17" x14ac:dyDescent="0.2">
      <c r="A82" s="184">
        <v>260</v>
      </c>
      <c r="B82" s="184" t="s">
        <v>44</v>
      </c>
      <c r="C82" s="184" t="s">
        <v>45</v>
      </c>
      <c r="D82" s="184">
        <v>457</v>
      </c>
      <c r="E82" s="184" t="s">
        <v>960</v>
      </c>
      <c r="F82" s="185" t="s">
        <v>1036</v>
      </c>
      <c r="G82" s="186">
        <v>44625.653668981482</v>
      </c>
      <c r="H82" s="184" t="s">
        <v>48</v>
      </c>
      <c r="I82" s="184">
        <v>10</v>
      </c>
      <c r="J82" s="184">
        <v>9</v>
      </c>
      <c r="K82" s="187" t="s">
        <v>49</v>
      </c>
      <c r="L82" s="187" t="s">
        <v>49</v>
      </c>
      <c r="M82" s="181"/>
      <c r="N82" s="185"/>
      <c r="P82" s="181"/>
    </row>
    <row r="83" spans="1:16" ht="17" x14ac:dyDescent="0.2">
      <c r="A83" s="184">
        <v>260</v>
      </c>
      <c r="B83" s="184" t="s">
        <v>44</v>
      </c>
      <c r="C83" s="184" t="s">
        <v>45</v>
      </c>
      <c r="D83" s="184">
        <v>453</v>
      </c>
      <c r="E83" s="184" t="s">
        <v>954</v>
      </c>
      <c r="F83" s="185" t="s">
        <v>1037</v>
      </c>
      <c r="G83" s="186">
        <v>44625.653749999998</v>
      </c>
      <c r="H83" s="184" t="s">
        <v>48</v>
      </c>
      <c r="I83" s="184">
        <v>10</v>
      </c>
      <c r="J83" s="184">
        <v>9</v>
      </c>
      <c r="K83" s="187" t="s">
        <v>49</v>
      </c>
      <c r="L83" s="187" t="s">
        <v>49</v>
      </c>
      <c r="M83" s="181"/>
      <c r="N83" s="185"/>
      <c r="P83" s="181"/>
    </row>
  </sheetData>
  <hyperlinks>
    <hyperlink ref="Q2" location="CREWsynchronousCollabWriting!A1" display="Book club 1 CREW" xr:uid="{B6D25618-CD09-493F-AAB9-A188A36DEE6D}"/>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283F6-94AB-4D1A-A258-C7D81DD0A2CD}">
  <dimension ref="A1:D2"/>
  <sheetViews>
    <sheetView workbookViewId="0">
      <selection activeCell="D3" sqref="D3"/>
    </sheetView>
  </sheetViews>
  <sheetFormatPr baseColWidth="10" defaultColWidth="12" defaultRowHeight="16" x14ac:dyDescent="0.2"/>
  <cols>
    <col min="1" max="2" width="12" style="184"/>
    <col min="3" max="3" width="72.5" style="185" customWidth="1"/>
    <col min="4" max="16384" width="12" style="184"/>
  </cols>
  <sheetData>
    <row r="1" spans="1:4" s="180" customFormat="1" ht="17" x14ac:dyDescent="0.2">
      <c r="A1" s="180" t="s">
        <v>1038</v>
      </c>
      <c r="B1" s="180" t="s">
        <v>1039</v>
      </c>
      <c r="C1" s="181" t="s">
        <v>1040</v>
      </c>
      <c r="D1" s="180" t="s">
        <v>1130</v>
      </c>
    </row>
    <row r="2" spans="1:4" ht="409.6" x14ac:dyDescent="0.2">
      <c r="C2" s="189" t="s">
        <v>1041</v>
      </c>
      <c r="D2" s="184">
        <v>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00DED-F39A-4B96-9DC0-AFC96775ADD2}">
  <dimension ref="A1:Q24"/>
  <sheetViews>
    <sheetView workbookViewId="0">
      <selection activeCell="M2" sqref="M2:M24"/>
    </sheetView>
  </sheetViews>
  <sheetFormatPr baseColWidth="10" defaultColWidth="8.6640625" defaultRowHeight="16" x14ac:dyDescent="0.2"/>
  <cols>
    <col min="1" max="1" width="8.6640625" style="184"/>
    <col min="2" max="2" width="15.33203125" style="184" customWidth="1"/>
    <col min="3" max="4" width="8.6640625" style="184"/>
    <col min="5" max="5" width="14.6640625" style="184" customWidth="1"/>
    <col min="6" max="6" width="52.5" style="185" customWidth="1"/>
    <col min="7" max="7" width="18.5" style="184" customWidth="1"/>
    <col min="8" max="9" width="8.6640625" style="184"/>
    <col min="10" max="10" width="12.33203125" style="184" customWidth="1"/>
    <col min="11" max="11" width="13.5" style="184" customWidth="1"/>
    <col min="12" max="12" width="19.1640625" style="194" customWidth="1"/>
    <col min="13" max="13" width="12.83203125" style="184" customWidth="1"/>
    <col min="14" max="14" width="12.1640625" style="194" customWidth="1"/>
    <col min="15" max="15" width="13.5" style="184" customWidth="1"/>
    <col min="16" max="16" width="12.83203125" style="180" customWidth="1"/>
    <col min="17" max="16384" width="8.6640625" style="184"/>
  </cols>
  <sheetData>
    <row r="1" spans="1:17" ht="51" x14ac:dyDescent="0.2">
      <c r="A1" s="190" t="s">
        <v>22</v>
      </c>
      <c r="B1" s="190" t="s">
        <v>23</v>
      </c>
      <c r="C1" s="191" t="s">
        <v>24</v>
      </c>
      <c r="D1" s="190" t="s">
        <v>820</v>
      </c>
      <c r="E1" s="190" t="s">
        <v>662</v>
      </c>
      <c r="F1" s="191" t="s">
        <v>26</v>
      </c>
      <c r="G1" s="190" t="s">
        <v>27</v>
      </c>
      <c r="H1" s="190" t="s">
        <v>28</v>
      </c>
      <c r="I1" s="190" t="s">
        <v>29</v>
      </c>
      <c r="J1" s="190" t="s">
        <v>821</v>
      </c>
      <c r="K1" s="192" t="s">
        <v>944</v>
      </c>
      <c r="L1" s="190" t="s">
        <v>945</v>
      </c>
      <c r="M1" s="192" t="s">
        <v>946</v>
      </c>
      <c r="N1" s="190" t="s">
        <v>947</v>
      </c>
      <c r="O1" s="192" t="s">
        <v>948</v>
      </c>
      <c r="P1" s="190" t="s">
        <v>949</v>
      </c>
      <c r="Q1" s="181" t="s">
        <v>950</v>
      </c>
    </row>
    <row r="2" spans="1:17" ht="102.75" customHeight="1" x14ac:dyDescent="0.2">
      <c r="A2" s="184">
        <v>260</v>
      </c>
      <c r="B2" s="184" t="s">
        <v>44</v>
      </c>
      <c r="C2" s="185" t="s">
        <v>45</v>
      </c>
      <c r="D2" s="184">
        <v>445</v>
      </c>
      <c r="E2" s="184" t="s">
        <v>1042</v>
      </c>
      <c r="F2" s="185" t="s">
        <v>1043</v>
      </c>
      <c r="G2" s="186">
        <v>44623.417361111111</v>
      </c>
      <c r="H2" s="184" t="s">
        <v>48</v>
      </c>
      <c r="I2" s="184">
        <v>10</v>
      </c>
      <c r="K2" s="190" t="s">
        <v>52</v>
      </c>
      <c r="L2" s="190" t="s">
        <v>52</v>
      </c>
      <c r="N2" s="193"/>
      <c r="P2" s="181"/>
      <c r="Q2" s="188" t="s">
        <v>953</v>
      </c>
    </row>
    <row r="3" spans="1:17" ht="102" x14ac:dyDescent="0.2">
      <c r="A3" s="184">
        <v>260</v>
      </c>
      <c r="B3" s="184" t="s">
        <v>44</v>
      </c>
      <c r="C3" s="185" t="s">
        <v>45</v>
      </c>
      <c r="D3" s="184">
        <v>445</v>
      </c>
      <c r="E3" s="184" t="s">
        <v>1042</v>
      </c>
      <c r="F3" s="185" t="s">
        <v>1044</v>
      </c>
      <c r="G3" s="186">
        <v>44623.418749999997</v>
      </c>
      <c r="H3" s="184" t="s">
        <v>48</v>
      </c>
      <c r="I3" s="184">
        <v>10</v>
      </c>
      <c r="K3" s="190" t="s">
        <v>52</v>
      </c>
      <c r="L3" s="190" t="s">
        <v>52</v>
      </c>
      <c r="N3" s="193"/>
      <c r="P3" s="181"/>
      <c r="Q3" s="185"/>
    </row>
    <row r="4" spans="1:17" ht="68" x14ac:dyDescent="0.2">
      <c r="A4" s="184">
        <v>260</v>
      </c>
      <c r="B4" s="184" t="s">
        <v>44</v>
      </c>
      <c r="C4" s="185" t="s">
        <v>45</v>
      </c>
      <c r="D4" s="184">
        <v>446</v>
      </c>
      <c r="E4" s="184" t="s">
        <v>1045</v>
      </c>
      <c r="F4" s="185" t="s">
        <v>1046</v>
      </c>
      <c r="G4" s="186">
        <v>44624.500694444447</v>
      </c>
      <c r="H4" s="184" t="s">
        <v>48</v>
      </c>
      <c r="I4" s="184">
        <v>9</v>
      </c>
      <c r="K4" s="190" t="s">
        <v>52</v>
      </c>
      <c r="L4" s="190" t="s">
        <v>52</v>
      </c>
      <c r="M4" s="190" t="s">
        <v>58</v>
      </c>
      <c r="N4" s="191" t="s">
        <v>58</v>
      </c>
      <c r="P4" s="181"/>
      <c r="Q4" s="185"/>
    </row>
    <row r="5" spans="1:17" ht="102" x14ac:dyDescent="0.2">
      <c r="A5" s="184">
        <v>260</v>
      </c>
      <c r="B5" s="184" t="s">
        <v>44</v>
      </c>
      <c r="C5" s="185" t="s">
        <v>45</v>
      </c>
      <c r="D5" s="184">
        <v>446</v>
      </c>
      <c r="E5" s="184" t="s">
        <v>1045</v>
      </c>
      <c r="F5" s="185" t="s">
        <v>1047</v>
      </c>
      <c r="G5" s="186">
        <v>44624.503472222219</v>
      </c>
      <c r="H5" s="184" t="s">
        <v>48</v>
      </c>
      <c r="I5" s="184">
        <v>10</v>
      </c>
      <c r="K5" s="190" t="s">
        <v>52</v>
      </c>
      <c r="L5" s="190" t="s">
        <v>52</v>
      </c>
      <c r="N5" s="193"/>
      <c r="P5" s="181"/>
      <c r="Q5" s="185"/>
    </row>
    <row r="6" spans="1:17" ht="102" x14ac:dyDescent="0.2">
      <c r="A6" s="184">
        <v>260</v>
      </c>
      <c r="B6" s="184" t="s">
        <v>44</v>
      </c>
      <c r="C6" s="185" t="s">
        <v>45</v>
      </c>
      <c r="D6" s="184">
        <v>450</v>
      </c>
      <c r="E6" s="184" t="s">
        <v>1048</v>
      </c>
      <c r="F6" s="185" t="s">
        <v>1049</v>
      </c>
      <c r="G6" s="186">
        <v>44624.682638888888</v>
      </c>
      <c r="H6" s="184" t="s">
        <v>48</v>
      </c>
      <c r="I6" s="184">
        <v>10</v>
      </c>
      <c r="K6" s="190" t="s">
        <v>52</v>
      </c>
      <c r="L6" s="190" t="s">
        <v>52</v>
      </c>
      <c r="M6" s="190" t="s">
        <v>58</v>
      </c>
      <c r="N6" s="191" t="s">
        <v>58</v>
      </c>
      <c r="P6" s="181"/>
      <c r="Q6" s="185"/>
    </row>
    <row r="7" spans="1:17" ht="187" x14ac:dyDescent="0.2">
      <c r="A7" s="184">
        <v>260</v>
      </c>
      <c r="B7" s="184" t="s">
        <v>44</v>
      </c>
      <c r="C7" s="185" t="s">
        <v>45</v>
      </c>
      <c r="D7" s="184">
        <v>450</v>
      </c>
      <c r="E7" s="184" t="s">
        <v>1048</v>
      </c>
      <c r="F7" s="185" t="s">
        <v>1050</v>
      </c>
      <c r="G7" s="186">
        <v>44624.693055555559</v>
      </c>
      <c r="H7" s="184" t="s">
        <v>48</v>
      </c>
      <c r="I7" s="184">
        <v>10</v>
      </c>
      <c r="K7" s="190" t="s">
        <v>52</v>
      </c>
      <c r="L7" s="190" t="s">
        <v>52</v>
      </c>
      <c r="N7" s="193"/>
      <c r="O7" s="181" t="s">
        <v>120</v>
      </c>
      <c r="P7" s="181" t="s">
        <v>120</v>
      </c>
      <c r="Q7" s="185"/>
    </row>
    <row r="8" spans="1:17" ht="170" x14ac:dyDescent="0.2">
      <c r="A8" s="184">
        <v>260</v>
      </c>
      <c r="B8" s="184" t="s">
        <v>44</v>
      </c>
      <c r="C8" s="185" t="s">
        <v>45</v>
      </c>
      <c r="D8" s="184">
        <v>449</v>
      </c>
      <c r="E8" s="184" t="s">
        <v>1051</v>
      </c>
      <c r="F8" s="185" t="s">
        <v>1052</v>
      </c>
      <c r="G8" s="186">
        <v>44625.32916666667</v>
      </c>
      <c r="H8" s="184" t="s">
        <v>48</v>
      </c>
      <c r="I8" s="184">
        <v>9</v>
      </c>
      <c r="K8" s="190" t="s">
        <v>52</v>
      </c>
      <c r="L8" s="190" t="s">
        <v>52</v>
      </c>
      <c r="N8" s="193"/>
      <c r="O8" s="190" t="s">
        <v>261</v>
      </c>
      <c r="P8" s="181" t="s">
        <v>120</v>
      </c>
      <c r="Q8" s="185"/>
    </row>
    <row r="9" spans="1:17" ht="136" x14ac:dyDescent="0.2">
      <c r="A9" s="184">
        <v>260</v>
      </c>
      <c r="B9" s="184" t="s">
        <v>44</v>
      </c>
      <c r="C9" s="185" t="s">
        <v>45</v>
      </c>
      <c r="D9" s="184">
        <v>449</v>
      </c>
      <c r="E9" s="184" t="s">
        <v>1051</v>
      </c>
      <c r="F9" s="185" t="s">
        <v>1053</v>
      </c>
      <c r="G9" s="186">
        <v>44625.337500000001</v>
      </c>
      <c r="H9" s="184" t="s">
        <v>48</v>
      </c>
      <c r="I9" s="184">
        <v>9</v>
      </c>
      <c r="K9" s="190" t="s">
        <v>52</v>
      </c>
      <c r="L9" s="190" t="s">
        <v>52</v>
      </c>
      <c r="N9" s="193"/>
      <c r="O9" s="190" t="s">
        <v>261</v>
      </c>
      <c r="P9" s="181" t="s">
        <v>120</v>
      </c>
    </row>
    <row r="10" spans="1:17" ht="136" x14ac:dyDescent="0.2">
      <c r="A10" s="184">
        <v>260</v>
      </c>
      <c r="B10" s="184" t="s">
        <v>44</v>
      </c>
      <c r="C10" s="185" t="s">
        <v>45</v>
      </c>
      <c r="D10" s="184">
        <v>450</v>
      </c>
      <c r="E10" s="184" t="s">
        <v>1048</v>
      </c>
      <c r="F10" s="185" t="s">
        <v>1054</v>
      </c>
      <c r="G10" s="186">
        <v>44625.750694444447</v>
      </c>
      <c r="H10" s="184" t="s">
        <v>48</v>
      </c>
      <c r="I10" s="184">
        <v>10</v>
      </c>
      <c r="J10" s="184">
        <v>1</v>
      </c>
      <c r="K10" s="190" t="s">
        <v>68</v>
      </c>
      <c r="L10" s="191" t="s">
        <v>68</v>
      </c>
      <c r="N10" s="193"/>
      <c r="P10" s="181"/>
    </row>
    <row r="11" spans="1:17" ht="68" x14ac:dyDescent="0.2">
      <c r="A11" s="184">
        <v>260</v>
      </c>
      <c r="B11" s="184" t="s">
        <v>44</v>
      </c>
      <c r="C11" s="185" t="s">
        <v>45</v>
      </c>
      <c r="D11" s="184">
        <v>449</v>
      </c>
      <c r="E11" s="184" t="s">
        <v>1051</v>
      </c>
      <c r="F11" s="185" t="s">
        <v>1055</v>
      </c>
      <c r="G11" s="186">
        <v>44625.96875</v>
      </c>
      <c r="H11" s="184" t="s">
        <v>48</v>
      </c>
      <c r="I11" s="184">
        <v>9</v>
      </c>
      <c r="J11" s="184">
        <v>1</v>
      </c>
      <c r="K11" s="190" t="s">
        <v>68</v>
      </c>
      <c r="L11" s="190" t="s">
        <v>68</v>
      </c>
      <c r="N11" s="193"/>
      <c r="P11" s="181"/>
    </row>
    <row r="12" spans="1:17" ht="51" x14ac:dyDescent="0.2">
      <c r="A12" s="184">
        <v>260</v>
      </c>
      <c r="B12" s="184" t="s">
        <v>44</v>
      </c>
      <c r="C12" s="185" t="s">
        <v>45</v>
      </c>
      <c r="D12" s="184">
        <v>445</v>
      </c>
      <c r="E12" s="184" t="s">
        <v>1042</v>
      </c>
      <c r="F12" s="185" t="s">
        <v>1056</v>
      </c>
      <c r="G12" s="186">
        <v>44627.558333333334</v>
      </c>
      <c r="H12" s="184" t="s">
        <v>48</v>
      </c>
      <c r="I12" s="184">
        <v>10</v>
      </c>
      <c r="J12" s="184">
        <v>1</v>
      </c>
      <c r="K12" s="190" t="s">
        <v>68</v>
      </c>
      <c r="L12" s="190" t="s">
        <v>68</v>
      </c>
      <c r="N12" s="193"/>
      <c r="P12" s="181"/>
    </row>
    <row r="13" spans="1:17" ht="51" x14ac:dyDescent="0.2">
      <c r="A13" s="184">
        <v>260</v>
      </c>
      <c r="B13" s="184" t="s">
        <v>44</v>
      </c>
      <c r="C13" s="185" t="s">
        <v>45</v>
      </c>
      <c r="D13" s="184">
        <v>445</v>
      </c>
      <c r="E13" s="184" t="s">
        <v>1042</v>
      </c>
      <c r="F13" s="185" t="s">
        <v>1057</v>
      </c>
      <c r="G13" s="186">
        <v>44627.559027777781</v>
      </c>
      <c r="H13" s="184" t="s">
        <v>48</v>
      </c>
      <c r="I13" s="184">
        <v>10</v>
      </c>
      <c r="J13" s="184">
        <v>1</v>
      </c>
      <c r="K13" s="190" t="s">
        <v>68</v>
      </c>
      <c r="L13" s="190" t="s">
        <v>68</v>
      </c>
      <c r="N13" s="193"/>
      <c r="O13" s="181" t="s">
        <v>261</v>
      </c>
      <c r="P13" s="181" t="s">
        <v>261</v>
      </c>
    </row>
    <row r="14" spans="1:17" ht="51" x14ac:dyDescent="0.2">
      <c r="A14" s="184">
        <v>260</v>
      </c>
      <c r="B14" s="184" t="s">
        <v>44</v>
      </c>
      <c r="C14" s="185" t="s">
        <v>45</v>
      </c>
      <c r="D14" s="184">
        <v>445</v>
      </c>
      <c r="E14" s="184" t="s">
        <v>1042</v>
      </c>
      <c r="F14" s="185" t="s">
        <v>1058</v>
      </c>
      <c r="G14" s="186">
        <v>44627.76458333333</v>
      </c>
      <c r="H14" s="184" t="s">
        <v>48</v>
      </c>
      <c r="I14" s="184">
        <v>10</v>
      </c>
      <c r="J14" s="184">
        <v>1</v>
      </c>
      <c r="K14" s="190" t="s">
        <v>638</v>
      </c>
      <c r="L14" s="190" t="s">
        <v>638</v>
      </c>
      <c r="N14" s="193"/>
      <c r="P14" s="181"/>
    </row>
    <row r="15" spans="1:17" ht="102" x14ac:dyDescent="0.2">
      <c r="A15" s="184">
        <v>260</v>
      </c>
      <c r="B15" s="184" t="s">
        <v>44</v>
      </c>
      <c r="C15" s="185" t="s">
        <v>45</v>
      </c>
      <c r="D15" s="184">
        <v>447</v>
      </c>
      <c r="E15" s="184" t="s">
        <v>1059</v>
      </c>
      <c r="F15" s="185" t="s">
        <v>1060</v>
      </c>
      <c r="G15" s="186">
        <v>44627.807638888888</v>
      </c>
      <c r="H15" s="184" t="s">
        <v>48</v>
      </c>
      <c r="I15" s="184">
        <v>9</v>
      </c>
      <c r="K15" s="190" t="s">
        <v>52</v>
      </c>
      <c r="L15" s="190" t="s">
        <v>52</v>
      </c>
      <c r="N15" s="193"/>
      <c r="P15" s="181"/>
    </row>
    <row r="16" spans="1:17" ht="51" x14ac:dyDescent="0.2">
      <c r="A16" s="184">
        <v>260</v>
      </c>
      <c r="B16" s="184" t="s">
        <v>44</v>
      </c>
      <c r="C16" s="185" t="s">
        <v>45</v>
      </c>
      <c r="D16" s="184">
        <v>447</v>
      </c>
      <c r="E16" s="184" t="s">
        <v>1059</v>
      </c>
      <c r="F16" s="185" t="s">
        <v>1061</v>
      </c>
      <c r="G16" s="186">
        <v>44627.807638888888</v>
      </c>
      <c r="H16" s="184" t="s">
        <v>48</v>
      </c>
      <c r="I16" s="184">
        <v>9</v>
      </c>
      <c r="J16" s="184">
        <v>2</v>
      </c>
      <c r="K16" s="190" t="s">
        <v>638</v>
      </c>
      <c r="L16" s="190" t="s">
        <v>638</v>
      </c>
      <c r="N16" s="193"/>
      <c r="P16" s="181"/>
    </row>
    <row r="17" spans="1:16" ht="85" x14ac:dyDescent="0.2">
      <c r="A17" s="184">
        <v>260</v>
      </c>
      <c r="B17" s="184" t="s">
        <v>44</v>
      </c>
      <c r="C17" s="185" t="s">
        <v>45</v>
      </c>
      <c r="D17" s="184">
        <v>447</v>
      </c>
      <c r="E17" s="184" t="s">
        <v>1059</v>
      </c>
      <c r="F17" s="185" t="s">
        <v>1062</v>
      </c>
      <c r="G17" s="186">
        <v>44627.809027777781</v>
      </c>
      <c r="H17" s="184" t="s">
        <v>48</v>
      </c>
      <c r="I17" s="184">
        <v>10</v>
      </c>
      <c r="K17" s="190" t="s">
        <v>52</v>
      </c>
      <c r="L17" s="190" t="s">
        <v>52</v>
      </c>
      <c r="N17" s="191" t="s">
        <v>305</v>
      </c>
      <c r="P17" s="181"/>
    </row>
    <row r="18" spans="1:16" ht="51" x14ac:dyDescent="0.2">
      <c r="A18" s="184">
        <v>260</v>
      </c>
      <c r="B18" s="184" t="s">
        <v>44</v>
      </c>
      <c r="C18" s="185" t="s">
        <v>45</v>
      </c>
      <c r="D18" s="184">
        <v>446</v>
      </c>
      <c r="E18" s="184" t="s">
        <v>1045</v>
      </c>
      <c r="F18" s="185" t="s">
        <v>1063</v>
      </c>
      <c r="G18" s="186">
        <v>44628.593055555553</v>
      </c>
      <c r="H18" s="184" t="s">
        <v>48</v>
      </c>
      <c r="I18" s="184">
        <v>10</v>
      </c>
      <c r="J18" s="184">
        <v>2</v>
      </c>
      <c r="K18" s="190" t="s">
        <v>638</v>
      </c>
      <c r="L18" s="190" t="s">
        <v>638</v>
      </c>
      <c r="N18" s="193"/>
      <c r="P18" s="181"/>
    </row>
    <row r="19" spans="1:16" ht="51" x14ac:dyDescent="0.2">
      <c r="A19" s="184">
        <v>260</v>
      </c>
      <c r="B19" s="184" t="s">
        <v>44</v>
      </c>
      <c r="C19" s="185" t="s">
        <v>45</v>
      </c>
      <c r="D19" s="184">
        <v>445</v>
      </c>
      <c r="E19" s="184" t="s">
        <v>1042</v>
      </c>
      <c r="F19" s="185" t="s">
        <v>1064</v>
      </c>
      <c r="G19" s="186">
        <v>44628.841666666667</v>
      </c>
      <c r="H19" s="184" t="s">
        <v>48</v>
      </c>
      <c r="I19" s="184">
        <v>10</v>
      </c>
      <c r="J19" s="184">
        <v>2</v>
      </c>
      <c r="K19" s="190" t="s">
        <v>638</v>
      </c>
      <c r="L19" s="190" t="s">
        <v>638</v>
      </c>
      <c r="N19" s="193"/>
      <c r="O19" s="181" t="s">
        <v>112</v>
      </c>
      <c r="P19" s="181" t="s">
        <v>112</v>
      </c>
    </row>
    <row r="20" spans="1:16" ht="51" x14ac:dyDescent="0.2">
      <c r="A20" s="184">
        <v>260</v>
      </c>
      <c r="B20" s="184" t="s">
        <v>44</v>
      </c>
      <c r="C20" s="185" t="s">
        <v>45</v>
      </c>
      <c r="D20" s="184">
        <v>445</v>
      </c>
      <c r="E20" s="184" t="s">
        <v>1042</v>
      </c>
      <c r="F20" s="185" t="s">
        <v>1065</v>
      </c>
      <c r="G20" s="186">
        <v>44628.842361111114</v>
      </c>
      <c r="H20" s="184" t="s">
        <v>48</v>
      </c>
      <c r="I20" s="184">
        <v>10</v>
      </c>
      <c r="J20" s="184">
        <v>2</v>
      </c>
      <c r="K20" s="190" t="s">
        <v>68</v>
      </c>
      <c r="L20" s="190" t="s">
        <v>68</v>
      </c>
      <c r="N20" s="193"/>
      <c r="P20" s="181"/>
    </row>
    <row r="21" spans="1:16" ht="51" x14ac:dyDescent="0.2">
      <c r="A21" s="184">
        <v>260</v>
      </c>
      <c r="B21" s="184" t="s">
        <v>44</v>
      </c>
      <c r="C21" s="185" t="s">
        <v>45</v>
      </c>
      <c r="D21" s="184">
        <v>450</v>
      </c>
      <c r="E21" s="184" t="s">
        <v>1048</v>
      </c>
      <c r="F21" s="185" t="s">
        <v>1066</v>
      </c>
      <c r="G21" s="186">
        <v>44629.561111111114</v>
      </c>
      <c r="H21" s="184" t="s">
        <v>48</v>
      </c>
      <c r="I21" s="184">
        <v>10</v>
      </c>
      <c r="K21" s="190" t="s">
        <v>68</v>
      </c>
      <c r="L21" s="190" t="s">
        <v>68</v>
      </c>
      <c r="N21" s="193"/>
      <c r="P21" s="181"/>
    </row>
    <row r="22" spans="1:16" ht="204" x14ac:dyDescent="0.2">
      <c r="A22" s="184">
        <v>260</v>
      </c>
      <c r="B22" s="184" t="s">
        <v>44</v>
      </c>
      <c r="C22" s="185" t="s">
        <v>45</v>
      </c>
      <c r="D22" s="184">
        <v>450</v>
      </c>
      <c r="E22" s="184" t="s">
        <v>1048</v>
      </c>
      <c r="F22" s="185" t="s">
        <v>1067</v>
      </c>
      <c r="G22" s="186">
        <v>44629.5625</v>
      </c>
      <c r="H22" s="184" t="s">
        <v>48</v>
      </c>
      <c r="I22" s="184">
        <v>10</v>
      </c>
      <c r="K22" s="190" t="s">
        <v>68</v>
      </c>
      <c r="L22" s="190" t="s">
        <v>68</v>
      </c>
      <c r="N22" s="193"/>
      <c r="P22" s="181"/>
    </row>
    <row r="23" spans="1:16" ht="238" x14ac:dyDescent="0.2">
      <c r="A23" s="184">
        <v>260</v>
      </c>
      <c r="B23" s="184" t="s">
        <v>44</v>
      </c>
      <c r="C23" s="185" t="s">
        <v>45</v>
      </c>
      <c r="D23" s="184">
        <v>450</v>
      </c>
      <c r="E23" s="184" t="s">
        <v>1048</v>
      </c>
      <c r="F23" s="185" t="s">
        <v>1068</v>
      </c>
      <c r="G23" s="186">
        <v>44629.564583333333</v>
      </c>
      <c r="H23" s="184" t="s">
        <v>48</v>
      </c>
      <c r="I23" s="184">
        <v>10</v>
      </c>
      <c r="K23" s="190" t="s">
        <v>68</v>
      </c>
      <c r="L23" s="190" t="s">
        <v>68</v>
      </c>
      <c r="N23" s="193"/>
      <c r="P23" s="181"/>
    </row>
    <row r="24" spans="1:16" ht="51" x14ac:dyDescent="0.2">
      <c r="A24" s="184">
        <v>260</v>
      </c>
      <c r="B24" s="184" t="s">
        <v>44</v>
      </c>
      <c r="C24" s="185" t="s">
        <v>45</v>
      </c>
      <c r="D24" s="184">
        <v>446</v>
      </c>
      <c r="E24" s="184" t="s">
        <v>1045</v>
      </c>
      <c r="F24" s="185" t="s">
        <v>1069</v>
      </c>
      <c r="G24" s="186">
        <v>44631.429166666669</v>
      </c>
      <c r="H24" s="184" t="s">
        <v>48</v>
      </c>
      <c r="I24" s="184">
        <v>10</v>
      </c>
      <c r="K24" s="190" t="s">
        <v>108</v>
      </c>
      <c r="L24" s="190" t="s">
        <v>108</v>
      </c>
      <c r="N24" s="193"/>
      <c r="P24" s="181"/>
    </row>
  </sheetData>
  <hyperlinks>
    <hyperlink ref="Q2" location="CREWasynchCollabWriting!A1" display="Book club 1 CREW" xr:uid="{1BFCD6A2-63C3-4817-B15C-6132FB15122A}"/>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55356-7B51-4451-98F7-F1B552879D02}">
  <dimension ref="A2:B3"/>
  <sheetViews>
    <sheetView workbookViewId="0">
      <selection activeCell="A3" sqref="A3"/>
    </sheetView>
  </sheetViews>
  <sheetFormatPr baseColWidth="10" defaultColWidth="8.6640625" defaultRowHeight="16" x14ac:dyDescent="0.2"/>
  <cols>
    <col min="1" max="1" width="49.5" style="184" customWidth="1"/>
    <col min="2" max="16384" width="8.6640625" style="184"/>
  </cols>
  <sheetData>
    <row r="2" spans="1:2" ht="260" customHeight="1" x14ac:dyDescent="0.2">
      <c r="A2" s="308" t="s">
        <v>1131</v>
      </c>
      <c r="B2" s="184">
        <v>4</v>
      </c>
    </row>
    <row r="3" spans="1:2" ht="143.25" customHeight="1" x14ac:dyDescent="0.2">
      <c r="A3" s="185"/>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9332B-82DC-4181-A909-577816618734}">
  <dimension ref="A1:B4"/>
  <sheetViews>
    <sheetView workbookViewId="0">
      <selection activeCell="B4" sqref="B4"/>
    </sheetView>
  </sheetViews>
  <sheetFormatPr baseColWidth="10" defaultColWidth="8.83203125" defaultRowHeight="13" x14ac:dyDescent="0.15"/>
  <cols>
    <col min="1" max="1" width="39.1640625" customWidth="1"/>
    <col min="2" max="2" width="70.33203125" style="109" customWidth="1"/>
  </cols>
  <sheetData>
    <row r="1" spans="1:2" ht="126" x14ac:dyDescent="0.15">
      <c r="A1" t="s">
        <v>1070</v>
      </c>
      <c r="B1" s="109" t="s">
        <v>1071</v>
      </c>
    </row>
    <row r="2" spans="1:2" ht="57" x14ac:dyDescent="0.2">
      <c r="A2" s="270" t="s">
        <v>1072</v>
      </c>
      <c r="B2" s="109" t="s">
        <v>1073</v>
      </c>
    </row>
    <row r="3" spans="1:2" ht="56" x14ac:dyDescent="0.15">
      <c r="A3" t="s">
        <v>1074</v>
      </c>
      <c r="B3" s="109" t="s">
        <v>1075</v>
      </c>
    </row>
    <row r="4" spans="1:2" ht="154" x14ac:dyDescent="0.15">
      <c r="A4" t="s">
        <v>1076</v>
      </c>
      <c r="B4" s="109" t="s">
        <v>1077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95B6EB0930B224992B3A201B074F173" ma:contentTypeVersion="13" ma:contentTypeDescription="Create a new document." ma:contentTypeScope="" ma:versionID="04ea0cdc9eb462994f545e60db1033c2">
  <xsd:schema xmlns:xsd="http://www.w3.org/2001/XMLSchema" xmlns:xs="http://www.w3.org/2001/XMLSchema" xmlns:p="http://schemas.microsoft.com/office/2006/metadata/properties" xmlns:ns2="029a9069-a445-41ca-8e19-2bb41f0cfa6a" xmlns:ns3="eb5493e0-f1fd-4bce-8c64-feddb0fa7498" targetNamespace="http://schemas.microsoft.com/office/2006/metadata/properties" ma:root="true" ma:fieldsID="e4133d970b2fe4a3193be44c49ca5b4e" ns2:_="" ns3:_="">
    <xsd:import namespace="029a9069-a445-41ca-8e19-2bb41f0cfa6a"/>
    <xsd:import namespace="eb5493e0-f1fd-4bce-8c64-feddb0fa749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9a9069-a445-41ca-8e19-2bb41f0cfa6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b5493e0-f1fd-4bce-8c64-feddb0fa7498"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7D39BB-8B24-4A3E-B1EA-2CBC827CA500}">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B646E696-8F1E-481B-8C7D-D67D90FE93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9a9069-a445-41ca-8e19-2bb41f0cfa6a"/>
    <ds:schemaRef ds:uri="eb5493e0-f1fd-4bce-8c64-feddb0fa74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E53651A-7C75-4177-B0F1-FB75595D6E4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20</vt:i4>
      </vt:variant>
    </vt:vector>
  </HeadingPairs>
  <TitlesOfParts>
    <vt:vector size="20" baseType="lpstr">
      <vt:lpstr>Combined Discussions</vt:lpstr>
      <vt:lpstr>Test</vt:lpstr>
      <vt:lpstr>CountCodes</vt:lpstr>
      <vt:lpstr>AnalysisF20nS21S22</vt:lpstr>
      <vt:lpstr>TOC</vt:lpstr>
      <vt:lpstr>F20 Chat Data</vt:lpstr>
      <vt:lpstr>F20 Crew Data</vt:lpstr>
      <vt:lpstr>F20 Collaborative Writing</vt:lpstr>
      <vt:lpstr>F20 Summaries</vt:lpstr>
      <vt:lpstr>S21 Chat Data</vt:lpstr>
      <vt:lpstr>S21 Crew Data</vt:lpstr>
      <vt:lpstr>S21 Collaborative Writing</vt:lpstr>
      <vt:lpstr>S21 Summaries</vt:lpstr>
      <vt:lpstr>S22 Chat Sync Data</vt:lpstr>
      <vt:lpstr>S22 Chat Async Data</vt:lpstr>
      <vt:lpstr>S22 CREW Sync Data</vt:lpstr>
      <vt:lpstr>S22 CREW Sync Collab Writing </vt:lpstr>
      <vt:lpstr>S22 CREW Async Data</vt:lpstr>
      <vt:lpstr>S22 CREW Async Collab Writing</vt:lpstr>
      <vt:lpstr>S22 Discussion Summaries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Fiorella Ratti</cp:lastModifiedBy>
  <cp:revision/>
  <dcterms:created xsi:type="dcterms:W3CDTF">2021-02-15T23:30:06Z</dcterms:created>
  <dcterms:modified xsi:type="dcterms:W3CDTF">2024-04-07T18:46:21Z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0x010100195B6EB0930B224992B3A201B074F173</vt:lpwstr>
  </property>
</Properties>
</file>